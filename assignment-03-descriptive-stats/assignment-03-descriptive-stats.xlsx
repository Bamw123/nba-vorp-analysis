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Ex6.xml" ContentType="application/vnd.ms-office.chartex+xml"/>
  <Override PartName="/xl/charts/style10.xml" ContentType="application/vnd.ms-office.chartstyle+xml"/>
  <Override PartName="/xl/charts/colors10.xml" ContentType="application/vnd.ms-office.chartcolorstyle+xml"/>
  <Override PartName="/xl/charts/chartEx7.xml" ContentType="application/vnd.ms-office.chartex+xml"/>
  <Override PartName="/xl/charts/style11.xml" ContentType="application/vnd.ms-office.chartstyle+xml"/>
  <Override PartName="/xl/charts/colors11.xml" ContentType="application/vnd.ms-office.chartcolorstyle+xml"/>
  <Override PartName="/xl/charts/chartEx8.xml" ContentType="application/vnd.ms-office.chartex+xml"/>
  <Override PartName="/xl/charts/style12.xml" ContentType="application/vnd.ms-office.chartstyle+xml"/>
  <Override PartName="/xl/charts/colors12.xml" ContentType="application/vnd.ms-office.chartcolorstyle+xml"/>
  <Override PartName="/xl/charts/chartEx9.xml" ContentType="application/vnd.ms-office.chartex+xml"/>
  <Override PartName="/xl/charts/style13.xml" ContentType="application/vnd.ms-office.chartstyle+xml"/>
  <Override PartName="/xl/charts/colors13.xml" ContentType="application/vnd.ms-office.chartcolorstyle+xml"/>
  <Override PartName="/xl/charts/chartEx10.xml" ContentType="application/vnd.ms-office.chartex+xml"/>
  <Override PartName="/xl/charts/style14.xml" ContentType="application/vnd.ms-office.chartstyle+xml"/>
  <Override PartName="/xl/charts/colors14.xml" ContentType="application/vnd.ms-office.chartcolorstyle+xml"/>
  <Override PartName="/xl/charts/chartEx11.xml" ContentType="application/vnd.ms-office.chartex+xml"/>
  <Override PartName="/xl/charts/style15.xml" ContentType="application/vnd.ms-office.chartstyle+xml"/>
  <Override PartName="/xl/charts/colors15.xml" ContentType="application/vnd.ms-office.chartcolorstyle+xml"/>
  <Override PartName="/xl/charts/chartEx12.xml" ContentType="application/vnd.ms-office.chartex+xml"/>
  <Override PartName="/xl/charts/style16.xml" ContentType="application/vnd.ms-office.chartstyle+xml"/>
  <Override PartName="/xl/charts/colors16.xml" ContentType="application/vnd.ms-office.chartcolorstyle+xml"/>
  <Override PartName="/xl/charts/chartEx13.xml" ContentType="application/vnd.ms-office.chartex+xml"/>
  <Override PartName="/xl/charts/style17.xml" ContentType="application/vnd.ms-office.chartstyle+xml"/>
  <Override PartName="/xl/charts/colors17.xml" ContentType="application/vnd.ms-office.chartcolorstyle+xml"/>
  <Override PartName="/xl/charts/chartEx14.xml" ContentType="application/vnd.ms-office.chartex+xml"/>
  <Override PartName="/xl/charts/style18.xml" ContentType="application/vnd.ms-office.chartstyle+xml"/>
  <Override PartName="/xl/charts/colors18.xml" ContentType="application/vnd.ms-office.chartcolorstyle+xml"/>
  <Override PartName="/xl/charts/chartEx15.xml" ContentType="application/vnd.ms-office.chartex+xml"/>
  <Override PartName="/xl/charts/style19.xml" ContentType="application/vnd.ms-office.chartstyle+xml"/>
  <Override PartName="/xl/charts/colors19.xml" ContentType="application/vnd.ms-office.chartcolorstyle+xml"/>
  <Override PartName="/xl/charts/chartEx16.xml" ContentType="application/vnd.ms-office.chartex+xml"/>
  <Override PartName="/xl/charts/style20.xml" ContentType="application/vnd.ms-office.chartstyle+xml"/>
  <Override PartName="/xl/charts/colors20.xml" ContentType="application/vnd.ms-office.chartcolorstyle+xml"/>
  <Override PartName="/xl/charts/chartEx17.xml" ContentType="application/vnd.ms-office.chartex+xml"/>
  <Override PartName="/xl/charts/style21.xml" ContentType="application/vnd.ms-office.chartstyle+xml"/>
  <Override PartName="/xl/charts/colors21.xml" ContentType="application/vnd.ms-office.chartcolorstyle+xml"/>
  <Override PartName="/xl/charts/chartEx18.xml" ContentType="application/vnd.ms-office.chartex+xml"/>
  <Override PartName="/xl/charts/style22.xml" ContentType="application/vnd.ms-office.chartstyle+xml"/>
  <Override PartName="/xl/charts/colors22.xml" ContentType="application/vnd.ms-office.chartcolorstyle+xml"/>
  <Override PartName="/xl/charts/chartEx19.xml" ContentType="application/vnd.ms-office.chartex+xml"/>
  <Override PartName="/xl/charts/style23.xml" ContentType="application/vnd.ms-office.chartstyle+xml"/>
  <Override PartName="/xl/charts/colors23.xml" ContentType="application/vnd.ms-office.chartcolorstyle+xml"/>
  <Override PartName="/xl/charts/chartEx20.xml" ContentType="application/vnd.ms-office.chartex+xml"/>
  <Override PartName="/xl/charts/style24.xml" ContentType="application/vnd.ms-office.chartstyle+xml"/>
  <Override PartName="/xl/charts/colors24.xml" ContentType="application/vnd.ms-office.chartcolorstyle+xml"/>
  <Override PartName="/xl/charts/chartEx21.xml" ContentType="application/vnd.ms-office.chartex+xml"/>
  <Override PartName="/xl/charts/style25.xml" ContentType="application/vnd.ms-office.chartstyle+xml"/>
  <Override PartName="/xl/charts/colors25.xml" ContentType="application/vnd.ms-office.chartcolorstyle+xml"/>
  <Override PartName="/xl/charts/chartEx22.xml" ContentType="application/vnd.ms-office.chartex+xml"/>
  <Override PartName="/xl/charts/style26.xml" ContentType="application/vnd.ms-office.chartstyle+xml"/>
  <Override PartName="/xl/charts/colors26.xml" ContentType="application/vnd.ms-office.chartcolorstyle+xml"/>
  <Override PartName="/xl/charts/chartEx23.xml" ContentType="application/vnd.ms-office.chartex+xml"/>
  <Override PartName="/xl/charts/style27.xml" ContentType="application/vnd.ms-office.chartstyle+xml"/>
  <Override PartName="/xl/charts/colors27.xml" ContentType="application/vnd.ms-office.chartcolorstyle+xml"/>
  <Override PartName="/xl/charts/chartEx24.xml" ContentType="application/vnd.ms-office.chartex+xml"/>
  <Override PartName="/xl/charts/style28.xml" ContentType="application/vnd.ms-office.chartstyle+xml"/>
  <Override PartName="/xl/charts/colors28.xml" ContentType="application/vnd.ms-office.chartcolorstyle+xml"/>
  <Override PartName="/xl/charts/chartEx25.xml" ContentType="application/vnd.ms-office.chartex+xml"/>
  <Override PartName="/xl/charts/style29.xml" ContentType="application/vnd.ms-office.chartstyle+xml"/>
  <Override PartName="/xl/charts/colors29.xml" ContentType="application/vnd.ms-office.chartcolorstyle+xml"/>
  <Override PartName="/xl/charts/chartEx26.xml" ContentType="application/vnd.ms-office.chartex+xml"/>
  <Override PartName="/xl/charts/style30.xml" ContentType="application/vnd.ms-office.chartstyle+xml"/>
  <Override PartName="/xl/charts/colors30.xml" ContentType="application/vnd.ms-office.chartcolorstyle+xml"/>
  <Override PartName="/xl/charts/chartEx27.xml" ContentType="application/vnd.ms-office.chartex+xml"/>
  <Override PartName="/xl/charts/style31.xml" ContentType="application/vnd.ms-office.chartstyle+xml"/>
  <Override PartName="/xl/charts/colors31.xml" ContentType="application/vnd.ms-office.chartcolorstyle+xml"/>
  <Override PartName="/xl/charts/chartEx28.xml" ContentType="application/vnd.ms-office.chartex+xml"/>
  <Override PartName="/xl/charts/style32.xml" ContentType="application/vnd.ms-office.chartstyle+xml"/>
  <Override PartName="/xl/charts/colors32.xml" ContentType="application/vnd.ms-office.chartcolorstyle+xml"/>
  <Override PartName="/xl/charts/chartEx29.xml" ContentType="application/vnd.ms-office.chartex+xml"/>
  <Override PartName="/xl/charts/style33.xml" ContentType="application/vnd.ms-office.chartstyle+xml"/>
  <Override PartName="/xl/charts/colors33.xml" ContentType="application/vnd.ms-office.chartcolorstyle+xml"/>
  <Override PartName="/xl/charts/chart5.xml" ContentType="application/vnd.openxmlformats-officedocument.drawingml.chart+xml"/>
  <Override PartName="/xl/charts/style34.xml" ContentType="application/vnd.ms-office.chartstyle+xml"/>
  <Override PartName="/xl/charts/colors34.xml" ContentType="application/vnd.ms-office.chartcolorstyle+xml"/>
  <Override PartName="/xl/charts/chart6.xml" ContentType="application/vnd.openxmlformats-officedocument.drawingml.chart+xml"/>
  <Override PartName="/xl/charts/style35.xml" ContentType="application/vnd.ms-office.chartstyle+xml"/>
  <Override PartName="/xl/charts/colors35.xml" ContentType="application/vnd.ms-office.chartcolorstyle+xml"/>
  <Override PartName="/xl/charts/chart7.xml" ContentType="application/vnd.openxmlformats-officedocument.drawingml.chart+xml"/>
  <Override PartName="/xl/charts/style36.xml" ContentType="application/vnd.ms-office.chartstyle+xml"/>
  <Override PartName="/xl/charts/colors36.xml" ContentType="application/vnd.ms-office.chartcolorstyle+xml"/>
  <Override PartName="/xl/charts/chart8.xml" ContentType="application/vnd.openxmlformats-officedocument.drawingml.chart+xml"/>
  <Override PartName="/xl/charts/style37.xml" ContentType="application/vnd.ms-office.chartstyle+xml"/>
  <Override PartName="/xl/charts/colors37.xml" ContentType="application/vnd.ms-office.chartcolorstyle+xml"/>
  <Override PartName="/xl/charts/chart9.xml" ContentType="application/vnd.openxmlformats-officedocument.drawingml.chart+xml"/>
  <Override PartName="/xl/charts/style38.xml" ContentType="application/vnd.ms-office.chartstyle+xml"/>
  <Override PartName="/xl/charts/colors38.xml" ContentType="application/vnd.ms-office.chartcolorstyle+xml"/>
  <Override PartName="/xl/charts/chart10.xml" ContentType="application/vnd.openxmlformats-officedocument.drawingml.chart+xml"/>
  <Override PartName="/xl/charts/style39.xml" ContentType="application/vnd.ms-office.chartstyle+xml"/>
  <Override PartName="/xl/charts/colors39.xml" ContentType="application/vnd.ms-office.chartcolorstyle+xml"/>
  <Override PartName="/xl/charts/chart11.xml" ContentType="application/vnd.openxmlformats-officedocument.drawingml.chart+xml"/>
  <Override PartName="/xl/charts/style40.xml" ContentType="application/vnd.ms-office.chartstyle+xml"/>
  <Override PartName="/xl/charts/colors40.xml" ContentType="application/vnd.ms-office.chartcolorstyle+xml"/>
  <Override PartName="/xl/charts/chart12.xml" ContentType="application/vnd.openxmlformats-officedocument.drawingml.chart+xml"/>
  <Override PartName="/xl/charts/style41.xml" ContentType="application/vnd.ms-office.chartstyle+xml"/>
  <Override PartName="/xl/charts/colors41.xml" ContentType="application/vnd.ms-office.chartcolorstyle+xml"/>
  <Override PartName="/xl/charts/chart13.xml" ContentType="application/vnd.openxmlformats-officedocument.drawingml.chart+xml"/>
  <Override PartName="/xl/charts/style42.xml" ContentType="application/vnd.ms-office.chartstyle+xml"/>
  <Override PartName="/xl/charts/colors4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d.docs.live.net/8b532bac862f8c2a/Wake Stats/Stats Project/"/>
    </mc:Choice>
  </mc:AlternateContent>
  <xr:revisionPtr revIDLastSave="22" documentId="8_{E4BACE72-8569-48D6-9469-81554D57D1D4}" xr6:coauthVersionLast="47" xr6:coauthVersionMax="47" xr10:uidLastSave="{A9CADA8A-496F-49D8-9F1B-3693CDFEE6A1}"/>
  <bookViews>
    <workbookView xWindow="-110" yWindow="-110" windowWidth="19420" windowHeight="10300" firstSheet="2" activeTab="4" xr2:uid="{00000000-000D-0000-FFFF-FFFF00000000}"/>
  </bookViews>
  <sheets>
    <sheet name="Cleaned Data" sheetId="1" r:id="rId1"/>
    <sheet name="3.1 Descriptive Statistics" sheetId="7" r:id="rId2"/>
    <sheet name="3.2 Frequency Tables" sheetId="3" r:id="rId3"/>
    <sheet name="3.3 Visuals - Categorical" sheetId="11" r:id="rId4"/>
    <sheet name="3.3 Visuals - Continuous" sheetId="13" r:id="rId5"/>
    <sheet name="3.4 Commentary" sheetId="5" r:id="rId6"/>
  </sheets>
  <definedNames>
    <definedName name="_xlnm._FilterDatabase" localSheetId="4" hidden="1">'3.3 Visuals - Continuous'!$J$1:$J$570</definedName>
    <definedName name="_xlnm._FilterDatabase" localSheetId="0" hidden="1">'Cleaned Data'!$A$1:$AC$570</definedName>
    <definedName name="_xlchart.v1.0" hidden="1">'3.3 Visuals - Continuous'!$V$1</definedName>
    <definedName name="_xlchart.v1.1" hidden="1">'3.3 Visuals - Continuous'!$V$2:$V$570</definedName>
    <definedName name="_xlchart.v1.10" hidden="1">'3.3 Visuals - Continuous'!$S$1</definedName>
    <definedName name="_xlchart.v1.11" hidden="1">'3.3 Visuals - Continuous'!$S$2:$S$570</definedName>
    <definedName name="_xlchart.v1.12" hidden="1">'3.3 Visuals - Continuous'!$V$1</definedName>
    <definedName name="_xlchart.v1.13" hidden="1">'3.3 Visuals - Continuous'!$V$2:$V$570</definedName>
    <definedName name="_xlchart.v1.14" hidden="1">'3.3 Visuals - Continuous'!$W$1</definedName>
    <definedName name="_xlchart.v1.15" hidden="1">'3.3 Visuals - Continuous'!$W$2:$W$570</definedName>
    <definedName name="_xlchart.v1.16" hidden="1">'3.3 Visuals - Continuous'!$J$1</definedName>
    <definedName name="_xlchart.v1.17" hidden="1">'3.3 Visuals - Continuous'!$J$2:$J$570</definedName>
    <definedName name="_xlchart.v1.18" hidden="1">'3.3 Visuals - Continuous'!$L$1</definedName>
    <definedName name="_xlchart.v1.19" hidden="1">'3.3 Visuals - Continuous'!$L$2:$L$570</definedName>
    <definedName name="_xlchart.v1.2" hidden="1">'3.3 Visuals - Continuous'!$W$1</definedName>
    <definedName name="_xlchart.v1.20" hidden="1">'3.3 Visuals - Continuous'!$I$1</definedName>
    <definedName name="_xlchart.v1.21" hidden="1">'3.3 Visuals - Continuous'!$I$2:$I$570</definedName>
    <definedName name="_xlchart.v1.22" hidden="1">'3.3 Visuals - Continuous'!$M$1</definedName>
    <definedName name="_xlchart.v1.23" hidden="1">'3.3 Visuals - Continuous'!$M$2:$M$570</definedName>
    <definedName name="_xlchart.v1.24" hidden="1">'3.3 Visuals - Continuous'!$N$1</definedName>
    <definedName name="_xlchart.v1.25" hidden="1">'3.3 Visuals - Continuous'!$N$2:$N$570</definedName>
    <definedName name="_xlchart.v1.26" hidden="1">'3.3 Visuals - Continuous'!$X$1</definedName>
    <definedName name="_xlchart.v1.27" hidden="1">'3.3 Visuals - Continuous'!$X$2:$X$570</definedName>
    <definedName name="_xlchart.v1.28" hidden="1">'3.3 Visuals - Continuous'!$P$1</definedName>
    <definedName name="_xlchart.v1.29" hidden="1">'3.3 Visuals - Continuous'!$P$2:$P$570</definedName>
    <definedName name="_xlchart.v1.3" hidden="1">'3.3 Visuals - Continuous'!$W$2:$W$570</definedName>
    <definedName name="_xlchart.v1.30" hidden="1">'3.3 Visuals - Continuous'!$U$1</definedName>
    <definedName name="_xlchart.v1.31" hidden="1">'3.3 Visuals - Continuous'!$U$2:$U$570</definedName>
    <definedName name="_xlchart.v1.32" hidden="1">'3.3 Visuals - Continuous'!$U$1</definedName>
    <definedName name="_xlchart.v1.33" hidden="1">'3.3 Visuals - Continuous'!$U$2:$U$570</definedName>
    <definedName name="_xlchart.v1.34" hidden="1">'3.3 Visuals - Continuous'!$R$1</definedName>
    <definedName name="_xlchart.v1.35" hidden="1">'3.3 Visuals - Continuous'!$R$2:$R$570</definedName>
    <definedName name="_xlchart.v1.36" hidden="1">'3.3 Visuals - Continuous'!$Q$1</definedName>
    <definedName name="_xlchart.v1.37" hidden="1">'3.3 Visuals - Continuous'!$Q$2:$Q$570</definedName>
    <definedName name="_xlchart.v1.38" hidden="1">'3.3 Visuals - Continuous'!$S$1</definedName>
    <definedName name="_xlchart.v1.39" hidden="1">'3.3 Visuals - Continuous'!$S$2:$S$570</definedName>
    <definedName name="_xlchart.v1.4" hidden="1">'3.3 Visuals - Continuous'!$O$1</definedName>
    <definedName name="_xlchart.v1.40" hidden="1">'3.3 Visuals - Continuous'!$X$1</definedName>
    <definedName name="_xlchart.v1.41" hidden="1">'3.3 Visuals - Continuous'!$X$2:$X$570</definedName>
    <definedName name="_xlchart.v1.42" hidden="1">'3.3 Visuals - Continuous'!$D$1</definedName>
    <definedName name="_xlchart.v1.43" hidden="1">'3.3 Visuals - Continuous'!$D$2:$D$570</definedName>
    <definedName name="_xlchart.v1.44" hidden="1">'3.3 Visuals - Continuous'!$D$1</definedName>
    <definedName name="_xlchart.v1.45" hidden="1">'3.3 Visuals - Continuous'!$D$2:$D$570</definedName>
    <definedName name="_xlchart.v1.46" hidden="1">'3.3 Visuals - Continuous'!$H$1</definedName>
    <definedName name="_xlchart.v1.47" hidden="1">'3.3 Visuals - Continuous'!$H$2:$H$570</definedName>
    <definedName name="_xlchart.v1.48" hidden="1">'3.3 Visuals - Continuous'!$B$1</definedName>
    <definedName name="_xlchart.v1.49" hidden="1">'3.3 Visuals - Continuous'!$B$2:$B$570</definedName>
    <definedName name="_xlchart.v1.5" hidden="1">'3.3 Visuals - Continuous'!$O$2:$O$570</definedName>
    <definedName name="_xlchart.v1.50" hidden="1">'3.3 Visuals - Continuous'!$C$1</definedName>
    <definedName name="_xlchart.v1.51" hidden="1">'3.3 Visuals - Continuous'!$C$2:$C$570</definedName>
    <definedName name="_xlchart.v1.52" hidden="1">'3.3 Visuals - Continuous'!$A$1</definedName>
    <definedName name="_xlchart.v1.53" hidden="1">'3.3 Visuals - Continuous'!$A$2:$A$570</definedName>
    <definedName name="_xlchart.v1.54" hidden="1">'3.3 Visuals - Continuous'!$G$1</definedName>
    <definedName name="_xlchart.v1.55" hidden="1">'3.3 Visuals - Continuous'!$G$2:$G$570</definedName>
    <definedName name="_xlchart.v1.56" hidden="1">'3.3 Visuals - Continuous'!$E$1:$E$4</definedName>
    <definedName name="_xlchart.v1.57" hidden="1">'3.3 Visuals - Continuous'!$E$5:$E$570</definedName>
    <definedName name="_xlchart.v1.6" hidden="1">'3.3 Visuals - Continuous'!$K$1</definedName>
    <definedName name="_xlchart.v1.7" hidden="1">'3.3 Visuals - Continuous'!$K$2:$K$570</definedName>
    <definedName name="_xlchart.v1.8" hidden="1">'3.3 Visuals - Continuous'!$T$1</definedName>
    <definedName name="_xlchart.v1.9" hidden="1">'3.3 Visuals - Continuous'!$T$2:$T$570</definedName>
  </definedNames>
  <calcPr calcId="191028"/>
  <pivotCaches>
    <pivotCache cacheId="10" r:id="rId7"/>
    <pivotCache cacheId="1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4" i="7" l="1"/>
  <c r="AZ14" i="7"/>
  <c r="BC4" i="7"/>
  <c r="AZ4" i="7"/>
  <c r="BC13" i="7"/>
  <c r="BC3" i="7"/>
  <c r="AZ13" i="7"/>
  <c r="AZ3" i="7"/>
</calcChain>
</file>

<file path=xl/sharedStrings.xml><?xml version="1.0" encoding="utf-8"?>
<sst xmlns="http://schemas.openxmlformats.org/spreadsheetml/2006/main" count="7846" uniqueCount="643">
  <si>
    <t>Player</t>
  </si>
  <si>
    <t>Age</t>
  </si>
  <si>
    <t>G</t>
  </si>
  <si>
    <t>FGA</t>
  </si>
  <si>
    <t>FG%</t>
  </si>
  <si>
    <t>3PA</t>
  </si>
  <si>
    <t>3P%</t>
  </si>
  <si>
    <t>2PA</t>
  </si>
  <si>
    <t>2P%</t>
  </si>
  <si>
    <t>eFG%</t>
  </si>
  <si>
    <t>FTA</t>
  </si>
  <si>
    <t>FT%</t>
  </si>
  <si>
    <t>YOS</t>
  </si>
  <si>
    <t>Nationality</t>
  </si>
  <si>
    <t>VORP</t>
  </si>
  <si>
    <t>PER</t>
  </si>
  <si>
    <t>Draft_Group</t>
  </si>
  <si>
    <t>Precious Achiuwa</t>
  </si>
  <si>
    <t>C</t>
  </si>
  <si>
    <t>foreign</t>
  </si>
  <si>
    <t>Rnd 1</t>
  </si>
  <si>
    <t>Steven Adams</t>
  </si>
  <si>
    <t>Bam Adebayo</t>
  </si>
  <si>
    <t>United States</t>
  </si>
  <si>
    <t>Ochai Agbaji</t>
  </si>
  <si>
    <t>Santi Aldama</t>
  </si>
  <si>
    <t>F</t>
  </si>
  <si>
    <t>Trey Alexander</t>
  </si>
  <si>
    <t>Undrafted</t>
  </si>
  <si>
    <t>Nickeil Alexander-Walker</t>
  </si>
  <si>
    <t>Grayson Allen</t>
  </si>
  <si>
    <t>Jarrett Allen</t>
  </si>
  <si>
    <t>Jose Alvarado</t>
  </si>
  <si>
    <t>multinational_US</t>
  </si>
  <si>
    <t>Kyle Anderson</t>
  </si>
  <si>
    <t>mult</t>
  </si>
  <si>
    <t>Giannis Antetokounmpo</t>
  </si>
  <si>
    <t>Cole Anthony</t>
  </si>
  <si>
    <t>OG Anunoby</t>
  </si>
  <si>
    <t>Deni Avdija</t>
  </si>
  <si>
    <t>Deandre Ayton</t>
  </si>
  <si>
    <t>Marcus Bagley</t>
  </si>
  <si>
    <t>Marvin Bagley III</t>
  </si>
  <si>
    <t>Patrick Baldwin Jr.</t>
  </si>
  <si>
    <t>LaMelo Ball</t>
  </si>
  <si>
    <t>Lonzo Ball</t>
  </si>
  <si>
    <t>Mo Bamba</t>
  </si>
  <si>
    <t>Paolo Banchero</t>
  </si>
  <si>
    <t>Desmond Bane</t>
  </si>
  <si>
    <t>Dalano Banton</t>
  </si>
  <si>
    <t>Rnd 2</t>
  </si>
  <si>
    <t>Dominick Barlow</t>
  </si>
  <si>
    <t>Harrison Barnes</t>
  </si>
  <si>
    <t>Scottie Barnes</t>
  </si>
  <si>
    <t>RJ Barrett</t>
  </si>
  <si>
    <t>Charles Bassey</t>
  </si>
  <si>
    <t>Emoni Bates</t>
  </si>
  <si>
    <t>Jamison Battle</t>
  </si>
  <si>
    <t>Nicolas Batum</t>
  </si>
  <si>
    <t>Damion Baugh</t>
  </si>
  <si>
    <t>Bradley Beal</t>
  </si>
  <si>
    <t>Malik Beasley</t>
  </si>
  <si>
    <t>MarJon Beauchamp</t>
  </si>
  <si>
    <t>Reece Beekman</t>
  </si>
  <si>
    <t>Goga Bitadze</t>
  </si>
  <si>
    <t>Bismack Biyombo</t>
  </si>
  <si>
    <t>Anthony Black</t>
  </si>
  <si>
    <t>Bogdan Bogdanović</t>
  </si>
  <si>
    <t>Bol Bol</t>
  </si>
  <si>
    <t>Adem Bona</t>
  </si>
  <si>
    <t>Devin Booker</t>
  </si>
  <si>
    <t>Brandon Boston Jr.</t>
  </si>
  <si>
    <t>Chris Boucher</t>
  </si>
  <si>
    <t>Jamaree Bouyea</t>
  </si>
  <si>
    <t>Tony Bradley</t>
  </si>
  <si>
    <t>Malaki Branham</t>
  </si>
  <si>
    <t>Christian Braun</t>
  </si>
  <si>
    <t>Jalen Bridges</t>
  </si>
  <si>
    <t>Mikal Bridges</t>
  </si>
  <si>
    <t>Miles Bridges</t>
  </si>
  <si>
    <t>Oshae Brissett</t>
  </si>
  <si>
    <t>Malcolm Brogdon</t>
  </si>
  <si>
    <t>Dillon Brooks</t>
  </si>
  <si>
    <t>Keion Brooks Jr.</t>
  </si>
  <si>
    <t>Bruce Brown</t>
  </si>
  <si>
    <t>Jaylen Brown</t>
  </si>
  <si>
    <t>Kobe Brown</t>
  </si>
  <si>
    <t>Moses Brown</t>
  </si>
  <si>
    <t>Jalen Brunson</t>
  </si>
  <si>
    <t>Thomas Bryant</t>
  </si>
  <si>
    <t>Kobe Bufkin</t>
  </si>
  <si>
    <t>Alec Burks</t>
  </si>
  <si>
    <t>Jared Butler</t>
  </si>
  <si>
    <t>Jimmy Butler</t>
  </si>
  <si>
    <t>Matas Buzelis</t>
  </si>
  <si>
    <t>Jamal Cain</t>
  </si>
  <si>
    <t>Kentavious Caldwell-Pope</t>
  </si>
  <si>
    <t>Toumani Camara</t>
  </si>
  <si>
    <t>Vlatko Čančar</t>
  </si>
  <si>
    <t>Clint Capela</t>
  </si>
  <si>
    <t>Branden Carlson</t>
  </si>
  <si>
    <t>Bub Carrington</t>
  </si>
  <si>
    <t>Devin Carter</t>
  </si>
  <si>
    <t>Jevon Carter</t>
  </si>
  <si>
    <t>Wendell Carter Jr.</t>
  </si>
  <si>
    <t>D.J. Carton</t>
  </si>
  <si>
    <t>Alex Caruso</t>
  </si>
  <si>
    <t>Stephon Castle</t>
  </si>
  <si>
    <t>Colin Castleton</t>
  </si>
  <si>
    <t>Julian Champagnie</t>
  </si>
  <si>
    <t>Justin Champagnie</t>
  </si>
  <si>
    <t>Ulrich Chomche</t>
  </si>
  <si>
    <t>Cam Christie</t>
  </si>
  <si>
    <t>Max Christie</t>
  </si>
  <si>
    <t>Josh Christopher</t>
  </si>
  <si>
    <t>Sidy Cissoko</t>
  </si>
  <si>
    <t>Jaylen Clark</t>
  </si>
  <si>
    <t>Brandon Clarke</t>
  </si>
  <si>
    <t>Jordan Clarkson</t>
  </si>
  <si>
    <t>Nic Claxton</t>
  </si>
  <si>
    <t>Donovan Clingan</t>
  </si>
  <si>
    <t>Noah Clowney</t>
  </si>
  <si>
    <t>Amir Coffey</t>
  </si>
  <si>
    <t>Isaiah Collier</t>
  </si>
  <si>
    <t>John Collins</t>
  </si>
  <si>
    <t>Yuri Collins</t>
  </si>
  <si>
    <t>Zach Collins</t>
  </si>
  <si>
    <t>Mike Conley</t>
  </si>
  <si>
    <t>Pat Connaughton</t>
  </si>
  <si>
    <t>Bilal Coulibaly</t>
  </si>
  <si>
    <t>Ricky Council IV</t>
  </si>
  <si>
    <t>Torrey Craig</t>
  </si>
  <si>
    <t>Isaiah Crawford</t>
  </si>
  <si>
    <t>Jae Crowder</t>
  </si>
  <si>
    <t>Cui Yongxi</t>
  </si>
  <si>
    <t>Cade Cunningham</t>
  </si>
  <si>
    <t>Seth Curry</t>
  </si>
  <si>
    <t>Stephen Curry</t>
  </si>
  <si>
    <t>Tristan Da Silva</t>
  </si>
  <si>
    <t>Pacôme Dadiet</t>
  </si>
  <si>
    <t>Dyson Daniels</t>
  </si>
  <si>
    <t>N'Faly Dante</t>
  </si>
  <si>
    <t>Anthony Davis</t>
  </si>
  <si>
    <t>Johnny Davis</t>
  </si>
  <si>
    <t>Terence Davis</t>
  </si>
  <si>
    <t>JD Davison</t>
  </si>
  <si>
    <t>RayJ Dennis</t>
  </si>
  <si>
    <t>DeMar DeRozan</t>
  </si>
  <si>
    <t>Moussa Diabaté</t>
  </si>
  <si>
    <t>Gradey Dick</t>
  </si>
  <si>
    <t>Ousmane Dieng</t>
  </si>
  <si>
    <t>Rob Dillingham</t>
  </si>
  <si>
    <t>Spencer Dinwiddie</t>
  </si>
  <si>
    <t>Donte DiVincenzo</t>
  </si>
  <si>
    <t>Luka Dončić</t>
  </si>
  <si>
    <t>Luguentz Dort</t>
  </si>
  <si>
    <t>Ayo Dosunmu</t>
  </si>
  <si>
    <t>Jeff Dowtin Jr.</t>
  </si>
  <si>
    <t>PJ Dozier</t>
  </si>
  <si>
    <t>Andre Drummond</t>
  </si>
  <si>
    <t>Chris Duarte</t>
  </si>
  <si>
    <t>Alex Ducas</t>
  </si>
  <si>
    <t>David Duke Jr.</t>
  </si>
  <si>
    <t>Kris Dunn</t>
  </si>
  <si>
    <t>Ryan Dunn</t>
  </si>
  <si>
    <t>Kevin Durant</t>
  </si>
  <si>
    <t>Jalen Duren</t>
  </si>
  <si>
    <t>Tari Eason</t>
  </si>
  <si>
    <t>Zach Edey</t>
  </si>
  <si>
    <t>Anthony Edwards</t>
  </si>
  <si>
    <t>Jesse Edwards</t>
  </si>
  <si>
    <t>Justin Edwards</t>
  </si>
  <si>
    <t>Kessler Edwards</t>
  </si>
  <si>
    <t>Keon Ellis</t>
  </si>
  <si>
    <t>Joel Embiid</t>
  </si>
  <si>
    <t>Tyson Etienne</t>
  </si>
  <si>
    <t>Drew Eubanks</t>
  </si>
  <si>
    <t>Tosan Evbuomwan</t>
  </si>
  <si>
    <t>Danté Exum</t>
  </si>
  <si>
    <t>Bruno Fernando</t>
  </si>
  <si>
    <t>Kyle Filipowski</t>
  </si>
  <si>
    <t>Dorian Finney-Smith</t>
  </si>
  <si>
    <t>Adam Flagler</t>
  </si>
  <si>
    <t>Trentyn Flowers</t>
  </si>
  <si>
    <t>Malachi Flynn</t>
  </si>
  <si>
    <t>Simone Fontecchio</t>
  </si>
  <si>
    <t>De'Aaron Fox</t>
  </si>
  <si>
    <t>Enrique Freeman</t>
  </si>
  <si>
    <t>Markelle Fultz</t>
  </si>
  <si>
    <t>Johnny Furphy</t>
  </si>
  <si>
    <t>Daniel Gafford</t>
  </si>
  <si>
    <t>Darius Garland</t>
  </si>
  <si>
    <t>Marcus Garrett</t>
  </si>
  <si>
    <t>Luka Garza</t>
  </si>
  <si>
    <t>Keyonte George</t>
  </si>
  <si>
    <t>Kyshawn George</t>
  </si>
  <si>
    <t>Paul George</t>
  </si>
  <si>
    <t>Taj Gibson</t>
  </si>
  <si>
    <t>Josh Giddey</t>
  </si>
  <si>
    <t>Shai Gilgeous-Alexander</t>
  </si>
  <si>
    <t>Anthony Gill</t>
  </si>
  <si>
    <t>Collin Gillespie</t>
  </si>
  <si>
    <t>Rudy Gobert</t>
  </si>
  <si>
    <t>Jordan Goodwin</t>
  </si>
  <si>
    <t>Aaron Gordon</t>
  </si>
  <si>
    <t>Eric Gordon</t>
  </si>
  <si>
    <t>Jazian Gortman</t>
  </si>
  <si>
    <t>Jerami Grant</t>
  </si>
  <si>
    <t>A.J. Green</t>
  </si>
  <si>
    <t>Draymond Green</t>
  </si>
  <si>
    <t>Jalen Green</t>
  </si>
  <si>
    <t>Javonte Green</t>
  </si>
  <si>
    <t>Jeff Green</t>
  </si>
  <si>
    <t>Josh Green</t>
  </si>
  <si>
    <t>Quentin Grimes</t>
  </si>
  <si>
    <t>Mouhamed Gueye</t>
  </si>
  <si>
    <t>Rui Hachimura</t>
  </si>
  <si>
    <t>Tyrese Haliburton</t>
  </si>
  <si>
    <t>PJ Hall</t>
  </si>
  <si>
    <t>Tim Hardaway Jr.</t>
  </si>
  <si>
    <t>James Harden</t>
  </si>
  <si>
    <t>Jaden Hardy</t>
  </si>
  <si>
    <t>Elijah Harkless</t>
  </si>
  <si>
    <t>Ron Harper Jr.</t>
  </si>
  <si>
    <t>Gary Harris</t>
  </si>
  <si>
    <t>Tobias Harris</t>
  </si>
  <si>
    <t>Josh Hart</t>
  </si>
  <si>
    <t>Isaiah Hartenstein</t>
  </si>
  <si>
    <t>Sam Hauser</t>
  </si>
  <si>
    <t>Jordan Hawkins</t>
  </si>
  <si>
    <t>Jaxson Hayes</t>
  </si>
  <si>
    <t>Killian Hayes</t>
  </si>
  <si>
    <t>Scoot Henderson</t>
  </si>
  <si>
    <t>Taylor Hendricks</t>
  </si>
  <si>
    <t>Tyler Herro</t>
  </si>
  <si>
    <t>Buddy Hield</t>
  </si>
  <si>
    <t>Haywood Highsmith</t>
  </si>
  <si>
    <t>Aaron Holiday</t>
  </si>
  <si>
    <t>Jrue Holiday</t>
  </si>
  <si>
    <t>Ron Holland</t>
  </si>
  <si>
    <t>Richaun Holmes</t>
  </si>
  <si>
    <t>Chet Holmgren</t>
  </si>
  <si>
    <t>Jalen Hood-Schifino</t>
  </si>
  <si>
    <t>Al Horford</t>
  </si>
  <si>
    <t>Talen Horton-Tucker</t>
  </si>
  <si>
    <t>Caleb Houstan</t>
  </si>
  <si>
    <t>Jett Howard</t>
  </si>
  <si>
    <t>Kevin Huerter</t>
  </si>
  <si>
    <t>Jay Huff</t>
  </si>
  <si>
    <t>Ariel Hukporti</t>
  </si>
  <si>
    <t>De'Andre Hunter</t>
  </si>
  <si>
    <t>Bones Hyland</t>
  </si>
  <si>
    <t>Oso Ighodaro</t>
  </si>
  <si>
    <t>Joe Ingles</t>
  </si>
  <si>
    <t>Brandon Ingram</t>
  </si>
  <si>
    <t>Harrison Ingram</t>
  </si>
  <si>
    <t>Kyrie Irving</t>
  </si>
  <si>
    <t>Jonathan Isaac</t>
  </si>
  <si>
    <t>Jaden Ivey</t>
  </si>
  <si>
    <t>Andre Jackson Jr.</t>
  </si>
  <si>
    <t>GG Jackson II</t>
  </si>
  <si>
    <t>Isaiah Jackson</t>
  </si>
  <si>
    <t>Jaren Jackson Jr.</t>
  </si>
  <si>
    <t>Quenton Jackson</t>
  </si>
  <si>
    <t>Reggie Jackson</t>
  </si>
  <si>
    <t>Trayce Jackson-Davis</t>
  </si>
  <si>
    <t>Bronny James</t>
  </si>
  <si>
    <t>LeBron James</t>
  </si>
  <si>
    <t>Jaime Jaquez Jr.</t>
  </si>
  <si>
    <t>DaQuan Jeffries</t>
  </si>
  <si>
    <t>Trey Jemison</t>
  </si>
  <si>
    <t>Daniss Jenkins</t>
  </si>
  <si>
    <t>Ty Jerome</t>
  </si>
  <si>
    <t>Isaiah Joe</t>
  </si>
  <si>
    <t>AJ Johnson</t>
  </si>
  <si>
    <t>Cameron Johnson</t>
  </si>
  <si>
    <t>Jalen Johnson</t>
  </si>
  <si>
    <t>James Johnson</t>
  </si>
  <si>
    <t>Keldon Johnson</t>
  </si>
  <si>
    <t>Keon Johnson</t>
  </si>
  <si>
    <t>Keshad Johnson</t>
  </si>
  <si>
    <t>Nikola Jokić</t>
  </si>
  <si>
    <t>Colby Jones</t>
  </si>
  <si>
    <t>Derrick Jones Jr.</t>
  </si>
  <si>
    <t>Dillon Jones</t>
  </si>
  <si>
    <t>Herbert Jones</t>
  </si>
  <si>
    <t>Isaac Jones</t>
  </si>
  <si>
    <t>Kai Jones</t>
  </si>
  <si>
    <t>Mason Jones</t>
  </si>
  <si>
    <t>Spencer Jones</t>
  </si>
  <si>
    <t>Tre Jones</t>
  </si>
  <si>
    <t>Tyus Jones</t>
  </si>
  <si>
    <t>DeAndre Jordan</t>
  </si>
  <si>
    <t>Cory Joseph</t>
  </si>
  <si>
    <t>Nikola Jović</t>
  </si>
  <si>
    <t>Johnny Juzang</t>
  </si>
  <si>
    <t>Yuki Kawamura</t>
  </si>
  <si>
    <t>Kylor Kelley</t>
  </si>
  <si>
    <t>Luke Kennard</t>
  </si>
  <si>
    <t>Walker Kessler</t>
  </si>
  <si>
    <t>Braxton Key</t>
  </si>
  <si>
    <t>Corey Kispert</t>
  </si>
  <si>
    <t>Maxi Kleber</t>
  </si>
  <si>
    <t>Bobi Klintman</t>
  </si>
  <si>
    <t>Dalton Knecht</t>
  </si>
  <si>
    <t>Kevin Knox</t>
  </si>
  <si>
    <t>Tyler Kolek</t>
  </si>
  <si>
    <t>Christian Koloko</t>
  </si>
  <si>
    <t>John Konchar</t>
  </si>
  <si>
    <t>Luke Kornet</t>
  </si>
  <si>
    <t>Vít Krejčí</t>
  </si>
  <si>
    <t>Jonathan Kuminga</t>
  </si>
  <si>
    <t>Kyle Kuzma</t>
  </si>
  <si>
    <t>Skal Labissière</t>
  </si>
  <si>
    <t>Jock Landale</t>
  </si>
  <si>
    <t>Jake LaRavia</t>
  </si>
  <si>
    <t>Pelle Larsson</t>
  </si>
  <si>
    <t>Zach LaVine</t>
  </si>
  <si>
    <t>A.J. Lawson</t>
  </si>
  <si>
    <t>Damion Lee</t>
  </si>
  <si>
    <t>Alex Len</t>
  </si>
  <si>
    <t>Kawhi Leonard</t>
  </si>
  <si>
    <t>Malevy Leons</t>
  </si>
  <si>
    <t>Caris LeVert</t>
  </si>
  <si>
    <t>Maxwell Lewis</t>
  </si>
  <si>
    <t>E.J. Liddell</t>
  </si>
  <si>
    <t>Damian Lillard</t>
  </si>
  <si>
    <t>Dereck Lively II</t>
  </si>
  <si>
    <t>Chris Livingston</t>
  </si>
  <si>
    <t>Kevon Looney</t>
  </si>
  <si>
    <t>Brook Lopez</t>
  </si>
  <si>
    <t>Kevin Love</t>
  </si>
  <si>
    <t>Kyle Lowry</t>
  </si>
  <si>
    <t>Trey Lyles</t>
  </si>
  <si>
    <t>Sandro Mamukelashvili</t>
  </si>
  <si>
    <t>Terance Mann</t>
  </si>
  <si>
    <t>Tre Mann</t>
  </si>
  <si>
    <t>Lauri Markkanen</t>
  </si>
  <si>
    <t>Naji Marshall</t>
  </si>
  <si>
    <t>Caleb Martin</t>
  </si>
  <si>
    <t>Cody Martin</t>
  </si>
  <si>
    <t>Jaylen Martin</t>
  </si>
  <si>
    <t>KJ Martin</t>
  </si>
  <si>
    <t>Tyrese Martin</t>
  </si>
  <si>
    <t>Garrison Mathews</t>
  </si>
  <si>
    <t>Bennedict Mathurin</t>
  </si>
  <si>
    <t>Karlo Matković</t>
  </si>
  <si>
    <t>Tyrese Maxey</t>
  </si>
  <si>
    <t>Miles McBride</t>
  </si>
  <si>
    <t>Jared McCain</t>
  </si>
  <si>
    <t>Mac McClung</t>
  </si>
  <si>
    <t>CJ McCollum</t>
  </si>
  <si>
    <t>T.J. McConnell</t>
  </si>
  <si>
    <t>Kevin McCullar Jr.</t>
  </si>
  <si>
    <t>Jaden McDaniels</t>
  </si>
  <si>
    <t>Jalen McDaniels</t>
  </si>
  <si>
    <t>Doug McDermott</t>
  </si>
  <si>
    <t>Bryce McGowens</t>
  </si>
  <si>
    <t>Jordan McLaughlin</t>
  </si>
  <si>
    <t>Jack McVeigh</t>
  </si>
  <si>
    <t>De'Anthony Melton</t>
  </si>
  <si>
    <t>Sam Merrill</t>
  </si>
  <si>
    <t>Vasilije Micić</t>
  </si>
  <si>
    <t>Khris Middleton</t>
  </si>
  <si>
    <t>Brandon Miller</t>
  </si>
  <si>
    <t>Emanuel Miller</t>
  </si>
  <si>
    <t>Jordan Miller</t>
  </si>
  <si>
    <t>Leonard Miller</t>
  </si>
  <si>
    <t>Patty Mills</t>
  </si>
  <si>
    <t>Shake Milton</t>
  </si>
  <si>
    <t>Justin Minaya</t>
  </si>
  <si>
    <t>Riley Minix</t>
  </si>
  <si>
    <t>Josh Minott</t>
  </si>
  <si>
    <t>Yves Missi</t>
  </si>
  <si>
    <t>Ajay Mitchell</t>
  </si>
  <si>
    <t>Davion Mitchell</t>
  </si>
  <si>
    <t>Donovan Mitchell</t>
  </si>
  <si>
    <t>Evan Mobley</t>
  </si>
  <si>
    <t>Isaiah Mobley</t>
  </si>
  <si>
    <t>Jonathan Mogbo</t>
  </si>
  <si>
    <t>Malik Monk</t>
  </si>
  <si>
    <t>Moses Moody</t>
  </si>
  <si>
    <t>Taze Moore</t>
  </si>
  <si>
    <t>Wendell Moore Jr.</t>
  </si>
  <si>
    <t>Ja Morant</t>
  </si>
  <si>
    <t>Markieff Morris</t>
  </si>
  <si>
    <t>Monte Morris</t>
  </si>
  <si>
    <t>Trey Murphy III</t>
  </si>
  <si>
    <t>Dejounte Murray</t>
  </si>
  <si>
    <t>Jamal Murray</t>
  </si>
  <si>
    <t>Keegan Murray</t>
  </si>
  <si>
    <t>Kris Murray</t>
  </si>
  <si>
    <t>Svi Mykhailiuk</t>
  </si>
  <si>
    <t>Larry Nance Jr.</t>
  </si>
  <si>
    <t>Pete Nance</t>
  </si>
  <si>
    <t>Andrew Nembhard</t>
  </si>
  <si>
    <t>Aaron Nesmith</t>
  </si>
  <si>
    <t>Tristen Newton</t>
  </si>
  <si>
    <t>Georges Niang</t>
  </si>
  <si>
    <t>Daishen Nix</t>
  </si>
  <si>
    <t>Zeke Nnaji</t>
  </si>
  <si>
    <t>Miles Norris</t>
  </si>
  <si>
    <t>Jaylen Nowell</t>
  </si>
  <si>
    <t>Jusuf Nurkić</t>
  </si>
  <si>
    <t>Royce O'Neale</t>
  </si>
  <si>
    <t>Jahlil Okafor</t>
  </si>
  <si>
    <t>Chuma Okeke</t>
  </si>
  <si>
    <t>Josh Okogie</t>
  </si>
  <si>
    <t>Onyeka Okongwu</t>
  </si>
  <si>
    <t>Isaac Okoro</t>
  </si>
  <si>
    <t>Quincy Olivari</t>
  </si>
  <si>
    <t>Kelly Olynyk</t>
  </si>
  <si>
    <t>Kelly Oubre Jr.</t>
  </si>
  <si>
    <t>Chris Paul</t>
  </si>
  <si>
    <t>Cameron Payne</t>
  </si>
  <si>
    <t>Elfrid Payton</t>
  </si>
  <si>
    <t>Gary Payton II</t>
  </si>
  <si>
    <t>Drew Peterson</t>
  </si>
  <si>
    <t>Julian Phillips</t>
  </si>
  <si>
    <t>Jalen Pickett</t>
  </si>
  <si>
    <t>Scotty Pippen Jr.</t>
  </si>
  <si>
    <t>Daeqwon Plowden</t>
  </si>
  <si>
    <t>Mason Plumlee</t>
  </si>
  <si>
    <t>Brandin Podziemski</t>
  </si>
  <si>
    <t>Jakob Poeltl</t>
  </si>
  <si>
    <t>Jordan Poole</t>
  </si>
  <si>
    <t>Craig Porter Jr.</t>
  </si>
  <si>
    <t>Kevin Porter Jr.</t>
  </si>
  <si>
    <t>Michael Porter Jr.</t>
  </si>
  <si>
    <t>Bobby Portis</t>
  </si>
  <si>
    <t>Kristaps Porziņģis</t>
  </si>
  <si>
    <t>Quinten Post</t>
  </si>
  <si>
    <t>Micah Potter</t>
  </si>
  <si>
    <t>Dwight Powell</t>
  </si>
  <si>
    <t>Norman Powell</t>
  </si>
  <si>
    <t>Taurean Prince</t>
  </si>
  <si>
    <t>Payton Pritchard</t>
  </si>
  <si>
    <t>Olivier-Maxence Prosper</t>
  </si>
  <si>
    <t>Zyon Pullin</t>
  </si>
  <si>
    <t>Trevelin Queen</t>
  </si>
  <si>
    <t>Neemias Queta</t>
  </si>
  <si>
    <t>Immanuel Quickley</t>
  </si>
  <si>
    <t>Lester Quiñones</t>
  </si>
  <si>
    <t>Julius Randle</t>
  </si>
  <si>
    <t>Duop Reath</t>
  </si>
  <si>
    <t>Austin Reaves</t>
  </si>
  <si>
    <t>Cam Reddish</t>
  </si>
  <si>
    <t>Paul Reed</t>
  </si>
  <si>
    <t>Alex Reese</t>
  </si>
  <si>
    <t>Antonio Reeves</t>
  </si>
  <si>
    <t>Naz Reid</t>
  </si>
  <si>
    <t>Jared Rhoden</t>
  </si>
  <si>
    <t>Nick Richards</t>
  </si>
  <si>
    <t>Josh Richardson</t>
  </si>
  <si>
    <t>Zaccharie Risacher</t>
  </si>
  <si>
    <t>Liam Robbins</t>
  </si>
  <si>
    <t>Duncan Robinson</t>
  </si>
  <si>
    <t>Mitchell Robinson</t>
  </si>
  <si>
    <t>Orlando Robinson</t>
  </si>
  <si>
    <t>Jeremiah Robinson-Earl</t>
  </si>
  <si>
    <t>David Roddy</t>
  </si>
  <si>
    <t>Ryan Rollins</t>
  </si>
  <si>
    <t>Jackson Rowe</t>
  </si>
  <si>
    <t>Terry Rozier</t>
  </si>
  <si>
    <t>Rayan Rupert</t>
  </si>
  <si>
    <t>D'Angelo Russell</t>
  </si>
  <si>
    <t>Matt Ryan</t>
  </si>
  <si>
    <t>Domantas Sabonis</t>
  </si>
  <si>
    <t>Tidjane Salaün</t>
  </si>
  <si>
    <t>Adama Sanogo</t>
  </si>
  <si>
    <t>Gui Santos</t>
  </si>
  <si>
    <t>Dario Šarić</t>
  </si>
  <si>
    <t>Alex Sarr</t>
  </si>
  <si>
    <t>Marcus Sasser</t>
  </si>
  <si>
    <t>Baylor Scheierman</t>
  </si>
  <si>
    <t>Dennis Schröder</t>
  </si>
  <si>
    <t>Alperen Şengün</t>
  </si>
  <si>
    <t>Brice Sensabaugh</t>
  </si>
  <si>
    <t>Collin Sexton</t>
  </si>
  <si>
    <t>Landry Shamet</t>
  </si>
  <si>
    <t>Terrence Shannon Jr.</t>
  </si>
  <si>
    <t>Day'Ron Sharpe</t>
  </si>
  <si>
    <t>Shaedon Sharpe</t>
  </si>
  <si>
    <t>Jamal Shead</t>
  </si>
  <si>
    <t>Ben Sheppard</t>
  </si>
  <si>
    <t>Reed Sheppard</t>
  </si>
  <si>
    <t>Pascal Siakam</t>
  </si>
  <si>
    <t>Ben Simmons</t>
  </si>
  <si>
    <t>Anfernee Simons</t>
  </si>
  <si>
    <t>KJ Simpson</t>
  </si>
  <si>
    <t>Jaylen Sims</t>
  </si>
  <si>
    <t>Jericho Sims</t>
  </si>
  <si>
    <t>Marcus Smart</t>
  </si>
  <si>
    <t>Dru Smith</t>
  </si>
  <si>
    <t>Jabari Smith Jr.</t>
  </si>
  <si>
    <t>Jalen Smith</t>
  </si>
  <si>
    <t>Nick Smith Jr.</t>
  </si>
  <si>
    <t>Tolu Smith</t>
  </si>
  <si>
    <t>Tyler Smith</t>
  </si>
  <si>
    <t>Jeremy Sochan</t>
  </si>
  <si>
    <t>Cam Spencer</t>
  </si>
  <si>
    <t>Pat Spencer</t>
  </si>
  <si>
    <t>Jaden Springer</t>
  </si>
  <si>
    <t>Isaiah Stevens</t>
  </si>
  <si>
    <t>Lamar Stevens</t>
  </si>
  <si>
    <t>Isaiah Stewart</t>
  </si>
  <si>
    <t>Julian Strawther</t>
  </si>
  <si>
    <t>Max Strus</t>
  </si>
  <si>
    <t>Jalen Suggs</t>
  </si>
  <si>
    <t>Cole Swider</t>
  </si>
  <si>
    <t>Jae'Sean Tate</t>
  </si>
  <si>
    <t>Jayson Tatum</t>
  </si>
  <si>
    <t>Terry Taylor</t>
  </si>
  <si>
    <t>Garrett Temple</t>
  </si>
  <si>
    <t>Dalen Terry</t>
  </si>
  <si>
    <t>Daniel Theis</t>
  </si>
  <si>
    <t>Cam Thomas</t>
  </si>
  <si>
    <t>Amen Thompson</t>
  </si>
  <si>
    <t>Ausar Thompson</t>
  </si>
  <si>
    <t>Klay Thompson</t>
  </si>
  <si>
    <t>Tristan Thompson</t>
  </si>
  <si>
    <t>JT Thor</t>
  </si>
  <si>
    <t>Matisse Thybulle</t>
  </si>
  <si>
    <t>Xavier Tillman Sr.</t>
  </si>
  <si>
    <t>Drew Timme</t>
  </si>
  <si>
    <t>Nae'Qwan Tomlin</t>
  </si>
  <si>
    <t>Jacob Toppin</t>
  </si>
  <si>
    <t>Obi Toppin</t>
  </si>
  <si>
    <t>Karl-Anthony Towns</t>
  </si>
  <si>
    <t>Armel Traoré</t>
  </si>
  <si>
    <t>Luke Travers</t>
  </si>
  <si>
    <t>Gary Trent Jr.</t>
  </si>
  <si>
    <t>Oscar Tshiebwe</t>
  </si>
  <si>
    <t>P.J. Tucker</t>
  </si>
  <si>
    <t>Myles Turner</t>
  </si>
  <si>
    <t>Hunter Tyson</t>
  </si>
  <si>
    <t>Jaylon Tyson</t>
  </si>
  <si>
    <t>Stanley Umude</t>
  </si>
  <si>
    <t>Jonas Valančiūnas</t>
  </si>
  <si>
    <t>Jarred Vanderbilt</t>
  </si>
  <si>
    <t>Fred VanVleet</t>
  </si>
  <si>
    <t>Devin Vassell</t>
  </si>
  <si>
    <t>Gabe Vincent</t>
  </si>
  <si>
    <t>Nikola Vučević</t>
  </si>
  <si>
    <t>Tristan Vukcevic</t>
  </si>
  <si>
    <t>Dean Wade</t>
  </si>
  <si>
    <t>Franz Wagner</t>
  </si>
  <si>
    <t>Moritz Wagner</t>
  </si>
  <si>
    <t>Jabari Walker</t>
  </si>
  <si>
    <t>Jarace Walker</t>
  </si>
  <si>
    <t>Lonnie Walker IV</t>
  </si>
  <si>
    <t>Cason Wallace</t>
  </si>
  <si>
    <t>Keaton Wallace</t>
  </si>
  <si>
    <t>Jordan Walsh</t>
  </si>
  <si>
    <t>Ja'Kobe Walter</t>
  </si>
  <si>
    <t>Kel'el Ware</t>
  </si>
  <si>
    <t>P.J. Washington</t>
  </si>
  <si>
    <t>TyTy Washington Jr.</t>
  </si>
  <si>
    <t>Lindy Waters III</t>
  </si>
  <si>
    <t>Trendon Watford</t>
  </si>
  <si>
    <t>Anton Watson</t>
  </si>
  <si>
    <t>Peyton Watson</t>
  </si>
  <si>
    <t>Jaylen Wells</t>
  </si>
  <si>
    <t>Victor Wembanyama</t>
  </si>
  <si>
    <t>Blake Wesley</t>
  </si>
  <si>
    <t>Russell Westbrook</t>
  </si>
  <si>
    <t>Phillip Wheeler</t>
  </si>
  <si>
    <t>Coby White</t>
  </si>
  <si>
    <t>Derrick White</t>
  </si>
  <si>
    <t>Dariq Whitehead</t>
  </si>
  <si>
    <t>Cam Whitmore</t>
  </si>
  <si>
    <t>Aaron Wiggins</t>
  </si>
  <si>
    <t>Andrew Wiggins</t>
  </si>
  <si>
    <t>Alondes Williams</t>
  </si>
  <si>
    <t>Brandon Williams</t>
  </si>
  <si>
    <t>Cody Williams</t>
  </si>
  <si>
    <t>Grant Williams</t>
  </si>
  <si>
    <t>Jalen Williams</t>
  </si>
  <si>
    <t>Jaylin Williams</t>
  </si>
  <si>
    <t>Kenrich Williams</t>
  </si>
  <si>
    <t>Mark Williams</t>
  </si>
  <si>
    <t>Nate Williams</t>
  </si>
  <si>
    <t>Patrick Williams</t>
  </si>
  <si>
    <t>Robert Williams</t>
  </si>
  <si>
    <t>Vince Williams Jr.</t>
  </si>
  <si>
    <t>Ziaire Williams</t>
  </si>
  <si>
    <t>Zion Williamson</t>
  </si>
  <si>
    <t>Jalen Wilson</t>
  </si>
  <si>
    <t>James Wiseman</t>
  </si>
  <si>
    <t>Isaiah Wong</t>
  </si>
  <si>
    <t>Delon Wright</t>
  </si>
  <si>
    <t>Guerschon Yabusele</t>
  </si>
  <si>
    <t>Jahmir Young</t>
  </si>
  <si>
    <t>Trae Young</t>
  </si>
  <si>
    <t>Ivica Zubac</t>
  </si>
  <si>
    <t>Conference</t>
  </si>
  <si>
    <t>Position</t>
  </si>
  <si>
    <t>Eastern</t>
  </si>
  <si>
    <t>Western</t>
  </si>
  <si>
    <t>n/a</t>
  </si>
  <si>
    <t>Both</t>
  </si>
  <si>
    <t>US International</t>
  </si>
  <si>
    <t>Foreign</t>
  </si>
  <si>
    <t>Row Labels</t>
  </si>
  <si>
    <t>Grand Total</t>
  </si>
  <si>
    <t>Relative Frequency</t>
  </si>
  <si>
    <t>Frequency</t>
  </si>
  <si>
    <t>Draft Group</t>
  </si>
  <si>
    <t>Mean</t>
  </si>
  <si>
    <t>Median</t>
  </si>
  <si>
    <t>Mode</t>
  </si>
  <si>
    <t>Standard Deviation</t>
  </si>
  <si>
    <t>Range</t>
  </si>
  <si>
    <t>Minimum</t>
  </si>
  <si>
    <t>Maximum</t>
  </si>
  <si>
    <t>Count</t>
  </si>
  <si>
    <t>Rebounds</t>
  </si>
  <si>
    <t>Assists</t>
  </si>
  <si>
    <t>Steals</t>
  </si>
  <si>
    <t>Blocks</t>
  </si>
  <si>
    <t>Turnovers</t>
  </si>
  <si>
    <t>Games Played</t>
  </si>
  <si>
    <t>Minutes per Game</t>
  </si>
  <si>
    <t>Fouls</t>
  </si>
  <si>
    <t>Points</t>
  </si>
  <si>
    <t>Box Score +-</t>
  </si>
  <si>
    <t>Win Shares Per 48</t>
  </si>
  <si>
    <t>Here, the entries between Eastern and Western conference look to be close to even, while not many players switched conferences mid-season.</t>
  </si>
  <si>
    <t>Over 70% of NBA players in the 2024-25 season are of US nationality, while another 6% are US internationals (US nationality plus another country). Still, over 20% of the league was made of foreign players.</t>
  </si>
  <si>
    <t>Within the position variable, forwards (37.26%) and guards (44.64%) look to be around twice as prevelant as centers (18.10%), which makes sense, as a lineup normally has 2 guards, 2 forwards, and 1 center.</t>
  </si>
  <si>
    <t>From the data, over half of the NBA players in the 2024-25 season were drafted in the first round (51.49%). Meanwhile, there were actually slightly more players who were originally undrafted than selected in the second round.</t>
  </si>
  <si>
    <t>Years of Service</t>
  </si>
  <si>
    <t>Continuous Variables</t>
  </si>
  <si>
    <t># of Categories</t>
  </si>
  <si>
    <t>Count of Position</t>
  </si>
  <si>
    <t>Total Count</t>
  </si>
  <si>
    <t>Total Observations</t>
  </si>
  <si>
    <t>Count of Conference</t>
  </si>
  <si>
    <t>Count of Nationality</t>
  </si>
  <si>
    <t>Count of Draft_Group</t>
  </si>
  <si>
    <t>Categorical Variables</t>
  </si>
  <si>
    <t>Categorical Variable Visualizations</t>
  </si>
  <si>
    <r>
      <rPr>
        <b/>
        <sz val="48"/>
        <color theme="1"/>
        <rFont val="Calibri"/>
        <family val="2"/>
        <scheme val="minor"/>
      </rPr>
      <t>4. Commentary &amp; Interpretation Tab</t>
    </r>
    <r>
      <rPr>
        <sz val="18"/>
        <color theme="1"/>
        <rFont val="Calibri"/>
        <family val="2"/>
        <scheme val="minor"/>
      </rPr>
      <t xml:space="preserve">
</t>
    </r>
    <r>
      <rPr>
        <i/>
        <sz val="18"/>
        <color theme="1"/>
        <rFont val="Calibri"/>
        <family val="2"/>
        <scheme val="minor"/>
      </rPr>
      <t xml:space="preserve">Create a tab titled “Commentary.” In a short written narrative (1–2 paragraphs), reflect on the following:
  -- Overall structure of the data: Are there any missing values, outliers, or surprising distributions? How did you have to clean the data to analyze it?
  -- Trends or patterns you observe, if any:
        -- Are any categories overly dominant or underrepresented?
  -- Relationships you’re curious about (if any).
  -- Initial questions or hypotheses: Based on what you see, what might you want to explore next?
Use this as a chance to show critical thinking — not just what the data shows, but what it might mean. 
</t>
    </r>
    <r>
      <rPr>
        <sz val="18"/>
        <color theme="1"/>
        <rFont val="Calibri"/>
        <family val="2"/>
        <scheme val="minor"/>
      </rPr>
      <t xml:space="preserve">
In looking at our data (player per-game totals merged with advanced stats from the 2024-25 NBA regular season), there were some interesting trends, as well as potential questions the group may wish to investigate in the future. Before getting into the findings, the data itself proved to be very clean. In fact, only the variables related to shooting percentage – FG% (field goal percentage), eFG% (effective field goal percentage), FT% (free throw percentage), 2P% (two-point percentage), and 3P% (three-point percentage) – had any absent data at all (this was because some of the players had not attempted any of these shots, leading to no corresponding shooting percentage), and all of these columns had 540 or more observations. Moreover, after merging the data in R, there was little extra cleaning or data management required.
The data itself yielded some fascinating insights. When considering the categorical variables, the group found it interesting how many of the league's players had just United States nationality. With the rise of MVPs Shai Gilgeous-Alexander, Nikola Jokic, and Giannis Antetokoumpo, we had expected to see more foreign players, especially as the NBA has attempted to grow its game overseas. Moreover, it was surprising to see that more players (146) than were drafted in the second round (130), raising questions about the draft’s later pick efficiency and selection of talent (which could certainly be an area of further research). In looking at the continuous variables, many displayed a regular bell curve or a right skew. However, it was interesting to see the box plots of many common basketball metrics like points, rebounds, assists and steals (all on a per-game basis), seeing just how separate some of the outliers were (many of these points turned out to be linked to stars in the game today). In terms of relationships, we focused on many metrics compared to VORP (Value Over Replacement Player) – our main metric of interest. Here, we found that, although it had a positive relationship with positive stats such as points, rebounds, and assists, others, such as fouls, had an interesting bulge in the middle (which makes sense, as better players tend to play more, but then may also commit more fouls). It will be interesting to see if there is an optimal number of fouls, and how to manage this threshold when evaluating players. Moreover, despite making up just over 51% of the league’s players, former first-round picks accounted for 252.5 of the 300.6 VORP units accumulated in this season. Going forward, we will look to explore not just VORP (our main target variable) but others, like box-score +- and win shares per 48, and see how they align with field goal percentage, fouls, and turnovers (areas in which players who play more may not necessarily be the best.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</si>
</sst>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color rgb="FF000000"/>
      <name val="Calibri"/>
      <family val="2"/>
      <scheme val="minor"/>
    </font>
    <font>
      <b/>
      <sz val="15"/>
      <color theme="1"/>
      <name val="Calibri"/>
      <family val="2"/>
      <scheme val="minor"/>
    </font>
    <font>
      <b/>
      <sz val="14"/>
      <color theme="1"/>
      <name val="Calibri"/>
      <family val="2"/>
      <scheme val="minor"/>
    </font>
    <font>
      <b/>
      <i/>
      <sz val="11"/>
      <color theme="1"/>
      <name val="Calibri"/>
      <family val="2"/>
      <scheme val="minor"/>
    </font>
    <font>
      <b/>
      <sz val="72"/>
      <color theme="1"/>
      <name val="Calibri"/>
      <family val="2"/>
      <scheme val="minor"/>
    </font>
    <font>
      <b/>
      <sz val="36"/>
      <color theme="1"/>
      <name val="Calibri"/>
      <family val="2"/>
      <scheme val="minor"/>
    </font>
    <font>
      <sz val="90"/>
      <name val="Calibri"/>
      <family val="2"/>
      <scheme val="minor"/>
    </font>
    <font>
      <sz val="90"/>
      <color theme="3" tint="0.79998168889431442"/>
      <name val="Calibri"/>
      <family val="2"/>
      <scheme val="minor"/>
    </font>
    <font>
      <sz val="18"/>
      <color theme="1"/>
      <name val="Calibri"/>
      <family val="2"/>
      <scheme val="minor"/>
    </font>
    <font>
      <b/>
      <sz val="48"/>
      <color theme="1"/>
      <name val="Calibri"/>
      <family val="2"/>
      <scheme val="minor"/>
    </font>
    <font>
      <i/>
      <sz val="18"/>
      <color theme="1"/>
      <name val="Calibri"/>
      <family val="2"/>
      <scheme val="minor"/>
    </font>
  </fonts>
  <fills count="10">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9"/>
        <bgColor indexed="64"/>
      </patternFill>
    </fill>
    <fill>
      <patternFill patternType="solid">
        <fgColor theme="4" tint="0.79998168889431442"/>
        <bgColor indexed="64"/>
      </patternFill>
    </fill>
    <fill>
      <patternFill patternType="solid">
        <fgColor theme="7" tint="0.39997558519241921"/>
        <bgColor indexed="64"/>
      </patternFill>
    </fill>
  </fills>
  <borders count="9">
    <border>
      <left/>
      <right/>
      <top/>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61">
    <xf numFmtId="0" fontId="0" fillId="0" borderId="0" xfId="0"/>
    <xf numFmtId="0" fontId="0" fillId="2" borderId="0" xfId="0" applyFill="1"/>
    <xf numFmtId="0" fontId="1" fillId="3" borderId="0" xfId="0" applyFont="1" applyFill="1" applyAlignment="1">
      <alignment horizontal="center"/>
    </xf>
    <xf numFmtId="0" fontId="0" fillId="4" borderId="0" xfId="0" applyFill="1"/>
    <xf numFmtId="0" fontId="0" fillId="5" borderId="0" xfId="0" applyFill="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horizontal="left" vertical="top"/>
    </xf>
    <xf numFmtId="0" fontId="1" fillId="0" borderId="0" xfId="0" applyFont="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5" xfId="0" pivotButton="1" applyBorder="1"/>
    <xf numFmtId="0" fontId="0" fillId="0" borderId="5" xfId="0" applyBorder="1" applyAlignment="1">
      <alignment horizontal="left"/>
    </xf>
    <xf numFmtId="0" fontId="0" fillId="0" borderId="7" xfId="0" applyBorder="1" applyAlignment="1">
      <alignment horizontal="left"/>
    </xf>
    <xf numFmtId="0" fontId="0" fillId="0" borderId="0" xfId="0" applyAlignment="1">
      <alignment vertical="center" wrapText="1"/>
    </xf>
    <xf numFmtId="0" fontId="1" fillId="9" borderId="0" xfId="0" applyFont="1" applyFill="1" applyAlignment="1">
      <alignment horizontal="center"/>
    </xf>
    <xf numFmtId="0" fontId="0" fillId="9" borderId="0" xfId="0" applyFill="1"/>
    <xf numFmtId="0" fontId="5" fillId="7" borderId="3" xfId="0" applyFont="1" applyFill="1" applyBorder="1" applyAlignment="1">
      <alignment horizontal="center" wrapText="1"/>
    </xf>
    <xf numFmtId="0" fontId="5" fillId="7" borderId="4" xfId="0" applyFont="1" applyFill="1" applyBorder="1" applyAlignment="1">
      <alignment horizontal="center" wrapText="1"/>
    </xf>
    <xf numFmtId="0" fontId="6" fillId="8" borderId="3" xfId="0" applyFont="1" applyFill="1" applyBorder="1" applyAlignment="1">
      <alignment horizontal="center" wrapText="1"/>
    </xf>
    <xf numFmtId="0" fontId="6" fillId="8" borderId="2" xfId="0" applyFont="1" applyFill="1" applyBorder="1" applyAlignment="1">
      <alignment horizontal="center" wrapText="1"/>
    </xf>
    <xf numFmtId="0" fontId="6" fillId="8" borderId="4" xfId="0" applyFont="1" applyFill="1" applyBorder="1" applyAlignment="1">
      <alignment horizontal="center" wrapText="1"/>
    </xf>
    <xf numFmtId="0" fontId="6" fillId="8" borderId="5" xfId="0" applyFont="1" applyFill="1" applyBorder="1" applyAlignment="1">
      <alignment horizontal="center" wrapText="1"/>
    </xf>
    <xf numFmtId="0" fontId="6" fillId="8" borderId="0" xfId="0" applyFont="1" applyFill="1" applyAlignment="1">
      <alignment horizontal="center" wrapText="1"/>
    </xf>
    <xf numFmtId="0" fontId="6" fillId="8" borderId="6" xfId="0" applyFont="1" applyFill="1" applyBorder="1" applyAlignment="1">
      <alignment horizontal="center" wrapText="1"/>
    </xf>
    <xf numFmtId="0" fontId="6" fillId="8" borderId="7" xfId="0" applyFont="1" applyFill="1" applyBorder="1" applyAlignment="1">
      <alignment horizontal="center" wrapText="1"/>
    </xf>
    <xf numFmtId="0" fontId="6" fillId="8" borderId="1" xfId="0" applyFont="1" applyFill="1" applyBorder="1" applyAlignment="1">
      <alignment horizontal="center" wrapText="1"/>
    </xf>
    <xf numFmtId="0" fontId="6" fillId="8" borderId="8" xfId="0" applyFont="1" applyFill="1" applyBorder="1" applyAlignment="1">
      <alignment horizontal="center" wrapText="1"/>
    </xf>
    <xf numFmtId="0" fontId="1" fillId="7" borderId="3" xfId="0" applyFont="1" applyFill="1" applyBorder="1" applyAlignment="1">
      <alignment horizontal="center"/>
    </xf>
    <xf numFmtId="0" fontId="1" fillId="7" borderId="4" xfId="0" applyFont="1" applyFill="1" applyBorder="1" applyAlignment="1">
      <alignment horizontal="center"/>
    </xf>
    <xf numFmtId="0" fontId="7" fillId="6" borderId="3"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0" xfId="0" applyFont="1" applyFill="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5" fillId="7" borderId="3" xfId="0" applyFont="1" applyFill="1" applyBorder="1" applyAlignment="1">
      <alignment horizontal="center"/>
    </xf>
    <xf numFmtId="0" fontId="5" fillId="7" borderId="4" xfId="0" applyFont="1" applyFill="1" applyBorder="1" applyAlignment="1">
      <alignment horizont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3" fillId="7" borderId="0" xfId="0" applyFont="1" applyFill="1" applyAlignment="1">
      <alignment horizontal="center" vertical="center" wrapText="1"/>
    </xf>
    <xf numFmtId="0" fontId="4" fillId="7" borderId="0" xfId="0" applyFont="1" applyFill="1" applyAlignment="1">
      <alignment horizontal="center" vertical="center" wrapText="1"/>
    </xf>
    <xf numFmtId="0" fontId="0" fillId="0" borderId="0" xfId="0" applyAlignment="1">
      <alignment horizontal="center" vertical="center" wrapText="1"/>
    </xf>
    <xf numFmtId="0" fontId="8" fillId="8" borderId="3"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10" fillId="0" borderId="0" xfId="0" applyFont="1" applyAlignment="1">
      <alignment horizontal="left" vertical="center" wrapText="1"/>
    </xf>
  </cellXfs>
  <cellStyles count="2">
    <cellStyle name="Normal" xfId="0" builtinId="0"/>
    <cellStyle name="Normal 2" xfId="1" xr:uid="{D442083B-BF5E-4E89-BE4D-583EA2C4A8EA}"/>
  </cellStyles>
  <dxfs count="47">
    <dxf>
      <alignment horizontal="center"/>
    </dxf>
    <dxf>
      <alignment horizontal="left"/>
    </dxf>
    <dxf>
      <alignment vertical="top"/>
    </dxf>
    <dxf>
      <alignment horizontal="left"/>
    </dxf>
    <dxf>
      <alignment vertical="top"/>
    </dxf>
    <dxf>
      <alignment horizontal="center"/>
    </dxf>
    <dxf>
      <alignment horizontal="left"/>
    </dxf>
    <dxf>
      <alignment vertical="top"/>
    </dxf>
    <dxf>
      <alignment horizontal="left"/>
    </dxf>
    <dxf>
      <alignment vertical="top"/>
    </dxf>
    <dxf>
      <alignment horizontal="center"/>
    </dxf>
    <dxf>
      <alignment vertical="center"/>
    </dxf>
    <dxf>
      <numFmt numFmtId="14" formatCode="0.00%"/>
    </dxf>
    <dxf>
      <alignment horizontal="left"/>
    </dxf>
    <dxf>
      <alignment vertical="top"/>
    </dxf>
    <dxf>
      <alignment horizontal="center"/>
    </dxf>
    <dxf>
      <numFmt numFmtId="14" formatCode="0.00%"/>
    </dxf>
    <dxf>
      <alignment horizontal="left"/>
    </dxf>
    <dxf>
      <alignment vertical="top"/>
    </dxf>
    <dxf>
      <alignment horizontal="left"/>
    </dxf>
    <dxf>
      <alignment vertical="top"/>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1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1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1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1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2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2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2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2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Assignment 3.xlsx]3.3 Visuals - Categorical!PivotTable28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Position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'3.3 Visuals - Categorical'!$D$5</c:f>
              <c:strCache>
                <c:ptCount val="1"/>
                <c:pt idx="0">
                  <c:v>Total</c:v>
                </c:pt>
              </c:strCache>
            </c:strRef>
          </c:tx>
          <c:spPr>
            <a:solidFill>
              <a:schemeClr val="accent1"/>
            </a:solidFill>
            <a:ln>
              <a:noFill/>
            </a:ln>
            <a:effectLst/>
          </c:spPr>
          <c:invertIfNegative val="0"/>
          <c:cat>
            <c:strRef>
              <c:f>'3.3 Visuals - Categorical'!$C$6:$C$9</c:f>
              <c:strCache>
                <c:ptCount val="3"/>
                <c:pt idx="0">
                  <c:v>C</c:v>
                </c:pt>
                <c:pt idx="1">
                  <c:v>F</c:v>
                </c:pt>
                <c:pt idx="2">
                  <c:v>G</c:v>
                </c:pt>
              </c:strCache>
            </c:strRef>
          </c:cat>
          <c:val>
            <c:numRef>
              <c:f>'3.3 Visuals - Categorical'!$D$6:$D$9</c:f>
              <c:numCache>
                <c:formatCode>General</c:formatCode>
                <c:ptCount val="3"/>
                <c:pt idx="0">
                  <c:v>103</c:v>
                </c:pt>
                <c:pt idx="1">
                  <c:v>212</c:v>
                </c:pt>
                <c:pt idx="2">
                  <c:v>254</c:v>
                </c:pt>
              </c:numCache>
            </c:numRef>
          </c:val>
          <c:extLst>
            <c:ext xmlns:c16="http://schemas.microsoft.com/office/drawing/2014/chart" uri="{C3380CC4-5D6E-409C-BE32-E72D297353CC}">
              <c16:uniqueId val="{00000000-3E89-4BB4-B496-89298E7F6C60}"/>
            </c:ext>
          </c:extLst>
        </c:ser>
        <c:dLbls>
          <c:showLegendKey val="0"/>
          <c:showVal val="0"/>
          <c:showCatName val="0"/>
          <c:showSerName val="0"/>
          <c:showPercent val="0"/>
          <c:showBubbleSize val="0"/>
        </c:dLbls>
        <c:gapWidth val="219"/>
        <c:overlap val="-27"/>
        <c:axId val="1751094048"/>
        <c:axId val="1751094528"/>
      </c:barChart>
      <c:catAx>
        <c:axId val="175109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94528"/>
        <c:crosses val="autoZero"/>
        <c:auto val="1"/>
        <c:lblAlgn val="ctr"/>
        <c:lblOffset val="100"/>
        <c:noMultiLvlLbl val="0"/>
      </c:catAx>
      <c:valAx>
        <c:axId val="175109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Assignment 3.xlsx]3.3 Visuals - Categorical!PivotTable27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Conference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'3.3 Visuals - Categorical'!$I$5</c:f>
              <c:strCache>
                <c:ptCount val="1"/>
                <c:pt idx="0">
                  <c:v>Total</c:v>
                </c:pt>
              </c:strCache>
            </c:strRef>
          </c:tx>
          <c:spPr>
            <a:solidFill>
              <a:schemeClr val="accent1"/>
            </a:solidFill>
            <a:ln>
              <a:noFill/>
            </a:ln>
            <a:effectLst/>
          </c:spPr>
          <c:invertIfNegative val="0"/>
          <c:cat>
            <c:strRef>
              <c:f>'3.3 Visuals - Categorical'!$H$6:$H$9</c:f>
              <c:strCache>
                <c:ptCount val="3"/>
                <c:pt idx="0">
                  <c:v>Both</c:v>
                </c:pt>
                <c:pt idx="1">
                  <c:v>Eastern</c:v>
                </c:pt>
                <c:pt idx="2">
                  <c:v>Western</c:v>
                </c:pt>
              </c:strCache>
            </c:strRef>
          </c:cat>
          <c:val>
            <c:numRef>
              <c:f>'3.3 Visuals - Categorical'!$I$6:$I$9</c:f>
              <c:numCache>
                <c:formatCode>General</c:formatCode>
                <c:ptCount val="3"/>
                <c:pt idx="0">
                  <c:v>81</c:v>
                </c:pt>
                <c:pt idx="1">
                  <c:v>246</c:v>
                </c:pt>
                <c:pt idx="2">
                  <c:v>242</c:v>
                </c:pt>
              </c:numCache>
            </c:numRef>
          </c:val>
          <c:extLst>
            <c:ext xmlns:c16="http://schemas.microsoft.com/office/drawing/2014/chart" uri="{C3380CC4-5D6E-409C-BE32-E72D297353CC}">
              <c16:uniqueId val="{00000000-7B2A-4632-BCDD-B21F6F81279D}"/>
            </c:ext>
          </c:extLst>
        </c:ser>
        <c:dLbls>
          <c:showLegendKey val="0"/>
          <c:showVal val="0"/>
          <c:showCatName val="0"/>
          <c:showSerName val="0"/>
          <c:showPercent val="0"/>
          <c:showBubbleSize val="0"/>
        </c:dLbls>
        <c:gapWidth val="219"/>
        <c:overlap val="-27"/>
        <c:axId val="1387641359"/>
        <c:axId val="1387645679"/>
      </c:barChart>
      <c:catAx>
        <c:axId val="13876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45679"/>
        <c:crosses val="autoZero"/>
        <c:auto val="1"/>
        <c:lblAlgn val="ctr"/>
        <c:lblOffset val="100"/>
        <c:noMultiLvlLbl val="0"/>
      </c:catAx>
      <c:valAx>
        <c:axId val="1387645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641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Assignment 3.xlsx]3.3 Visuals - Categorical!PivotTable30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Nationality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'3.3 Visuals - Categorical'!$N$5</c:f>
              <c:strCache>
                <c:ptCount val="1"/>
                <c:pt idx="0">
                  <c:v>Total</c:v>
                </c:pt>
              </c:strCache>
            </c:strRef>
          </c:tx>
          <c:spPr>
            <a:solidFill>
              <a:schemeClr val="accent1"/>
            </a:solidFill>
            <a:ln>
              <a:noFill/>
            </a:ln>
            <a:effectLst/>
          </c:spPr>
          <c:invertIfNegative val="0"/>
          <c:cat>
            <c:strRef>
              <c:f>'3.3 Visuals - Categorical'!$M$6:$M$9</c:f>
              <c:strCache>
                <c:ptCount val="3"/>
                <c:pt idx="0">
                  <c:v>Foreign</c:v>
                </c:pt>
                <c:pt idx="1">
                  <c:v>United States</c:v>
                </c:pt>
                <c:pt idx="2">
                  <c:v>US International</c:v>
                </c:pt>
              </c:strCache>
            </c:strRef>
          </c:cat>
          <c:val>
            <c:numRef>
              <c:f>'3.3 Visuals - Categorical'!$N$6:$N$9</c:f>
              <c:numCache>
                <c:formatCode>General</c:formatCode>
                <c:ptCount val="3"/>
                <c:pt idx="0">
                  <c:v>119</c:v>
                </c:pt>
                <c:pt idx="1">
                  <c:v>415</c:v>
                </c:pt>
                <c:pt idx="2">
                  <c:v>35</c:v>
                </c:pt>
              </c:numCache>
            </c:numRef>
          </c:val>
          <c:extLst>
            <c:ext xmlns:c16="http://schemas.microsoft.com/office/drawing/2014/chart" uri="{C3380CC4-5D6E-409C-BE32-E72D297353CC}">
              <c16:uniqueId val="{00000000-6228-4F3D-9BAC-57E972C9C2D4}"/>
            </c:ext>
          </c:extLst>
        </c:ser>
        <c:dLbls>
          <c:showLegendKey val="0"/>
          <c:showVal val="0"/>
          <c:showCatName val="0"/>
          <c:showSerName val="0"/>
          <c:showPercent val="0"/>
          <c:showBubbleSize val="0"/>
        </c:dLbls>
        <c:gapWidth val="219"/>
        <c:overlap val="-27"/>
        <c:axId val="1620754176"/>
        <c:axId val="1620744096"/>
      </c:barChart>
      <c:catAx>
        <c:axId val="162075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44096"/>
        <c:crosses val="autoZero"/>
        <c:auto val="1"/>
        <c:lblAlgn val="ctr"/>
        <c:lblOffset val="100"/>
        <c:noMultiLvlLbl val="0"/>
      </c:catAx>
      <c:valAx>
        <c:axId val="162074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5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[Stats Assignment 3.xlsx]3.3 Visuals - Categorical!PivotTable29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Draft Frequency by Round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'3.3 Visuals - Categorical'!$S$5</c:f>
              <c:strCache>
                <c:ptCount val="1"/>
                <c:pt idx="0">
                  <c:v>Total</c:v>
                </c:pt>
              </c:strCache>
            </c:strRef>
          </c:tx>
          <c:spPr>
            <a:solidFill>
              <a:schemeClr val="accent1"/>
            </a:solidFill>
            <a:ln>
              <a:noFill/>
            </a:ln>
            <a:effectLst/>
          </c:spPr>
          <c:invertIfNegative val="0"/>
          <c:cat>
            <c:strRef>
              <c:f>'3.3 Visuals - Categorical'!$R$6:$R$9</c:f>
              <c:strCache>
                <c:ptCount val="3"/>
                <c:pt idx="0">
                  <c:v>Rnd 1</c:v>
                </c:pt>
                <c:pt idx="1">
                  <c:v>Rnd 2</c:v>
                </c:pt>
                <c:pt idx="2">
                  <c:v>Undrafted</c:v>
                </c:pt>
              </c:strCache>
            </c:strRef>
          </c:cat>
          <c:val>
            <c:numRef>
              <c:f>'3.3 Visuals - Categorical'!$S$6:$S$9</c:f>
              <c:numCache>
                <c:formatCode>General</c:formatCode>
                <c:ptCount val="3"/>
                <c:pt idx="0">
                  <c:v>293</c:v>
                </c:pt>
                <c:pt idx="1">
                  <c:v>130</c:v>
                </c:pt>
                <c:pt idx="2">
                  <c:v>146</c:v>
                </c:pt>
              </c:numCache>
            </c:numRef>
          </c:val>
          <c:extLst>
            <c:ext xmlns:c16="http://schemas.microsoft.com/office/drawing/2014/chart" uri="{C3380CC4-5D6E-409C-BE32-E72D297353CC}">
              <c16:uniqueId val="{00000000-105C-4115-9EBE-9815C21E63FF}"/>
            </c:ext>
          </c:extLst>
        </c:ser>
        <c:dLbls>
          <c:showLegendKey val="0"/>
          <c:showVal val="0"/>
          <c:showCatName val="0"/>
          <c:showSerName val="0"/>
          <c:showPercent val="0"/>
          <c:showBubbleSize val="0"/>
        </c:dLbls>
        <c:gapWidth val="219"/>
        <c:overlap val="-27"/>
        <c:axId val="1620750336"/>
        <c:axId val="1620750816"/>
      </c:barChart>
      <c:catAx>
        <c:axId val="1620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50816"/>
        <c:crosses val="autoZero"/>
        <c:auto val="1"/>
        <c:lblAlgn val="ctr"/>
        <c:lblOffset val="100"/>
        <c:noMultiLvlLbl val="0"/>
      </c:catAx>
      <c:valAx>
        <c:axId val="162075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5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Effect of Points Per Game on VORP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Data'!$Y$1</c:f>
              <c:strCache>
                <c:ptCount val="1"/>
                <c:pt idx="0">
                  <c:v>Points</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Data'!$Y$2:$Y$570</c:f>
              <c:numCache>
                <c:formatCode>General</c:formatCode>
                <c:ptCount val="569"/>
                <c:pt idx="0">
                  <c:v>0</c:v>
                </c:pt>
                <c:pt idx="1">
                  <c:v>0</c:v>
                </c:pt>
                <c:pt idx="2">
                  <c:v>0</c:v>
                </c:pt>
                <c:pt idx="3">
                  <c:v>0</c:v>
                </c:pt>
                <c:pt idx="4">
                  <c:v>1.5</c:v>
                </c:pt>
                <c:pt idx="5">
                  <c:v>0</c:v>
                </c:pt>
                <c:pt idx="6">
                  <c:v>0</c:v>
                </c:pt>
                <c:pt idx="7">
                  <c:v>0</c:v>
                </c:pt>
                <c:pt idx="8">
                  <c:v>3</c:v>
                </c:pt>
                <c:pt idx="9">
                  <c:v>0.8</c:v>
                </c:pt>
                <c:pt idx="10">
                  <c:v>1.6</c:v>
                </c:pt>
                <c:pt idx="11">
                  <c:v>0</c:v>
                </c:pt>
                <c:pt idx="12">
                  <c:v>0.8</c:v>
                </c:pt>
                <c:pt idx="13">
                  <c:v>1.4</c:v>
                </c:pt>
                <c:pt idx="14">
                  <c:v>1.3</c:v>
                </c:pt>
                <c:pt idx="15">
                  <c:v>1.8</c:v>
                </c:pt>
                <c:pt idx="16">
                  <c:v>3.7</c:v>
                </c:pt>
                <c:pt idx="17">
                  <c:v>0.9</c:v>
                </c:pt>
                <c:pt idx="18">
                  <c:v>0</c:v>
                </c:pt>
                <c:pt idx="19">
                  <c:v>5</c:v>
                </c:pt>
                <c:pt idx="20">
                  <c:v>1</c:v>
                </c:pt>
                <c:pt idx="21">
                  <c:v>2</c:v>
                </c:pt>
                <c:pt idx="22">
                  <c:v>2.9</c:v>
                </c:pt>
                <c:pt idx="23">
                  <c:v>1.7</c:v>
                </c:pt>
                <c:pt idx="24">
                  <c:v>3.5</c:v>
                </c:pt>
                <c:pt idx="25">
                  <c:v>0.4</c:v>
                </c:pt>
                <c:pt idx="26">
                  <c:v>0.9</c:v>
                </c:pt>
                <c:pt idx="27">
                  <c:v>1.5</c:v>
                </c:pt>
                <c:pt idx="28">
                  <c:v>1</c:v>
                </c:pt>
                <c:pt idx="29">
                  <c:v>1.8</c:v>
                </c:pt>
                <c:pt idx="30">
                  <c:v>0.7</c:v>
                </c:pt>
                <c:pt idx="31">
                  <c:v>5.9</c:v>
                </c:pt>
                <c:pt idx="32">
                  <c:v>1.8</c:v>
                </c:pt>
                <c:pt idx="33">
                  <c:v>0.7</c:v>
                </c:pt>
                <c:pt idx="34">
                  <c:v>2.2000000000000002</c:v>
                </c:pt>
                <c:pt idx="35">
                  <c:v>1.6</c:v>
                </c:pt>
                <c:pt idx="36">
                  <c:v>2.4</c:v>
                </c:pt>
                <c:pt idx="37">
                  <c:v>2.9</c:v>
                </c:pt>
                <c:pt idx="38">
                  <c:v>1.7</c:v>
                </c:pt>
                <c:pt idx="39">
                  <c:v>1</c:v>
                </c:pt>
                <c:pt idx="40">
                  <c:v>1.3</c:v>
                </c:pt>
                <c:pt idx="41">
                  <c:v>1.3</c:v>
                </c:pt>
                <c:pt idx="42">
                  <c:v>2.7</c:v>
                </c:pt>
                <c:pt idx="43">
                  <c:v>8.5</c:v>
                </c:pt>
                <c:pt idx="44">
                  <c:v>1.9</c:v>
                </c:pt>
                <c:pt idx="45">
                  <c:v>4.9000000000000004</c:v>
                </c:pt>
                <c:pt idx="46">
                  <c:v>1.8</c:v>
                </c:pt>
                <c:pt idx="47">
                  <c:v>4.0999999999999996</c:v>
                </c:pt>
                <c:pt idx="48">
                  <c:v>0.9</c:v>
                </c:pt>
                <c:pt idx="49">
                  <c:v>1</c:v>
                </c:pt>
                <c:pt idx="50">
                  <c:v>4</c:v>
                </c:pt>
                <c:pt idx="51">
                  <c:v>1.8</c:v>
                </c:pt>
                <c:pt idx="52">
                  <c:v>4.0999999999999996</c:v>
                </c:pt>
                <c:pt idx="53">
                  <c:v>1.9</c:v>
                </c:pt>
                <c:pt idx="54">
                  <c:v>0.7</c:v>
                </c:pt>
                <c:pt idx="55">
                  <c:v>1.7</c:v>
                </c:pt>
                <c:pt idx="56">
                  <c:v>3</c:v>
                </c:pt>
                <c:pt idx="57">
                  <c:v>1.5</c:v>
                </c:pt>
                <c:pt idx="58">
                  <c:v>1.4</c:v>
                </c:pt>
                <c:pt idx="59">
                  <c:v>2.9</c:v>
                </c:pt>
                <c:pt idx="60">
                  <c:v>0.8</c:v>
                </c:pt>
                <c:pt idx="61">
                  <c:v>4.3</c:v>
                </c:pt>
                <c:pt idx="62">
                  <c:v>5.7</c:v>
                </c:pt>
                <c:pt idx="63">
                  <c:v>1.7</c:v>
                </c:pt>
                <c:pt idx="64">
                  <c:v>2.7</c:v>
                </c:pt>
                <c:pt idx="65">
                  <c:v>7.2</c:v>
                </c:pt>
                <c:pt idx="66">
                  <c:v>5.9</c:v>
                </c:pt>
                <c:pt idx="67">
                  <c:v>6.4</c:v>
                </c:pt>
                <c:pt idx="68">
                  <c:v>7.1</c:v>
                </c:pt>
                <c:pt idx="69">
                  <c:v>9.1</c:v>
                </c:pt>
                <c:pt idx="70">
                  <c:v>4.4000000000000004</c:v>
                </c:pt>
                <c:pt idx="71">
                  <c:v>4.4000000000000004</c:v>
                </c:pt>
                <c:pt idx="72">
                  <c:v>4.2</c:v>
                </c:pt>
                <c:pt idx="73">
                  <c:v>4.5</c:v>
                </c:pt>
                <c:pt idx="74">
                  <c:v>6.4</c:v>
                </c:pt>
                <c:pt idx="75">
                  <c:v>3.5</c:v>
                </c:pt>
                <c:pt idx="76">
                  <c:v>1.6</c:v>
                </c:pt>
                <c:pt idx="77">
                  <c:v>2.2000000000000002</c:v>
                </c:pt>
                <c:pt idx="78">
                  <c:v>1.5</c:v>
                </c:pt>
                <c:pt idx="79">
                  <c:v>0.6</c:v>
                </c:pt>
                <c:pt idx="80">
                  <c:v>2.1</c:v>
                </c:pt>
                <c:pt idx="81">
                  <c:v>7.4</c:v>
                </c:pt>
                <c:pt idx="82">
                  <c:v>7.2</c:v>
                </c:pt>
                <c:pt idx="83">
                  <c:v>2</c:v>
                </c:pt>
                <c:pt idx="84">
                  <c:v>3.5</c:v>
                </c:pt>
                <c:pt idx="85">
                  <c:v>3.6</c:v>
                </c:pt>
                <c:pt idx="86">
                  <c:v>2.6</c:v>
                </c:pt>
                <c:pt idx="87">
                  <c:v>2.1</c:v>
                </c:pt>
                <c:pt idx="88">
                  <c:v>1.9</c:v>
                </c:pt>
                <c:pt idx="89">
                  <c:v>1.6</c:v>
                </c:pt>
                <c:pt idx="90">
                  <c:v>4.5</c:v>
                </c:pt>
                <c:pt idx="91">
                  <c:v>2</c:v>
                </c:pt>
                <c:pt idx="92">
                  <c:v>2.4</c:v>
                </c:pt>
                <c:pt idx="93">
                  <c:v>5.3</c:v>
                </c:pt>
                <c:pt idx="94">
                  <c:v>2.2000000000000002</c:v>
                </c:pt>
                <c:pt idx="95">
                  <c:v>3.8</c:v>
                </c:pt>
                <c:pt idx="96">
                  <c:v>5.7</c:v>
                </c:pt>
                <c:pt idx="97">
                  <c:v>2.4</c:v>
                </c:pt>
                <c:pt idx="98">
                  <c:v>3.4</c:v>
                </c:pt>
                <c:pt idx="99">
                  <c:v>3.3</c:v>
                </c:pt>
                <c:pt idx="100">
                  <c:v>2.5</c:v>
                </c:pt>
                <c:pt idx="101">
                  <c:v>4.0999999999999996</c:v>
                </c:pt>
                <c:pt idx="102">
                  <c:v>1.6</c:v>
                </c:pt>
                <c:pt idx="103">
                  <c:v>3.7</c:v>
                </c:pt>
                <c:pt idx="104">
                  <c:v>5.6</c:v>
                </c:pt>
                <c:pt idx="105">
                  <c:v>5.4</c:v>
                </c:pt>
                <c:pt idx="106">
                  <c:v>4.4000000000000004</c:v>
                </c:pt>
                <c:pt idx="107">
                  <c:v>1.1000000000000001</c:v>
                </c:pt>
                <c:pt idx="108">
                  <c:v>2.1</c:v>
                </c:pt>
                <c:pt idx="109">
                  <c:v>2.1</c:v>
                </c:pt>
                <c:pt idx="110">
                  <c:v>3.8</c:v>
                </c:pt>
                <c:pt idx="111">
                  <c:v>1</c:v>
                </c:pt>
                <c:pt idx="112">
                  <c:v>5.4</c:v>
                </c:pt>
                <c:pt idx="113">
                  <c:v>2.6</c:v>
                </c:pt>
                <c:pt idx="114">
                  <c:v>4.2</c:v>
                </c:pt>
                <c:pt idx="115">
                  <c:v>2.2999999999999998</c:v>
                </c:pt>
                <c:pt idx="116">
                  <c:v>4.3</c:v>
                </c:pt>
                <c:pt idx="117">
                  <c:v>1.9</c:v>
                </c:pt>
                <c:pt idx="118">
                  <c:v>2.2999999999999998</c:v>
                </c:pt>
                <c:pt idx="119">
                  <c:v>2.5</c:v>
                </c:pt>
                <c:pt idx="120">
                  <c:v>4.2</c:v>
                </c:pt>
                <c:pt idx="121">
                  <c:v>1.8</c:v>
                </c:pt>
                <c:pt idx="122">
                  <c:v>1.5</c:v>
                </c:pt>
                <c:pt idx="123">
                  <c:v>3.6</c:v>
                </c:pt>
                <c:pt idx="124">
                  <c:v>4</c:v>
                </c:pt>
                <c:pt idx="125">
                  <c:v>2.9</c:v>
                </c:pt>
                <c:pt idx="126">
                  <c:v>3.4</c:v>
                </c:pt>
                <c:pt idx="127">
                  <c:v>6.9</c:v>
                </c:pt>
                <c:pt idx="128">
                  <c:v>8.5</c:v>
                </c:pt>
                <c:pt idx="129">
                  <c:v>8.4</c:v>
                </c:pt>
                <c:pt idx="130">
                  <c:v>1.5</c:v>
                </c:pt>
                <c:pt idx="131">
                  <c:v>2.2999999999999998</c:v>
                </c:pt>
                <c:pt idx="132">
                  <c:v>3.8</c:v>
                </c:pt>
                <c:pt idx="133">
                  <c:v>3.2</c:v>
                </c:pt>
                <c:pt idx="134">
                  <c:v>2.7</c:v>
                </c:pt>
                <c:pt idx="135">
                  <c:v>3</c:v>
                </c:pt>
                <c:pt idx="136">
                  <c:v>5.9</c:v>
                </c:pt>
                <c:pt idx="137">
                  <c:v>3.3</c:v>
                </c:pt>
                <c:pt idx="138">
                  <c:v>3.1</c:v>
                </c:pt>
                <c:pt idx="139">
                  <c:v>3</c:v>
                </c:pt>
                <c:pt idx="140">
                  <c:v>3.7</c:v>
                </c:pt>
                <c:pt idx="141">
                  <c:v>2.6</c:v>
                </c:pt>
                <c:pt idx="142">
                  <c:v>3.5</c:v>
                </c:pt>
                <c:pt idx="143">
                  <c:v>4.4000000000000004</c:v>
                </c:pt>
                <c:pt idx="144">
                  <c:v>6.5</c:v>
                </c:pt>
                <c:pt idx="145">
                  <c:v>8.1999999999999993</c:v>
                </c:pt>
                <c:pt idx="146">
                  <c:v>8.1</c:v>
                </c:pt>
                <c:pt idx="147">
                  <c:v>4.2</c:v>
                </c:pt>
                <c:pt idx="148">
                  <c:v>6.5</c:v>
                </c:pt>
                <c:pt idx="149">
                  <c:v>9</c:v>
                </c:pt>
                <c:pt idx="150">
                  <c:v>10.1</c:v>
                </c:pt>
                <c:pt idx="151">
                  <c:v>6.3</c:v>
                </c:pt>
                <c:pt idx="152">
                  <c:v>6.7</c:v>
                </c:pt>
                <c:pt idx="153">
                  <c:v>4.9000000000000004</c:v>
                </c:pt>
                <c:pt idx="154">
                  <c:v>6.5</c:v>
                </c:pt>
                <c:pt idx="155">
                  <c:v>5</c:v>
                </c:pt>
                <c:pt idx="156">
                  <c:v>0.8</c:v>
                </c:pt>
                <c:pt idx="157">
                  <c:v>0.3</c:v>
                </c:pt>
                <c:pt idx="158">
                  <c:v>0.3</c:v>
                </c:pt>
                <c:pt idx="159">
                  <c:v>2.2999999999999998</c:v>
                </c:pt>
                <c:pt idx="160">
                  <c:v>2.6</c:v>
                </c:pt>
                <c:pt idx="161">
                  <c:v>5.5</c:v>
                </c:pt>
                <c:pt idx="162">
                  <c:v>9.4</c:v>
                </c:pt>
                <c:pt idx="163">
                  <c:v>8.6999999999999993</c:v>
                </c:pt>
                <c:pt idx="164">
                  <c:v>5.9</c:v>
                </c:pt>
                <c:pt idx="165">
                  <c:v>5</c:v>
                </c:pt>
                <c:pt idx="166">
                  <c:v>4.9000000000000004</c:v>
                </c:pt>
                <c:pt idx="167">
                  <c:v>11</c:v>
                </c:pt>
                <c:pt idx="168">
                  <c:v>6.8</c:v>
                </c:pt>
                <c:pt idx="169">
                  <c:v>4.3</c:v>
                </c:pt>
                <c:pt idx="170">
                  <c:v>9.9</c:v>
                </c:pt>
                <c:pt idx="171">
                  <c:v>9.9</c:v>
                </c:pt>
                <c:pt idx="172">
                  <c:v>10.199999999999999</c:v>
                </c:pt>
                <c:pt idx="173">
                  <c:v>0.7</c:v>
                </c:pt>
                <c:pt idx="174">
                  <c:v>1.4</c:v>
                </c:pt>
                <c:pt idx="175">
                  <c:v>5.0999999999999996</c:v>
                </c:pt>
                <c:pt idx="176">
                  <c:v>2.1</c:v>
                </c:pt>
                <c:pt idx="177">
                  <c:v>4.2</c:v>
                </c:pt>
                <c:pt idx="178">
                  <c:v>1.6</c:v>
                </c:pt>
                <c:pt idx="179">
                  <c:v>5.4</c:v>
                </c:pt>
                <c:pt idx="180">
                  <c:v>3.2</c:v>
                </c:pt>
                <c:pt idx="181">
                  <c:v>4.0999999999999996</c:v>
                </c:pt>
                <c:pt idx="182">
                  <c:v>7.6</c:v>
                </c:pt>
                <c:pt idx="183">
                  <c:v>3.3</c:v>
                </c:pt>
                <c:pt idx="184">
                  <c:v>7.2</c:v>
                </c:pt>
                <c:pt idx="185">
                  <c:v>3.2</c:v>
                </c:pt>
                <c:pt idx="186">
                  <c:v>10.199999999999999</c:v>
                </c:pt>
                <c:pt idx="187">
                  <c:v>1.7</c:v>
                </c:pt>
                <c:pt idx="188">
                  <c:v>4.3</c:v>
                </c:pt>
                <c:pt idx="189">
                  <c:v>4.5999999999999996</c:v>
                </c:pt>
                <c:pt idx="190">
                  <c:v>6.1</c:v>
                </c:pt>
                <c:pt idx="191">
                  <c:v>4.2</c:v>
                </c:pt>
                <c:pt idx="192">
                  <c:v>5.3</c:v>
                </c:pt>
                <c:pt idx="193">
                  <c:v>4.5999999999999996</c:v>
                </c:pt>
                <c:pt idx="194">
                  <c:v>8.9</c:v>
                </c:pt>
                <c:pt idx="195">
                  <c:v>5</c:v>
                </c:pt>
                <c:pt idx="196">
                  <c:v>6.9</c:v>
                </c:pt>
                <c:pt idx="197">
                  <c:v>6.2</c:v>
                </c:pt>
                <c:pt idx="198">
                  <c:v>6.9</c:v>
                </c:pt>
                <c:pt idx="199">
                  <c:v>6.3</c:v>
                </c:pt>
                <c:pt idx="200">
                  <c:v>11.1</c:v>
                </c:pt>
                <c:pt idx="201">
                  <c:v>4.2</c:v>
                </c:pt>
                <c:pt idx="202">
                  <c:v>5.8</c:v>
                </c:pt>
                <c:pt idx="203">
                  <c:v>10.4</c:v>
                </c:pt>
                <c:pt idx="204">
                  <c:v>9.9</c:v>
                </c:pt>
                <c:pt idx="205">
                  <c:v>3.9</c:v>
                </c:pt>
                <c:pt idx="206">
                  <c:v>2.5</c:v>
                </c:pt>
                <c:pt idx="207">
                  <c:v>2.1</c:v>
                </c:pt>
                <c:pt idx="208">
                  <c:v>6.9</c:v>
                </c:pt>
                <c:pt idx="209">
                  <c:v>4.0999999999999996</c:v>
                </c:pt>
                <c:pt idx="210">
                  <c:v>3.5</c:v>
                </c:pt>
                <c:pt idx="211">
                  <c:v>2.5</c:v>
                </c:pt>
                <c:pt idx="212">
                  <c:v>3.4</c:v>
                </c:pt>
                <c:pt idx="213">
                  <c:v>3.1</c:v>
                </c:pt>
                <c:pt idx="214">
                  <c:v>3.6</c:v>
                </c:pt>
                <c:pt idx="215">
                  <c:v>4</c:v>
                </c:pt>
                <c:pt idx="216">
                  <c:v>4.5</c:v>
                </c:pt>
                <c:pt idx="217">
                  <c:v>6.2</c:v>
                </c:pt>
                <c:pt idx="218">
                  <c:v>6.1</c:v>
                </c:pt>
                <c:pt idx="219">
                  <c:v>5.2</c:v>
                </c:pt>
                <c:pt idx="220">
                  <c:v>4.0999999999999996</c:v>
                </c:pt>
                <c:pt idx="221">
                  <c:v>4.2</c:v>
                </c:pt>
                <c:pt idx="222">
                  <c:v>6.6</c:v>
                </c:pt>
                <c:pt idx="223">
                  <c:v>4.0999999999999996</c:v>
                </c:pt>
                <c:pt idx="224">
                  <c:v>8.9</c:v>
                </c:pt>
                <c:pt idx="225">
                  <c:v>8.8000000000000007</c:v>
                </c:pt>
                <c:pt idx="226">
                  <c:v>7.1</c:v>
                </c:pt>
                <c:pt idx="227">
                  <c:v>6.6</c:v>
                </c:pt>
                <c:pt idx="228">
                  <c:v>4.4000000000000004</c:v>
                </c:pt>
                <c:pt idx="229">
                  <c:v>7.2</c:v>
                </c:pt>
                <c:pt idx="230">
                  <c:v>7.1</c:v>
                </c:pt>
                <c:pt idx="231">
                  <c:v>5.8</c:v>
                </c:pt>
                <c:pt idx="232">
                  <c:v>5.0999999999999996</c:v>
                </c:pt>
                <c:pt idx="233">
                  <c:v>12.4</c:v>
                </c:pt>
                <c:pt idx="234">
                  <c:v>2.5</c:v>
                </c:pt>
                <c:pt idx="235">
                  <c:v>3.7</c:v>
                </c:pt>
                <c:pt idx="236">
                  <c:v>7.3</c:v>
                </c:pt>
                <c:pt idx="237">
                  <c:v>4.5999999999999996</c:v>
                </c:pt>
                <c:pt idx="238">
                  <c:v>6.3</c:v>
                </c:pt>
                <c:pt idx="239">
                  <c:v>5.3</c:v>
                </c:pt>
                <c:pt idx="240">
                  <c:v>4.3</c:v>
                </c:pt>
                <c:pt idx="241">
                  <c:v>4.0999999999999996</c:v>
                </c:pt>
                <c:pt idx="242">
                  <c:v>11.7</c:v>
                </c:pt>
                <c:pt idx="243">
                  <c:v>5.5</c:v>
                </c:pt>
                <c:pt idx="244">
                  <c:v>6.5</c:v>
                </c:pt>
                <c:pt idx="245">
                  <c:v>6.6</c:v>
                </c:pt>
                <c:pt idx="246">
                  <c:v>7.5</c:v>
                </c:pt>
                <c:pt idx="247">
                  <c:v>4.8</c:v>
                </c:pt>
                <c:pt idx="248">
                  <c:v>3</c:v>
                </c:pt>
                <c:pt idx="249">
                  <c:v>8.6999999999999993</c:v>
                </c:pt>
                <c:pt idx="250">
                  <c:v>5</c:v>
                </c:pt>
                <c:pt idx="251">
                  <c:v>10.9</c:v>
                </c:pt>
                <c:pt idx="252">
                  <c:v>6.5</c:v>
                </c:pt>
                <c:pt idx="253">
                  <c:v>6.6</c:v>
                </c:pt>
                <c:pt idx="254">
                  <c:v>7.7</c:v>
                </c:pt>
                <c:pt idx="255">
                  <c:v>6.7</c:v>
                </c:pt>
                <c:pt idx="256">
                  <c:v>9.5</c:v>
                </c:pt>
                <c:pt idx="257">
                  <c:v>7.7</c:v>
                </c:pt>
                <c:pt idx="258">
                  <c:v>9.8000000000000007</c:v>
                </c:pt>
                <c:pt idx="259">
                  <c:v>10.1</c:v>
                </c:pt>
                <c:pt idx="260">
                  <c:v>14</c:v>
                </c:pt>
                <c:pt idx="261">
                  <c:v>7</c:v>
                </c:pt>
                <c:pt idx="262">
                  <c:v>7.3</c:v>
                </c:pt>
                <c:pt idx="263">
                  <c:v>9.3000000000000007</c:v>
                </c:pt>
                <c:pt idx="264">
                  <c:v>9.1</c:v>
                </c:pt>
                <c:pt idx="265">
                  <c:v>6.2</c:v>
                </c:pt>
                <c:pt idx="266">
                  <c:v>8.3000000000000007</c:v>
                </c:pt>
                <c:pt idx="267">
                  <c:v>3.6</c:v>
                </c:pt>
                <c:pt idx="268">
                  <c:v>5.9</c:v>
                </c:pt>
                <c:pt idx="269">
                  <c:v>4.5999999999999996</c:v>
                </c:pt>
                <c:pt idx="270">
                  <c:v>5.0999999999999996</c:v>
                </c:pt>
                <c:pt idx="271">
                  <c:v>3.7</c:v>
                </c:pt>
                <c:pt idx="272">
                  <c:v>9.9</c:v>
                </c:pt>
                <c:pt idx="273">
                  <c:v>3.7</c:v>
                </c:pt>
                <c:pt idx="274">
                  <c:v>7.4</c:v>
                </c:pt>
                <c:pt idx="275">
                  <c:v>8.8000000000000007</c:v>
                </c:pt>
                <c:pt idx="276">
                  <c:v>4.4000000000000004</c:v>
                </c:pt>
                <c:pt idx="277">
                  <c:v>9.1</c:v>
                </c:pt>
                <c:pt idx="278">
                  <c:v>14.3</c:v>
                </c:pt>
                <c:pt idx="279">
                  <c:v>5.0999999999999996</c:v>
                </c:pt>
                <c:pt idx="280">
                  <c:v>6.4</c:v>
                </c:pt>
                <c:pt idx="281">
                  <c:v>7.9</c:v>
                </c:pt>
                <c:pt idx="282">
                  <c:v>5.9</c:v>
                </c:pt>
                <c:pt idx="283">
                  <c:v>7</c:v>
                </c:pt>
                <c:pt idx="284">
                  <c:v>3.4</c:v>
                </c:pt>
                <c:pt idx="285">
                  <c:v>6.8</c:v>
                </c:pt>
                <c:pt idx="286">
                  <c:v>3.8</c:v>
                </c:pt>
                <c:pt idx="287">
                  <c:v>6.5</c:v>
                </c:pt>
                <c:pt idx="288">
                  <c:v>5.2</c:v>
                </c:pt>
                <c:pt idx="289">
                  <c:v>8.6999999999999993</c:v>
                </c:pt>
                <c:pt idx="290">
                  <c:v>11.1</c:v>
                </c:pt>
                <c:pt idx="291">
                  <c:v>4.5999999999999996</c:v>
                </c:pt>
                <c:pt idx="292">
                  <c:v>6.4</c:v>
                </c:pt>
                <c:pt idx="293">
                  <c:v>6.8</c:v>
                </c:pt>
                <c:pt idx="294">
                  <c:v>8.8000000000000007</c:v>
                </c:pt>
                <c:pt idx="295">
                  <c:v>6</c:v>
                </c:pt>
                <c:pt idx="296">
                  <c:v>10.8</c:v>
                </c:pt>
                <c:pt idx="297">
                  <c:v>11.1</c:v>
                </c:pt>
                <c:pt idx="298">
                  <c:v>6.6</c:v>
                </c:pt>
                <c:pt idx="299">
                  <c:v>12</c:v>
                </c:pt>
                <c:pt idx="300">
                  <c:v>4.7</c:v>
                </c:pt>
                <c:pt idx="301">
                  <c:v>8.1999999999999993</c:v>
                </c:pt>
                <c:pt idx="302">
                  <c:v>6</c:v>
                </c:pt>
                <c:pt idx="303">
                  <c:v>10.3</c:v>
                </c:pt>
                <c:pt idx="304">
                  <c:v>6</c:v>
                </c:pt>
                <c:pt idx="305">
                  <c:v>4.5</c:v>
                </c:pt>
                <c:pt idx="306">
                  <c:v>6</c:v>
                </c:pt>
                <c:pt idx="307">
                  <c:v>10.3</c:v>
                </c:pt>
                <c:pt idx="308">
                  <c:v>9</c:v>
                </c:pt>
                <c:pt idx="309">
                  <c:v>7.6</c:v>
                </c:pt>
                <c:pt idx="310">
                  <c:v>6.2</c:v>
                </c:pt>
                <c:pt idx="311">
                  <c:v>7.9</c:v>
                </c:pt>
                <c:pt idx="312">
                  <c:v>5.3</c:v>
                </c:pt>
                <c:pt idx="313">
                  <c:v>8.6999999999999993</c:v>
                </c:pt>
                <c:pt idx="314">
                  <c:v>5.8</c:v>
                </c:pt>
                <c:pt idx="315">
                  <c:v>8.1999999999999993</c:v>
                </c:pt>
                <c:pt idx="316">
                  <c:v>9.4</c:v>
                </c:pt>
                <c:pt idx="317">
                  <c:v>9</c:v>
                </c:pt>
                <c:pt idx="318">
                  <c:v>7.1</c:v>
                </c:pt>
                <c:pt idx="319">
                  <c:v>8.6</c:v>
                </c:pt>
                <c:pt idx="320">
                  <c:v>7.2</c:v>
                </c:pt>
                <c:pt idx="321">
                  <c:v>10.5</c:v>
                </c:pt>
                <c:pt idx="322">
                  <c:v>11.6</c:v>
                </c:pt>
                <c:pt idx="323">
                  <c:v>9.4</c:v>
                </c:pt>
                <c:pt idx="324">
                  <c:v>7.8</c:v>
                </c:pt>
                <c:pt idx="325">
                  <c:v>12.5</c:v>
                </c:pt>
                <c:pt idx="326">
                  <c:v>8.3000000000000007</c:v>
                </c:pt>
                <c:pt idx="327">
                  <c:v>8.4</c:v>
                </c:pt>
                <c:pt idx="328">
                  <c:v>17.600000000000001</c:v>
                </c:pt>
                <c:pt idx="329">
                  <c:v>4</c:v>
                </c:pt>
                <c:pt idx="330">
                  <c:v>3.9</c:v>
                </c:pt>
                <c:pt idx="331">
                  <c:v>5.4</c:v>
                </c:pt>
                <c:pt idx="332">
                  <c:v>4.7</c:v>
                </c:pt>
                <c:pt idx="333">
                  <c:v>6.4</c:v>
                </c:pt>
                <c:pt idx="334">
                  <c:v>8.6999999999999993</c:v>
                </c:pt>
                <c:pt idx="335">
                  <c:v>7.2</c:v>
                </c:pt>
                <c:pt idx="336">
                  <c:v>12.4</c:v>
                </c:pt>
                <c:pt idx="337">
                  <c:v>9</c:v>
                </c:pt>
                <c:pt idx="338">
                  <c:v>10.1</c:v>
                </c:pt>
                <c:pt idx="339">
                  <c:v>11.7</c:v>
                </c:pt>
                <c:pt idx="340">
                  <c:v>7.9</c:v>
                </c:pt>
                <c:pt idx="341">
                  <c:v>13.9</c:v>
                </c:pt>
                <c:pt idx="342">
                  <c:v>14.4</c:v>
                </c:pt>
                <c:pt idx="343">
                  <c:v>5.9</c:v>
                </c:pt>
                <c:pt idx="344">
                  <c:v>3.9</c:v>
                </c:pt>
                <c:pt idx="345">
                  <c:v>5.7</c:v>
                </c:pt>
                <c:pt idx="346">
                  <c:v>8.6</c:v>
                </c:pt>
                <c:pt idx="347">
                  <c:v>8.6999999999999993</c:v>
                </c:pt>
                <c:pt idx="348">
                  <c:v>6.5</c:v>
                </c:pt>
                <c:pt idx="349">
                  <c:v>11.3</c:v>
                </c:pt>
                <c:pt idx="350">
                  <c:v>6.6</c:v>
                </c:pt>
                <c:pt idx="351">
                  <c:v>6.9</c:v>
                </c:pt>
                <c:pt idx="352">
                  <c:v>8.3000000000000007</c:v>
                </c:pt>
                <c:pt idx="353">
                  <c:v>14</c:v>
                </c:pt>
                <c:pt idx="354">
                  <c:v>12.2</c:v>
                </c:pt>
                <c:pt idx="355">
                  <c:v>14.1</c:v>
                </c:pt>
                <c:pt idx="356">
                  <c:v>7.5</c:v>
                </c:pt>
                <c:pt idx="357">
                  <c:v>9.1</c:v>
                </c:pt>
                <c:pt idx="358">
                  <c:v>4.5</c:v>
                </c:pt>
                <c:pt idx="359">
                  <c:v>6.5</c:v>
                </c:pt>
                <c:pt idx="360">
                  <c:v>6.9</c:v>
                </c:pt>
                <c:pt idx="361">
                  <c:v>5.8</c:v>
                </c:pt>
                <c:pt idx="362">
                  <c:v>10</c:v>
                </c:pt>
                <c:pt idx="363">
                  <c:v>6</c:v>
                </c:pt>
                <c:pt idx="364">
                  <c:v>10.4</c:v>
                </c:pt>
                <c:pt idx="365">
                  <c:v>16.3</c:v>
                </c:pt>
                <c:pt idx="366">
                  <c:v>9.4</c:v>
                </c:pt>
                <c:pt idx="367">
                  <c:v>13</c:v>
                </c:pt>
                <c:pt idx="368">
                  <c:v>10.6</c:v>
                </c:pt>
                <c:pt idx="369">
                  <c:v>12.3</c:v>
                </c:pt>
                <c:pt idx="370">
                  <c:v>10.6</c:v>
                </c:pt>
                <c:pt idx="371">
                  <c:v>5.3</c:v>
                </c:pt>
                <c:pt idx="372">
                  <c:v>9.8000000000000007</c:v>
                </c:pt>
                <c:pt idx="373">
                  <c:v>8.4</c:v>
                </c:pt>
                <c:pt idx="374">
                  <c:v>9.6999999999999993</c:v>
                </c:pt>
                <c:pt idx="375">
                  <c:v>6.8</c:v>
                </c:pt>
                <c:pt idx="376">
                  <c:v>10.8</c:v>
                </c:pt>
                <c:pt idx="377">
                  <c:v>12</c:v>
                </c:pt>
                <c:pt idx="378">
                  <c:v>10.6</c:v>
                </c:pt>
                <c:pt idx="379">
                  <c:v>14.2</c:v>
                </c:pt>
                <c:pt idx="380">
                  <c:v>12</c:v>
                </c:pt>
                <c:pt idx="381">
                  <c:v>8.9</c:v>
                </c:pt>
                <c:pt idx="382">
                  <c:v>12.1</c:v>
                </c:pt>
                <c:pt idx="383">
                  <c:v>14.1</c:v>
                </c:pt>
                <c:pt idx="384">
                  <c:v>11</c:v>
                </c:pt>
                <c:pt idx="385">
                  <c:v>9.6</c:v>
                </c:pt>
                <c:pt idx="386">
                  <c:v>10.7</c:v>
                </c:pt>
                <c:pt idx="387">
                  <c:v>9.4</c:v>
                </c:pt>
                <c:pt idx="388">
                  <c:v>8.3000000000000007</c:v>
                </c:pt>
                <c:pt idx="389">
                  <c:v>7.4</c:v>
                </c:pt>
                <c:pt idx="390">
                  <c:v>7.2</c:v>
                </c:pt>
                <c:pt idx="391">
                  <c:v>13.1</c:v>
                </c:pt>
                <c:pt idx="392">
                  <c:v>9.1999999999999993</c:v>
                </c:pt>
                <c:pt idx="393">
                  <c:v>16.3</c:v>
                </c:pt>
                <c:pt idx="394">
                  <c:v>1</c:v>
                </c:pt>
                <c:pt idx="395">
                  <c:v>4</c:v>
                </c:pt>
                <c:pt idx="396">
                  <c:v>6</c:v>
                </c:pt>
                <c:pt idx="397">
                  <c:v>10</c:v>
                </c:pt>
                <c:pt idx="398">
                  <c:v>9</c:v>
                </c:pt>
                <c:pt idx="399">
                  <c:v>8.3000000000000007</c:v>
                </c:pt>
                <c:pt idx="400">
                  <c:v>6</c:v>
                </c:pt>
                <c:pt idx="401">
                  <c:v>9.6</c:v>
                </c:pt>
                <c:pt idx="402">
                  <c:v>11</c:v>
                </c:pt>
                <c:pt idx="403">
                  <c:v>8.1</c:v>
                </c:pt>
                <c:pt idx="404">
                  <c:v>10.3</c:v>
                </c:pt>
                <c:pt idx="405">
                  <c:v>8.6999999999999993</c:v>
                </c:pt>
                <c:pt idx="406">
                  <c:v>10.7</c:v>
                </c:pt>
                <c:pt idx="407">
                  <c:v>12.6</c:v>
                </c:pt>
                <c:pt idx="408">
                  <c:v>10.4</c:v>
                </c:pt>
                <c:pt idx="409">
                  <c:v>18.5</c:v>
                </c:pt>
                <c:pt idx="410">
                  <c:v>7.1</c:v>
                </c:pt>
                <c:pt idx="411">
                  <c:v>9.5</c:v>
                </c:pt>
                <c:pt idx="412">
                  <c:v>7.3</c:v>
                </c:pt>
                <c:pt idx="413">
                  <c:v>9</c:v>
                </c:pt>
                <c:pt idx="414">
                  <c:v>16.399999999999999</c:v>
                </c:pt>
                <c:pt idx="415">
                  <c:v>10.1</c:v>
                </c:pt>
                <c:pt idx="416">
                  <c:v>12.5</c:v>
                </c:pt>
                <c:pt idx="417">
                  <c:v>10</c:v>
                </c:pt>
                <c:pt idx="418">
                  <c:v>11.2</c:v>
                </c:pt>
                <c:pt idx="419">
                  <c:v>9</c:v>
                </c:pt>
                <c:pt idx="420">
                  <c:v>7.2</c:v>
                </c:pt>
                <c:pt idx="421">
                  <c:v>7.9</c:v>
                </c:pt>
                <c:pt idx="422">
                  <c:v>9.9</c:v>
                </c:pt>
                <c:pt idx="423">
                  <c:v>7.6</c:v>
                </c:pt>
                <c:pt idx="424">
                  <c:v>12.2</c:v>
                </c:pt>
                <c:pt idx="425">
                  <c:v>8.6</c:v>
                </c:pt>
                <c:pt idx="426">
                  <c:v>8.6999999999999993</c:v>
                </c:pt>
                <c:pt idx="427">
                  <c:v>10.3</c:v>
                </c:pt>
                <c:pt idx="428">
                  <c:v>10.4</c:v>
                </c:pt>
                <c:pt idx="429">
                  <c:v>8.6999999999999993</c:v>
                </c:pt>
                <c:pt idx="430">
                  <c:v>14.1</c:v>
                </c:pt>
                <c:pt idx="431">
                  <c:v>7.3</c:v>
                </c:pt>
                <c:pt idx="432">
                  <c:v>11.9</c:v>
                </c:pt>
                <c:pt idx="433">
                  <c:v>10.3</c:v>
                </c:pt>
                <c:pt idx="434">
                  <c:v>11.4</c:v>
                </c:pt>
                <c:pt idx="435">
                  <c:v>13.2</c:v>
                </c:pt>
                <c:pt idx="436">
                  <c:v>13.7</c:v>
                </c:pt>
                <c:pt idx="437">
                  <c:v>9.1</c:v>
                </c:pt>
                <c:pt idx="438">
                  <c:v>12.3</c:v>
                </c:pt>
                <c:pt idx="439">
                  <c:v>12.1</c:v>
                </c:pt>
                <c:pt idx="440">
                  <c:v>15.3</c:v>
                </c:pt>
                <c:pt idx="441">
                  <c:v>10.1</c:v>
                </c:pt>
                <c:pt idx="442">
                  <c:v>16.2</c:v>
                </c:pt>
                <c:pt idx="443">
                  <c:v>7</c:v>
                </c:pt>
                <c:pt idx="444">
                  <c:v>8.6999999999999993</c:v>
                </c:pt>
                <c:pt idx="445">
                  <c:v>8.9</c:v>
                </c:pt>
                <c:pt idx="446">
                  <c:v>12.6</c:v>
                </c:pt>
                <c:pt idx="447">
                  <c:v>9.4</c:v>
                </c:pt>
                <c:pt idx="448">
                  <c:v>12.7</c:v>
                </c:pt>
                <c:pt idx="449">
                  <c:v>13</c:v>
                </c:pt>
                <c:pt idx="450">
                  <c:v>18.2</c:v>
                </c:pt>
                <c:pt idx="451">
                  <c:v>14.5</c:v>
                </c:pt>
                <c:pt idx="452">
                  <c:v>9.1</c:v>
                </c:pt>
                <c:pt idx="453">
                  <c:v>9.5</c:v>
                </c:pt>
                <c:pt idx="454">
                  <c:v>11.1</c:v>
                </c:pt>
                <c:pt idx="455">
                  <c:v>17</c:v>
                </c:pt>
                <c:pt idx="456">
                  <c:v>13.6</c:v>
                </c:pt>
                <c:pt idx="457">
                  <c:v>15.4</c:v>
                </c:pt>
                <c:pt idx="458">
                  <c:v>17.2</c:v>
                </c:pt>
                <c:pt idx="459">
                  <c:v>7</c:v>
                </c:pt>
                <c:pt idx="460">
                  <c:v>10.199999999999999</c:v>
                </c:pt>
                <c:pt idx="461">
                  <c:v>9.3000000000000007</c:v>
                </c:pt>
                <c:pt idx="462">
                  <c:v>9.1</c:v>
                </c:pt>
                <c:pt idx="463">
                  <c:v>19.3</c:v>
                </c:pt>
                <c:pt idx="464">
                  <c:v>14.6</c:v>
                </c:pt>
                <c:pt idx="465">
                  <c:v>14.4</c:v>
                </c:pt>
                <c:pt idx="466">
                  <c:v>13.1</c:v>
                </c:pt>
                <c:pt idx="467">
                  <c:v>13.4</c:v>
                </c:pt>
                <c:pt idx="468">
                  <c:v>21</c:v>
                </c:pt>
                <c:pt idx="469">
                  <c:v>19.2</c:v>
                </c:pt>
                <c:pt idx="470">
                  <c:v>18.600000000000001</c:v>
                </c:pt>
                <c:pt idx="471">
                  <c:v>14</c:v>
                </c:pt>
                <c:pt idx="472">
                  <c:v>16.8</c:v>
                </c:pt>
                <c:pt idx="473">
                  <c:v>11</c:v>
                </c:pt>
                <c:pt idx="474">
                  <c:v>12.7</c:v>
                </c:pt>
                <c:pt idx="475">
                  <c:v>12.3</c:v>
                </c:pt>
                <c:pt idx="476">
                  <c:v>16.2</c:v>
                </c:pt>
                <c:pt idx="477">
                  <c:v>11.8</c:v>
                </c:pt>
                <c:pt idx="478">
                  <c:v>13.3</c:v>
                </c:pt>
                <c:pt idx="479">
                  <c:v>18</c:v>
                </c:pt>
                <c:pt idx="480">
                  <c:v>14.8</c:v>
                </c:pt>
                <c:pt idx="481">
                  <c:v>15.1</c:v>
                </c:pt>
                <c:pt idx="482">
                  <c:v>21.1</c:v>
                </c:pt>
                <c:pt idx="483">
                  <c:v>22.2</c:v>
                </c:pt>
                <c:pt idx="484">
                  <c:v>14.6</c:v>
                </c:pt>
                <c:pt idx="485">
                  <c:v>15.6</c:v>
                </c:pt>
                <c:pt idx="486">
                  <c:v>21.5</c:v>
                </c:pt>
                <c:pt idx="487">
                  <c:v>12.3</c:v>
                </c:pt>
                <c:pt idx="488">
                  <c:v>13.5</c:v>
                </c:pt>
                <c:pt idx="489">
                  <c:v>20.6</c:v>
                </c:pt>
                <c:pt idx="490">
                  <c:v>18.5</c:v>
                </c:pt>
                <c:pt idx="491">
                  <c:v>14.4</c:v>
                </c:pt>
                <c:pt idx="492">
                  <c:v>14.7</c:v>
                </c:pt>
                <c:pt idx="493">
                  <c:v>14.7</c:v>
                </c:pt>
                <c:pt idx="494">
                  <c:v>18.899999999999999</c:v>
                </c:pt>
                <c:pt idx="495">
                  <c:v>14.1</c:v>
                </c:pt>
                <c:pt idx="496">
                  <c:v>12.9</c:v>
                </c:pt>
                <c:pt idx="497">
                  <c:v>15.3</c:v>
                </c:pt>
                <c:pt idx="498">
                  <c:v>21.4</c:v>
                </c:pt>
                <c:pt idx="499">
                  <c:v>12</c:v>
                </c:pt>
                <c:pt idx="500">
                  <c:v>12.7</c:v>
                </c:pt>
                <c:pt idx="501">
                  <c:v>18.8</c:v>
                </c:pt>
                <c:pt idx="502">
                  <c:v>19</c:v>
                </c:pt>
                <c:pt idx="503">
                  <c:v>17.100000000000001</c:v>
                </c:pt>
                <c:pt idx="504">
                  <c:v>16.2</c:v>
                </c:pt>
                <c:pt idx="505">
                  <c:v>17.600000000000001</c:v>
                </c:pt>
                <c:pt idx="506">
                  <c:v>23.3</c:v>
                </c:pt>
                <c:pt idx="507">
                  <c:v>20.2</c:v>
                </c:pt>
                <c:pt idx="508">
                  <c:v>17</c:v>
                </c:pt>
                <c:pt idx="509">
                  <c:v>20.5</c:v>
                </c:pt>
                <c:pt idx="510">
                  <c:v>18.399999999999999</c:v>
                </c:pt>
                <c:pt idx="511">
                  <c:v>20.3</c:v>
                </c:pt>
                <c:pt idx="512">
                  <c:v>17.5</c:v>
                </c:pt>
                <c:pt idx="513">
                  <c:v>20.399999999999999</c:v>
                </c:pt>
                <c:pt idx="514">
                  <c:v>21</c:v>
                </c:pt>
                <c:pt idx="515">
                  <c:v>19</c:v>
                </c:pt>
                <c:pt idx="516">
                  <c:v>24.3</c:v>
                </c:pt>
                <c:pt idx="517">
                  <c:v>19.100000000000001</c:v>
                </c:pt>
                <c:pt idx="518">
                  <c:v>15</c:v>
                </c:pt>
                <c:pt idx="519">
                  <c:v>14.7</c:v>
                </c:pt>
                <c:pt idx="520">
                  <c:v>23.9</c:v>
                </c:pt>
                <c:pt idx="521">
                  <c:v>18.100000000000001</c:v>
                </c:pt>
                <c:pt idx="522">
                  <c:v>16.8</c:v>
                </c:pt>
                <c:pt idx="523">
                  <c:v>24.5</c:v>
                </c:pt>
                <c:pt idx="524">
                  <c:v>21.2</c:v>
                </c:pt>
                <c:pt idx="525">
                  <c:v>18</c:v>
                </c:pt>
                <c:pt idx="526">
                  <c:v>18.5</c:v>
                </c:pt>
                <c:pt idx="527">
                  <c:v>24.7</c:v>
                </c:pt>
                <c:pt idx="528">
                  <c:v>21.6</c:v>
                </c:pt>
                <c:pt idx="529">
                  <c:v>21.8</c:v>
                </c:pt>
                <c:pt idx="530">
                  <c:v>16.100000000000001</c:v>
                </c:pt>
                <c:pt idx="531">
                  <c:v>19.3</c:v>
                </c:pt>
                <c:pt idx="532">
                  <c:v>19.5</c:v>
                </c:pt>
                <c:pt idx="533">
                  <c:v>24.4</c:v>
                </c:pt>
                <c:pt idx="534">
                  <c:v>18.7</c:v>
                </c:pt>
                <c:pt idx="535">
                  <c:v>25.2</c:v>
                </c:pt>
                <c:pt idx="536">
                  <c:v>20.2</c:v>
                </c:pt>
                <c:pt idx="537">
                  <c:v>15.3</c:v>
                </c:pt>
                <c:pt idx="538">
                  <c:v>24</c:v>
                </c:pt>
                <c:pt idx="539">
                  <c:v>22.2</c:v>
                </c:pt>
                <c:pt idx="540">
                  <c:v>23.5</c:v>
                </c:pt>
                <c:pt idx="541">
                  <c:v>16.899999999999999</c:v>
                </c:pt>
                <c:pt idx="542">
                  <c:v>24.2</c:v>
                </c:pt>
                <c:pt idx="543">
                  <c:v>26.1</c:v>
                </c:pt>
                <c:pt idx="544">
                  <c:v>22.2</c:v>
                </c:pt>
                <c:pt idx="545">
                  <c:v>21.1</c:v>
                </c:pt>
                <c:pt idx="546">
                  <c:v>26.3</c:v>
                </c:pt>
                <c:pt idx="547">
                  <c:v>19.100000000000001</c:v>
                </c:pt>
                <c:pt idx="548">
                  <c:v>24.4</c:v>
                </c:pt>
                <c:pt idx="549">
                  <c:v>22.2</c:v>
                </c:pt>
                <c:pt idx="550">
                  <c:v>26.6</c:v>
                </c:pt>
                <c:pt idx="551">
                  <c:v>24</c:v>
                </c:pt>
                <c:pt idx="552">
                  <c:v>26.8</c:v>
                </c:pt>
                <c:pt idx="553">
                  <c:v>27.6</c:v>
                </c:pt>
                <c:pt idx="554">
                  <c:v>25.6</c:v>
                </c:pt>
                <c:pt idx="555">
                  <c:v>23.2</c:v>
                </c:pt>
                <c:pt idx="556">
                  <c:v>29.6</c:v>
                </c:pt>
                <c:pt idx="557">
                  <c:v>24.9</c:v>
                </c:pt>
                <c:pt idx="558">
                  <c:v>26</c:v>
                </c:pt>
                <c:pt idx="559">
                  <c:v>17.5</c:v>
                </c:pt>
                <c:pt idx="560">
                  <c:v>24.7</c:v>
                </c:pt>
                <c:pt idx="561">
                  <c:v>22.8</c:v>
                </c:pt>
                <c:pt idx="562">
                  <c:v>24.2</c:v>
                </c:pt>
                <c:pt idx="563">
                  <c:v>28.2</c:v>
                </c:pt>
                <c:pt idx="564">
                  <c:v>24.6</c:v>
                </c:pt>
                <c:pt idx="565">
                  <c:v>25.9</c:v>
                </c:pt>
                <c:pt idx="566">
                  <c:v>32.700000000000003</c:v>
                </c:pt>
                <c:pt idx="567">
                  <c:v>23.8</c:v>
                </c:pt>
                <c:pt idx="568">
                  <c:v>30.4</c:v>
                </c:pt>
              </c:numCache>
            </c:numRef>
          </c:xVal>
          <c:yVal>
            <c:numRef>
              <c:f>'Cleaned Data'!$F$2:$F$570</c:f>
              <c:numCache>
                <c:formatCode>General</c:formatCode>
                <c:ptCount val="569"/>
                <c:pt idx="0">
                  <c:v>0</c:v>
                </c:pt>
                <c:pt idx="1">
                  <c:v>0</c:v>
                </c:pt>
                <c:pt idx="2">
                  <c:v>0</c:v>
                </c:pt>
                <c:pt idx="3">
                  <c:v>0</c:v>
                </c:pt>
                <c:pt idx="4">
                  <c:v>0</c:v>
                </c:pt>
                <c:pt idx="5">
                  <c:v>0</c:v>
                </c:pt>
                <c:pt idx="6">
                  <c:v>0</c:v>
                </c:pt>
                <c:pt idx="7">
                  <c:v>0</c:v>
                </c:pt>
                <c:pt idx="8">
                  <c:v>-0.1</c:v>
                </c:pt>
                <c:pt idx="9">
                  <c:v>-0.1</c:v>
                </c:pt>
                <c:pt idx="10">
                  <c:v>-0.1</c:v>
                </c:pt>
                <c:pt idx="11">
                  <c:v>0</c:v>
                </c:pt>
                <c:pt idx="12">
                  <c:v>0</c:v>
                </c:pt>
                <c:pt idx="13">
                  <c:v>0</c:v>
                </c:pt>
                <c:pt idx="14">
                  <c:v>0</c:v>
                </c:pt>
                <c:pt idx="15">
                  <c:v>-0.2</c:v>
                </c:pt>
                <c:pt idx="16">
                  <c:v>0</c:v>
                </c:pt>
                <c:pt idx="17">
                  <c:v>0</c:v>
                </c:pt>
                <c:pt idx="18">
                  <c:v>0</c:v>
                </c:pt>
                <c:pt idx="19">
                  <c:v>0</c:v>
                </c:pt>
                <c:pt idx="20">
                  <c:v>0</c:v>
                </c:pt>
                <c:pt idx="21">
                  <c:v>0</c:v>
                </c:pt>
                <c:pt idx="22">
                  <c:v>-0.1</c:v>
                </c:pt>
                <c:pt idx="23">
                  <c:v>0</c:v>
                </c:pt>
                <c:pt idx="24">
                  <c:v>-0.1</c:v>
                </c:pt>
                <c:pt idx="25">
                  <c:v>-0.1</c:v>
                </c:pt>
                <c:pt idx="26">
                  <c:v>-0.1</c:v>
                </c:pt>
                <c:pt idx="27">
                  <c:v>-0.1</c:v>
                </c:pt>
                <c:pt idx="28">
                  <c:v>-0.4</c:v>
                </c:pt>
                <c:pt idx="29">
                  <c:v>-0.4</c:v>
                </c:pt>
                <c:pt idx="30">
                  <c:v>-0.1</c:v>
                </c:pt>
                <c:pt idx="31">
                  <c:v>-0.2</c:v>
                </c:pt>
                <c:pt idx="32">
                  <c:v>0</c:v>
                </c:pt>
                <c:pt idx="33">
                  <c:v>-0.1</c:v>
                </c:pt>
                <c:pt idx="34">
                  <c:v>0.1</c:v>
                </c:pt>
                <c:pt idx="35">
                  <c:v>-0.2</c:v>
                </c:pt>
                <c:pt idx="36">
                  <c:v>0.5</c:v>
                </c:pt>
                <c:pt idx="37">
                  <c:v>-0.1</c:v>
                </c:pt>
                <c:pt idx="38">
                  <c:v>0</c:v>
                </c:pt>
                <c:pt idx="39">
                  <c:v>-0.2</c:v>
                </c:pt>
                <c:pt idx="40">
                  <c:v>-0.2</c:v>
                </c:pt>
                <c:pt idx="41">
                  <c:v>-0.2</c:v>
                </c:pt>
                <c:pt idx="42">
                  <c:v>0</c:v>
                </c:pt>
                <c:pt idx="43">
                  <c:v>1.1000000000000001</c:v>
                </c:pt>
                <c:pt idx="44">
                  <c:v>0</c:v>
                </c:pt>
                <c:pt idx="45">
                  <c:v>-0.2</c:v>
                </c:pt>
                <c:pt idx="46">
                  <c:v>-0.2</c:v>
                </c:pt>
                <c:pt idx="47">
                  <c:v>0.1</c:v>
                </c:pt>
                <c:pt idx="48">
                  <c:v>0</c:v>
                </c:pt>
                <c:pt idx="49">
                  <c:v>-0.1</c:v>
                </c:pt>
                <c:pt idx="50">
                  <c:v>1</c:v>
                </c:pt>
                <c:pt idx="51">
                  <c:v>0</c:v>
                </c:pt>
                <c:pt idx="52">
                  <c:v>0</c:v>
                </c:pt>
                <c:pt idx="53">
                  <c:v>0</c:v>
                </c:pt>
                <c:pt idx="54">
                  <c:v>0</c:v>
                </c:pt>
                <c:pt idx="55">
                  <c:v>-0.1</c:v>
                </c:pt>
                <c:pt idx="56">
                  <c:v>-0.1</c:v>
                </c:pt>
                <c:pt idx="57">
                  <c:v>-0.1</c:v>
                </c:pt>
                <c:pt idx="58">
                  <c:v>0</c:v>
                </c:pt>
                <c:pt idx="59">
                  <c:v>0</c:v>
                </c:pt>
                <c:pt idx="60">
                  <c:v>-0.1</c:v>
                </c:pt>
                <c:pt idx="61">
                  <c:v>0</c:v>
                </c:pt>
                <c:pt idx="62">
                  <c:v>-0.1</c:v>
                </c:pt>
                <c:pt idx="63">
                  <c:v>0</c:v>
                </c:pt>
                <c:pt idx="64">
                  <c:v>0</c:v>
                </c:pt>
                <c:pt idx="65">
                  <c:v>0</c:v>
                </c:pt>
                <c:pt idx="66">
                  <c:v>0.1</c:v>
                </c:pt>
                <c:pt idx="67">
                  <c:v>-0.8</c:v>
                </c:pt>
                <c:pt idx="68">
                  <c:v>-0.1</c:v>
                </c:pt>
                <c:pt idx="69">
                  <c:v>1</c:v>
                </c:pt>
                <c:pt idx="70">
                  <c:v>-0.2</c:v>
                </c:pt>
                <c:pt idx="71">
                  <c:v>0.1</c:v>
                </c:pt>
                <c:pt idx="72">
                  <c:v>0.1</c:v>
                </c:pt>
                <c:pt idx="73">
                  <c:v>-0.3</c:v>
                </c:pt>
                <c:pt idx="74">
                  <c:v>1.2</c:v>
                </c:pt>
                <c:pt idx="75">
                  <c:v>-0.6</c:v>
                </c:pt>
                <c:pt idx="76">
                  <c:v>0</c:v>
                </c:pt>
                <c:pt idx="77">
                  <c:v>0.1</c:v>
                </c:pt>
                <c:pt idx="78">
                  <c:v>-0.1</c:v>
                </c:pt>
                <c:pt idx="79">
                  <c:v>-0.1</c:v>
                </c:pt>
                <c:pt idx="80">
                  <c:v>0</c:v>
                </c:pt>
                <c:pt idx="81">
                  <c:v>-0.1</c:v>
                </c:pt>
                <c:pt idx="82">
                  <c:v>0.8</c:v>
                </c:pt>
                <c:pt idx="83">
                  <c:v>-0.1</c:v>
                </c:pt>
                <c:pt idx="84">
                  <c:v>0.2</c:v>
                </c:pt>
                <c:pt idx="85">
                  <c:v>0</c:v>
                </c:pt>
                <c:pt idx="86">
                  <c:v>0.3</c:v>
                </c:pt>
                <c:pt idx="87">
                  <c:v>-0.1</c:v>
                </c:pt>
                <c:pt idx="88">
                  <c:v>-0.1</c:v>
                </c:pt>
                <c:pt idx="89">
                  <c:v>-0.1</c:v>
                </c:pt>
                <c:pt idx="90">
                  <c:v>-0.6</c:v>
                </c:pt>
                <c:pt idx="91">
                  <c:v>-0.1</c:v>
                </c:pt>
                <c:pt idx="92">
                  <c:v>0</c:v>
                </c:pt>
                <c:pt idx="93">
                  <c:v>0</c:v>
                </c:pt>
                <c:pt idx="94">
                  <c:v>-0.2</c:v>
                </c:pt>
                <c:pt idx="95">
                  <c:v>0.1</c:v>
                </c:pt>
                <c:pt idx="96">
                  <c:v>-0.1</c:v>
                </c:pt>
                <c:pt idx="97">
                  <c:v>-0.1</c:v>
                </c:pt>
                <c:pt idx="98">
                  <c:v>-0.3</c:v>
                </c:pt>
                <c:pt idx="99">
                  <c:v>-0.1</c:v>
                </c:pt>
                <c:pt idx="100">
                  <c:v>0</c:v>
                </c:pt>
                <c:pt idx="101">
                  <c:v>-0.2</c:v>
                </c:pt>
                <c:pt idx="102">
                  <c:v>-0.2</c:v>
                </c:pt>
                <c:pt idx="103">
                  <c:v>-0.2</c:v>
                </c:pt>
                <c:pt idx="104">
                  <c:v>0.2</c:v>
                </c:pt>
                <c:pt idx="105">
                  <c:v>0</c:v>
                </c:pt>
                <c:pt idx="106">
                  <c:v>0.1</c:v>
                </c:pt>
                <c:pt idx="107">
                  <c:v>-0.1</c:v>
                </c:pt>
                <c:pt idx="108">
                  <c:v>0.1</c:v>
                </c:pt>
                <c:pt idx="109">
                  <c:v>0</c:v>
                </c:pt>
                <c:pt idx="110">
                  <c:v>-0.1</c:v>
                </c:pt>
                <c:pt idx="111">
                  <c:v>-0.1</c:v>
                </c:pt>
                <c:pt idx="112">
                  <c:v>0.7</c:v>
                </c:pt>
                <c:pt idx="113">
                  <c:v>-0.3</c:v>
                </c:pt>
                <c:pt idx="114">
                  <c:v>0.1</c:v>
                </c:pt>
                <c:pt idx="115">
                  <c:v>0.1</c:v>
                </c:pt>
                <c:pt idx="116">
                  <c:v>-0.3</c:v>
                </c:pt>
                <c:pt idx="117">
                  <c:v>-0.2</c:v>
                </c:pt>
                <c:pt idx="118">
                  <c:v>-0.2</c:v>
                </c:pt>
                <c:pt idx="119">
                  <c:v>-0.3</c:v>
                </c:pt>
                <c:pt idx="120">
                  <c:v>0.2</c:v>
                </c:pt>
                <c:pt idx="121">
                  <c:v>0</c:v>
                </c:pt>
                <c:pt idx="122">
                  <c:v>0</c:v>
                </c:pt>
                <c:pt idx="123">
                  <c:v>-0.1</c:v>
                </c:pt>
                <c:pt idx="124">
                  <c:v>-0.2</c:v>
                </c:pt>
                <c:pt idx="125">
                  <c:v>-0.3</c:v>
                </c:pt>
                <c:pt idx="126">
                  <c:v>0.1</c:v>
                </c:pt>
                <c:pt idx="127">
                  <c:v>-0.7</c:v>
                </c:pt>
                <c:pt idx="128">
                  <c:v>0.4</c:v>
                </c:pt>
                <c:pt idx="129">
                  <c:v>1.5</c:v>
                </c:pt>
                <c:pt idx="130">
                  <c:v>0</c:v>
                </c:pt>
                <c:pt idx="131">
                  <c:v>-0.1</c:v>
                </c:pt>
                <c:pt idx="132">
                  <c:v>0.2</c:v>
                </c:pt>
                <c:pt idx="133">
                  <c:v>-0.1</c:v>
                </c:pt>
                <c:pt idx="134">
                  <c:v>0</c:v>
                </c:pt>
                <c:pt idx="135">
                  <c:v>-0.3</c:v>
                </c:pt>
                <c:pt idx="136">
                  <c:v>1.2</c:v>
                </c:pt>
                <c:pt idx="137">
                  <c:v>0</c:v>
                </c:pt>
                <c:pt idx="138">
                  <c:v>0.1</c:v>
                </c:pt>
                <c:pt idx="139">
                  <c:v>-0.3</c:v>
                </c:pt>
                <c:pt idx="140">
                  <c:v>0.4</c:v>
                </c:pt>
                <c:pt idx="141">
                  <c:v>-0.4</c:v>
                </c:pt>
                <c:pt idx="142">
                  <c:v>-0.1</c:v>
                </c:pt>
                <c:pt idx="143">
                  <c:v>-0.1</c:v>
                </c:pt>
                <c:pt idx="144">
                  <c:v>0.1</c:v>
                </c:pt>
                <c:pt idx="145">
                  <c:v>0.1</c:v>
                </c:pt>
                <c:pt idx="146">
                  <c:v>0.4</c:v>
                </c:pt>
                <c:pt idx="147">
                  <c:v>-0.1</c:v>
                </c:pt>
                <c:pt idx="148">
                  <c:v>0.1</c:v>
                </c:pt>
                <c:pt idx="149">
                  <c:v>1.3</c:v>
                </c:pt>
                <c:pt idx="150">
                  <c:v>1.2</c:v>
                </c:pt>
                <c:pt idx="151">
                  <c:v>0.7</c:v>
                </c:pt>
                <c:pt idx="152">
                  <c:v>-0.7</c:v>
                </c:pt>
                <c:pt idx="153">
                  <c:v>-0.3</c:v>
                </c:pt>
                <c:pt idx="154">
                  <c:v>0.8</c:v>
                </c:pt>
                <c:pt idx="155">
                  <c:v>0.4</c:v>
                </c:pt>
                <c:pt idx="156">
                  <c:v>0</c:v>
                </c:pt>
                <c:pt idx="157">
                  <c:v>0</c:v>
                </c:pt>
                <c:pt idx="158">
                  <c:v>-0.1</c:v>
                </c:pt>
                <c:pt idx="159">
                  <c:v>0</c:v>
                </c:pt>
                <c:pt idx="160">
                  <c:v>-0.1</c:v>
                </c:pt>
                <c:pt idx="161">
                  <c:v>0.3</c:v>
                </c:pt>
                <c:pt idx="162">
                  <c:v>1.1000000000000001</c:v>
                </c:pt>
                <c:pt idx="163">
                  <c:v>0.5</c:v>
                </c:pt>
                <c:pt idx="164">
                  <c:v>0.5</c:v>
                </c:pt>
                <c:pt idx="165">
                  <c:v>-0.1</c:v>
                </c:pt>
                <c:pt idx="166">
                  <c:v>0.2</c:v>
                </c:pt>
                <c:pt idx="167">
                  <c:v>0.1</c:v>
                </c:pt>
                <c:pt idx="168">
                  <c:v>0.3</c:v>
                </c:pt>
                <c:pt idx="169">
                  <c:v>0</c:v>
                </c:pt>
                <c:pt idx="170">
                  <c:v>-0.1</c:v>
                </c:pt>
                <c:pt idx="171">
                  <c:v>0</c:v>
                </c:pt>
                <c:pt idx="172">
                  <c:v>1.1000000000000001</c:v>
                </c:pt>
                <c:pt idx="173">
                  <c:v>-0.1</c:v>
                </c:pt>
                <c:pt idx="174">
                  <c:v>-0.1</c:v>
                </c:pt>
                <c:pt idx="175">
                  <c:v>0</c:v>
                </c:pt>
                <c:pt idx="176">
                  <c:v>0.3</c:v>
                </c:pt>
                <c:pt idx="177">
                  <c:v>0.2</c:v>
                </c:pt>
                <c:pt idx="178">
                  <c:v>-0.1</c:v>
                </c:pt>
                <c:pt idx="179">
                  <c:v>0.2</c:v>
                </c:pt>
                <c:pt idx="180">
                  <c:v>-0.1</c:v>
                </c:pt>
                <c:pt idx="181">
                  <c:v>0.1</c:v>
                </c:pt>
                <c:pt idx="182">
                  <c:v>0.4</c:v>
                </c:pt>
                <c:pt idx="183">
                  <c:v>-0.1</c:v>
                </c:pt>
                <c:pt idx="184">
                  <c:v>0.8</c:v>
                </c:pt>
                <c:pt idx="185">
                  <c:v>0.1</c:v>
                </c:pt>
                <c:pt idx="186">
                  <c:v>1.4</c:v>
                </c:pt>
                <c:pt idx="187">
                  <c:v>-0.2</c:v>
                </c:pt>
                <c:pt idx="188">
                  <c:v>0.1</c:v>
                </c:pt>
                <c:pt idx="189">
                  <c:v>0.1</c:v>
                </c:pt>
                <c:pt idx="190">
                  <c:v>0.4</c:v>
                </c:pt>
                <c:pt idx="191">
                  <c:v>-0.3</c:v>
                </c:pt>
                <c:pt idx="192">
                  <c:v>0</c:v>
                </c:pt>
                <c:pt idx="193">
                  <c:v>-1.4</c:v>
                </c:pt>
                <c:pt idx="194">
                  <c:v>-0.1</c:v>
                </c:pt>
                <c:pt idx="195">
                  <c:v>0.6</c:v>
                </c:pt>
                <c:pt idx="196">
                  <c:v>0.5</c:v>
                </c:pt>
                <c:pt idx="197">
                  <c:v>0.3</c:v>
                </c:pt>
                <c:pt idx="198">
                  <c:v>-0.2</c:v>
                </c:pt>
                <c:pt idx="199">
                  <c:v>-0.2</c:v>
                </c:pt>
                <c:pt idx="200">
                  <c:v>0.5</c:v>
                </c:pt>
                <c:pt idx="201">
                  <c:v>-0.2</c:v>
                </c:pt>
                <c:pt idx="202">
                  <c:v>0.1</c:v>
                </c:pt>
                <c:pt idx="203">
                  <c:v>0.5</c:v>
                </c:pt>
                <c:pt idx="204">
                  <c:v>-1.3</c:v>
                </c:pt>
                <c:pt idx="205">
                  <c:v>0.1</c:v>
                </c:pt>
                <c:pt idx="206">
                  <c:v>-0.1</c:v>
                </c:pt>
                <c:pt idx="207">
                  <c:v>-0.2</c:v>
                </c:pt>
                <c:pt idx="208">
                  <c:v>1.1000000000000001</c:v>
                </c:pt>
                <c:pt idx="209">
                  <c:v>0.2</c:v>
                </c:pt>
                <c:pt idx="210">
                  <c:v>0</c:v>
                </c:pt>
                <c:pt idx="211">
                  <c:v>-0.5</c:v>
                </c:pt>
                <c:pt idx="212">
                  <c:v>0</c:v>
                </c:pt>
                <c:pt idx="213">
                  <c:v>-0.1</c:v>
                </c:pt>
                <c:pt idx="214">
                  <c:v>0.2</c:v>
                </c:pt>
                <c:pt idx="215">
                  <c:v>-0.1</c:v>
                </c:pt>
                <c:pt idx="216">
                  <c:v>-0.5</c:v>
                </c:pt>
                <c:pt idx="217">
                  <c:v>0.3</c:v>
                </c:pt>
                <c:pt idx="218">
                  <c:v>0.3</c:v>
                </c:pt>
                <c:pt idx="219">
                  <c:v>0</c:v>
                </c:pt>
                <c:pt idx="220">
                  <c:v>0.5</c:v>
                </c:pt>
                <c:pt idx="221">
                  <c:v>0</c:v>
                </c:pt>
                <c:pt idx="222">
                  <c:v>0.3</c:v>
                </c:pt>
                <c:pt idx="223">
                  <c:v>-0.1</c:v>
                </c:pt>
                <c:pt idx="224">
                  <c:v>1.2</c:v>
                </c:pt>
                <c:pt idx="225">
                  <c:v>-0.3</c:v>
                </c:pt>
                <c:pt idx="226">
                  <c:v>1.6</c:v>
                </c:pt>
                <c:pt idx="227">
                  <c:v>-0.1</c:v>
                </c:pt>
                <c:pt idx="228">
                  <c:v>0.1</c:v>
                </c:pt>
                <c:pt idx="229">
                  <c:v>-0.3</c:v>
                </c:pt>
                <c:pt idx="230">
                  <c:v>-0.8</c:v>
                </c:pt>
                <c:pt idx="231">
                  <c:v>0.4</c:v>
                </c:pt>
                <c:pt idx="232">
                  <c:v>-0.2</c:v>
                </c:pt>
                <c:pt idx="233">
                  <c:v>0.2</c:v>
                </c:pt>
                <c:pt idx="234">
                  <c:v>-0.3</c:v>
                </c:pt>
                <c:pt idx="235">
                  <c:v>0</c:v>
                </c:pt>
                <c:pt idx="236">
                  <c:v>0.5</c:v>
                </c:pt>
                <c:pt idx="237">
                  <c:v>-0.3</c:v>
                </c:pt>
                <c:pt idx="238">
                  <c:v>0.7</c:v>
                </c:pt>
                <c:pt idx="239">
                  <c:v>0.2</c:v>
                </c:pt>
                <c:pt idx="240">
                  <c:v>-0.2</c:v>
                </c:pt>
                <c:pt idx="241">
                  <c:v>0.2</c:v>
                </c:pt>
                <c:pt idx="242">
                  <c:v>1.6</c:v>
                </c:pt>
                <c:pt idx="243">
                  <c:v>0</c:v>
                </c:pt>
                <c:pt idx="244">
                  <c:v>0.6</c:v>
                </c:pt>
                <c:pt idx="245">
                  <c:v>-0.2</c:v>
                </c:pt>
                <c:pt idx="246">
                  <c:v>0.6</c:v>
                </c:pt>
                <c:pt idx="247">
                  <c:v>0.3</c:v>
                </c:pt>
                <c:pt idx="248">
                  <c:v>0</c:v>
                </c:pt>
                <c:pt idx="249">
                  <c:v>-0.2</c:v>
                </c:pt>
                <c:pt idx="250">
                  <c:v>0.3</c:v>
                </c:pt>
                <c:pt idx="251">
                  <c:v>0.3</c:v>
                </c:pt>
                <c:pt idx="252">
                  <c:v>0.1</c:v>
                </c:pt>
                <c:pt idx="253">
                  <c:v>-1</c:v>
                </c:pt>
                <c:pt idx="254">
                  <c:v>0.2</c:v>
                </c:pt>
                <c:pt idx="255">
                  <c:v>-0.1</c:v>
                </c:pt>
                <c:pt idx="256">
                  <c:v>0.8</c:v>
                </c:pt>
                <c:pt idx="257">
                  <c:v>0</c:v>
                </c:pt>
                <c:pt idx="258">
                  <c:v>-1.6</c:v>
                </c:pt>
                <c:pt idx="259">
                  <c:v>-0.5</c:v>
                </c:pt>
                <c:pt idx="260">
                  <c:v>0.5</c:v>
                </c:pt>
                <c:pt idx="261">
                  <c:v>-0.1</c:v>
                </c:pt>
                <c:pt idx="262">
                  <c:v>-0.5</c:v>
                </c:pt>
                <c:pt idx="263">
                  <c:v>0.7</c:v>
                </c:pt>
                <c:pt idx="264">
                  <c:v>1.2</c:v>
                </c:pt>
                <c:pt idx="265">
                  <c:v>0.3</c:v>
                </c:pt>
                <c:pt idx="266">
                  <c:v>1.9</c:v>
                </c:pt>
                <c:pt idx="267">
                  <c:v>-0.2</c:v>
                </c:pt>
                <c:pt idx="268">
                  <c:v>-0.3</c:v>
                </c:pt>
                <c:pt idx="269">
                  <c:v>-0.2</c:v>
                </c:pt>
                <c:pt idx="270">
                  <c:v>-0.1</c:v>
                </c:pt>
                <c:pt idx="271">
                  <c:v>-0.4</c:v>
                </c:pt>
                <c:pt idx="272">
                  <c:v>0.4</c:v>
                </c:pt>
                <c:pt idx="273">
                  <c:v>0.2</c:v>
                </c:pt>
                <c:pt idx="274">
                  <c:v>-1.1000000000000001</c:v>
                </c:pt>
                <c:pt idx="275">
                  <c:v>1.6</c:v>
                </c:pt>
                <c:pt idx="276">
                  <c:v>0.1</c:v>
                </c:pt>
                <c:pt idx="277">
                  <c:v>0.1</c:v>
                </c:pt>
                <c:pt idx="278">
                  <c:v>3.2</c:v>
                </c:pt>
                <c:pt idx="279">
                  <c:v>0.4</c:v>
                </c:pt>
                <c:pt idx="280">
                  <c:v>-0.4</c:v>
                </c:pt>
                <c:pt idx="281">
                  <c:v>-0.3</c:v>
                </c:pt>
                <c:pt idx="282">
                  <c:v>0.9</c:v>
                </c:pt>
                <c:pt idx="283">
                  <c:v>0.3</c:v>
                </c:pt>
                <c:pt idx="284">
                  <c:v>0</c:v>
                </c:pt>
                <c:pt idx="285">
                  <c:v>0.1</c:v>
                </c:pt>
                <c:pt idx="286">
                  <c:v>-0.1</c:v>
                </c:pt>
                <c:pt idx="287">
                  <c:v>0.4</c:v>
                </c:pt>
                <c:pt idx="288">
                  <c:v>0.2</c:v>
                </c:pt>
                <c:pt idx="289">
                  <c:v>0.3</c:v>
                </c:pt>
                <c:pt idx="290">
                  <c:v>0.2</c:v>
                </c:pt>
                <c:pt idx="291">
                  <c:v>0.3</c:v>
                </c:pt>
                <c:pt idx="292">
                  <c:v>0.5</c:v>
                </c:pt>
                <c:pt idx="293">
                  <c:v>0.1</c:v>
                </c:pt>
                <c:pt idx="294">
                  <c:v>0.5</c:v>
                </c:pt>
                <c:pt idx="295">
                  <c:v>0.9</c:v>
                </c:pt>
                <c:pt idx="296">
                  <c:v>0</c:v>
                </c:pt>
                <c:pt idx="297">
                  <c:v>1.3</c:v>
                </c:pt>
                <c:pt idx="298">
                  <c:v>0</c:v>
                </c:pt>
                <c:pt idx="299">
                  <c:v>1.4</c:v>
                </c:pt>
                <c:pt idx="300">
                  <c:v>0</c:v>
                </c:pt>
                <c:pt idx="301">
                  <c:v>1.4</c:v>
                </c:pt>
                <c:pt idx="302">
                  <c:v>0.2</c:v>
                </c:pt>
                <c:pt idx="303">
                  <c:v>0</c:v>
                </c:pt>
                <c:pt idx="304">
                  <c:v>0.1</c:v>
                </c:pt>
                <c:pt idx="305">
                  <c:v>0.7</c:v>
                </c:pt>
                <c:pt idx="306">
                  <c:v>1.8</c:v>
                </c:pt>
                <c:pt idx="307">
                  <c:v>0.2</c:v>
                </c:pt>
                <c:pt idx="308">
                  <c:v>-0.7</c:v>
                </c:pt>
                <c:pt idx="309">
                  <c:v>-1</c:v>
                </c:pt>
                <c:pt idx="310">
                  <c:v>0</c:v>
                </c:pt>
                <c:pt idx="311">
                  <c:v>-0.3</c:v>
                </c:pt>
                <c:pt idx="312">
                  <c:v>-0.2</c:v>
                </c:pt>
                <c:pt idx="313">
                  <c:v>-0.9</c:v>
                </c:pt>
                <c:pt idx="314">
                  <c:v>0.2</c:v>
                </c:pt>
                <c:pt idx="315">
                  <c:v>0.7</c:v>
                </c:pt>
                <c:pt idx="316">
                  <c:v>0.8</c:v>
                </c:pt>
                <c:pt idx="317">
                  <c:v>-0.9</c:v>
                </c:pt>
                <c:pt idx="318">
                  <c:v>-0.4</c:v>
                </c:pt>
                <c:pt idx="319">
                  <c:v>-0.2</c:v>
                </c:pt>
                <c:pt idx="320">
                  <c:v>-0.4</c:v>
                </c:pt>
                <c:pt idx="321">
                  <c:v>1.4</c:v>
                </c:pt>
                <c:pt idx="322">
                  <c:v>-0.7</c:v>
                </c:pt>
                <c:pt idx="323">
                  <c:v>0.5</c:v>
                </c:pt>
                <c:pt idx="324">
                  <c:v>-0.7</c:v>
                </c:pt>
                <c:pt idx="325">
                  <c:v>2.2000000000000002</c:v>
                </c:pt>
                <c:pt idx="326">
                  <c:v>0.9</c:v>
                </c:pt>
                <c:pt idx="327">
                  <c:v>-0.2</c:v>
                </c:pt>
                <c:pt idx="328">
                  <c:v>1.2</c:v>
                </c:pt>
                <c:pt idx="329">
                  <c:v>0</c:v>
                </c:pt>
                <c:pt idx="330">
                  <c:v>0</c:v>
                </c:pt>
                <c:pt idx="331">
                  <c:v>0.7</c:v>
                </c:pt>
                <c:pt idx="332">
                  <c:v>-0.3</c:v>
                </c:pt>
                <c:pt idx="333">
                  <c:v>-0.3</c:v>
                </c:pt>
                <c:pt idx="334">
                  <c:v>-0.6</c:v>
                </c:pt>
                <c:pt idx="335">
                  <c:v>0.8</c:v>
                </c:pt>
                <c:pt idx="336">
                  <c:v>0</c:v>
                </c:pt>
                <c:pt idx="337">
                  <c:v>0.3</c:v>
                </c:pt>
                <c:pt idx="338">
                  <c:v>0.8</c:v>
                </c:pt>
                <c:pt idx="339">
                  <c:v>1.2</c:v>
                </c:pt>
                <c:pt idx="340">
                  <c:v>0.7</c:v>
                </c:pt>
                <c:pt idx="341">
                  <c:v>0.7</c:v>
                </c:pt>
                <c:pt idx="342">
                  <c:v>0.4</c:v>
                </c:pt>
                <c:pt idx="343">
                  <c:v>-1</c:v>
                </c:pt>
                <c:pt idx="344">
                  <c:v>0.5</c:v>
                </c:pt>
                <c:pt idx="345">
                  <c:v>0</c:v>
                </c:pt>
                <c:pt idx="346">
                  <c:v>-0.3</c:v>
                </c:pt>
                <c:pt idx="347">
                  <c:v>0</c:v>
                </c:pt>
                <c:pt idx="348">
                  <c:v>0.6</c:v>
                </c:pt>
                <c:pt idx="349">
                  <c:v>1.2</c:v>
                </c:pt>
                <c:pt idx="350">
                  <c:v>0.8</c:v>
                </c:pt>
                <c:pt idx="351">
                  <c:v>-0.3</c:v>
                </c:pt>
                <c:pt idx="352">
                  <c:v>-0.4</c:v>
                </c:pt>
                <c:pt idx="353">
                  <c:v>0.4</c:v>
                </c:pt>
                <c:pt idx="354">
                  <c:v>1.4</c:v>
                </c:pt>
                <c:pt idx="355">
                  <c:v>0</c:v>
                </c:pt>
                <c:pt idx="356">
                  <c:v>0.1</c:v>
                </c:pt>
                <c:pt idx="357">
                  <c:v>-0.5</c:v>
                </c:pt>
                <c:pt idx="358">
                  <c:v>0.5</c:v>
                </c:pt>
                <c:pt idx="359">
                  <c:v>-0.1</c:v>
                </c:pt>
                <c:pt idx="360">
                  <c:v>0.8</c:v>
                </c:pt>
                <c:pt idx="361">
                  <c:v>-0.2</c:v>
                </c:pt>
                <c:pt idx="362">
                  <c:v>0.9</c:v>
                </c:pt>
                <c:pt idx="363">
                  <c:v>-0.1</c:v>
                </c:pt>
                <c:pt idx="364">
                  <c:v>-0.1</c:v>
                </c:pt>
                <c:pt idx="365">
                  <c:v>1.6</c:v>
                </c:pt>
                <c:pt idx="366">
                  <c:v>0.7</c:v>
                </c:pt>
                <c:pt idx="367">
                  <c:v>1.8</c:v>
                </c:pt>
                <c:pt idx="368">
                  <c:v>-0.7</c:v>
                </c:pt>
                <c:pt idx="369">
                  <c:v>0.1</c:v>
                </c:pt>
                <c:pt idx="370">
                  <c:v>0.7</c:v>
                </c:pt>
                <c:pt idx="371">
                  <c:v>-0.1</c:v>
                </c:pt>
                <c:pt idx="372">
                  <c:v>0.5</c:v>
                </c:pt>
                <c:pt idx="373">
                  <c:v>0.1</c:v>
                </c:pt>
                <c:pt idx="374">
                  <c:v>0.1</c:v>
                </c:pt>
                <c:pt idx="375">
                  <c:v>0.5</c:v>
                </c:pt>
                <c:pt idx="376">
                  <c:v>-1.2</c:v>
                </c:pt>
                <c:pt idx="377">
                  <c:v>0.4</c:v>
                </c:pt>
                <c:pt idx="378">
                  <c:v>-0.6</c:v>
                </c:pt>
                <c:pt idx="379">
                  <c:v>2</c:v>
                </c:pt>
                <c:pt idx="380">
                  <c:v>2</c:v>
                </c:pt>
                <c:pt idx="381">
                  <c:v>0.3</c:v>
                </c:pt>
                <c:pt idx="382">
                  <c:v>-0.3</c:v>
                </c:pt>
                <c:pt idx="383">
                  <c:v>2.2999999999999998</c:v>
                </c:pt>
                <c:pt idx="384">
                  <c:v>0</c:v>
                </c:pt>
                <c:pt idx="385">
                  <c:v>-0.3</c:v>
                </c:pt>
                <c:pt idx="386">
                  <c:v>0.7</c:v>
                </c:pt>
                <c:pt idx="387">
                  <c:v>0.2</c:v>
                </c:pt>
                <c:pt idx="388">
                  <c:v>0.3</c:v>
                </c:pt>
                <c:pt idx="389">
                  <c:v>0.4</c:v>
                </c:pt>
                <c:pt idx="390">
                  <c:v>1.6</c:v>
                </c:pt>
                <c:pt idx="391">
                  <c:v>0.6</c:v>
                </c:pt>
                <c:pt idx="392">
                  <c:v>0.7</c:v>
                </c:pt>
                <c:pt idx="393">
                  <c:v>0.4</c:v>
                </c:pt>
                <c:pt idx="394">
                  <c:v>0</c:v>
                </c:pt>
                <c:pt idx="395">
                  <c:v>0</c:v>
                </c:pt>
                <c:pt idx="396">
                  <c:v>0</c:v>
                </c:pt>
                <c:pt idx="397">
                  <c:v>-0.1</c:v>
                </c:pt>
                <c:pt idx="398">
                  <c:v>0.1</c:v>
                </c:pt>
                <c:pt idx="399">
                  <c:v>0.4</c:v>
                </c:pt>
                <c:pt idx="400">
                  <c:v>0</c:v>
                </c:pt>
                <c:pt idx="401">
                  <c:v>0.4</c:v>
                </c:pt>
                <c:pt idx="402">
                  <c:v>0.5</c:v>
                </c:pt>
                <c:pt idx="403">
                  <c:v>0.1</c:v>
                </c:pt>
                <c:pt idx="404">
                  <c:v>-0.3</c:v>
                </c:pt>
                <c:pt idx="405">
                  <c:v>1.1000000000000001</c:v>
                </c:pt>
                <c:pt idx="406">
                  <c:v>-0.1</c:v>
                </c:pt>
                <c:pt idx="407">
                  <c:v>-0.7</c:v>
                </c:pt>
                <c:pt idx="408">
                  <c:v>1</c:v>
                </c:pt>
                <c:pt idx="409">
                  <c:v>2.7</c:v>
                </c:pt>
                <c:pt idx="410">
                  <c:v>0.6</c:v>
                </c:pt>
                <c:pt idx="411">
                  <c:v>-1</c:v>
                </c:pt>
                <c:pt idx="412">
                  <c:v>-0.7</c:v>
                </c:pt>
                <c:pt idx="413">
                  <c:v>0.1</c:v>
                </c:pt>
                <c:pt idx="414">
                  <c:v>3.6</c:v>
                </c:pt>
                <c:pt idx="415">
                  <c:v>-0.1</c:v>
                </c:pt>
                <c:pt idx="416">
                  <c:v>2.2000000000000002</c:v>
                </c:pt>
                <c:pt idx="417">
                  <c:v>-0.1</c:v>
                </c:pt>
                <c:pt idx="418">
                  <c:v>2.1</c:v>
                </c:pt>
                <c:pt idx="419">
                  <c:v>1.3</c:v>
                </c:pt>
                <c:pt idx="420">
                  <c:v>-0.1</c:v>
                </c:pt>
                <c:pt idx="421">
                  <c:v>-0.4</c:v>
                </c:pt>
                <c:pt idx="422">
                  <c:v>1.7</c:v>
                </c:pt>
                <c:pt idx="423">
                  <c:v>0</c:v>
                </c:pt>
                <c:pt idx="424">
                  <c:v>0.6</c:v>
                </c:pt>
                <c:pt idx="425">
                  <c:v>0.4</c:v>
                </c:pt>
                <c:pt idx="426">
                  <c:v>-1.6</c:v>
                </c:pt>
                <c:pt idx="427">
                  <c:v>1.1000000000000001</c:v>
                </c:pt>
                <c:pt idx="428">
                  <c:v>0.1</c:v>
                </c:pt>
                <c:pt idx="429">
                  <c:v>-0.1</c:v>
                </c:pt>
                <c:pt idx="430">
                  <c:v>1.5</c:v>
                </c:pt>
                <c:pt idx="431">
                  <c:v>-0.2</c:v>
                </c:pt>
                <c:pt idx="432">
                  <c:v>0.6</c:v>
                </c:pt>
                <c:pt idx="433">
                  <c:v>0.5</c:v>
                </c:pt>
                <c:pt idx="434">
                  <c:v>0.3</c:v>
                </c:pt>
                <c:pt idx="435">
                  <c:v>0.6</c:v>
                </c:pt>
                <c:pt idx="436">
                  <c:v>1.2</c:v>
                </c:pt>
                <c:pt idx="437">
                  <c:v>-0.1</c:v>
                </c:pt>
                <c:pt idx="438">
                  <c:v>1.2</c:v>
                </c:pt>
                <c:pt idx="439">
                  <c:v>1.2</c:v>
                </c:pt>
                <c:pt idx="440">
                  <c:v>0.3</c:v>
                </c:pt>
                <c:pt idx="441">
                  <c:v>1.2</c:v>
                </c:pt>
                <c:pt idx="442">
                  <c:v>0.5</c:v>
                </c:pt>
                <c:pt idx="443">
                  <c:v>-0.1</c:v>
                </c:pt>
                <c:pt idx="444">
                  <c:v>0.3</c:v>
                </c:pt>
                <c:pt idx="445">
                  <c:v>0.2</c:v>
                </c:pt>
                <c:pt idx="446">
                  <c:v>0.6</c:v>
                </c:pt>
                <c:pt idx="447">
                  <c:v>0</c:v>
                </c:pt>
                <c:pt idx="448">
                  <c:v>0.2</c:v>
                </c:pt>
                <c:pt idx="449">
                  <c:v>-0.6</c:v>
                </c:pt>
                <c:pt idx="450">
                  <c:v>1.2</c:v>
                </c:pt>
                <c:pt idx="451">
                  <c:v>1.7</c:v>
                </c:pt>
                <c:pt idx="452">
                  <c:v>0.3</c:v>
                </c:pt>
                <c:pt idx="453">
                  <c:v>-0.2</c:v>
                </c:pt>
                <c:pt idx="454">
                  <c:v>1.7</c:v>
                </c:pt>
                <c:pt idx="455">
                  <c:v>0.4</c:v>
                </c:pt>
                <c:pt idx="456">
                  <c:v>3.6</c:v>
                </c:pt>
                <c:pt idx="457">
                  <c:v>1.6</c:v>
                </c:pt>
                <c:pt idx="458">
                  <c:v>0.6</c:v>
                </c:pt>
                <c:pt idx="459">
                  <c:v>0.1</c:v>
                </c:pt>
                <c:pt idx="460">
                  <c:v>-0.3</c:v>
                </c:pt>
                <c:pt idx="461">
                  <c:v>-0.4</c:v>
                </c:pt>
                <c:pt idx="462">
                  <c:v>-0.5</c:v>
                </c:pt>
                <c:pt idx="463">
                  <c:v>1.1000000000000001</c:v>
                </c:pt>
                <c:pt idx="464">
                  <c:v>1.2</c:v>
                </c:pt>
                <c:pt idx="465">
                  <c:v>-0.5</c:v>
                </c:pt>
                <c:pt idx="466">
                  <c:v>-0.1</c:v>
                </c:pt>
                <c:pt idx="467">
                  <c:v>1.7</c:v>
                </c:pt>
                <c:pt idx="468">
                  <c:v>0.4</c:v>
                </c:pt>
                <c:pt idx="469">
                  <c:v>2.9</c:v>
                </c:pt>
                <c:pt idx="470">
                  <c:v>4.9000000000000004</c:v>
                </c:pt>
                <c:pt idx="471">
                  <c:v>0</c:v>
                </c:pt>
                <c:pt idx="472">
                  <c:v>3.4</c:v>
                </c:pt>
                <c:pt idx="473">
                  <c:v>0.2</c:v>
                </c:pt>
                <c:pt idx="474">
                  <c:v>-0.1</c:v>
                </c:pt>
                <c:pt idx="475">
                  <c:v>-0.8</c:v>
                </c:pt>
                <c:pt idx="476">
                  <c:v>0.6</c:v>
                </c:pt>
                <c:pt idx="477">
                  <c:v>2.7</c:v>
                </c:pt>
                <c:pt idx="478">
                  <c:v>0.5</c:v>
                </c:pt>
                <c:pt idx="479">
                  <c:v>1.9</c:v>
                </c:pt>
                <c:pt idx="480">
                  <c:v>-1.4</c:v>
                </c:pt>
                <c:pt idx="481">
                  <c:v>-0.1</c:v>
                </c:pt>
                <c:pt idx="482">
                  <c:v>0.3</c:v>
                </c:pt>
                <c:pt idx="483">
                  <c:v>0.3</c:v>
                </c:pt>
                <c:pt idx="484">
                  <c:v>2.7</c:v>
                </c:pt>
                <c:pt idx="485">
                  <c:v>1.3</c:v>
                </c:pt>
                <c:pt idx="486">
                  <c:v>1.5</c:v>
                </c:pt>
                <c:pt idx="487">
                  <c:v>1.8</c:v>
                </c:pt>
                <c:pt idx="488">
                  <c:v>3.6</c:v>
                </c:pt>
                <c:pt idx="489">
                  <c:v>3</c:v>
                </c:pt>
                <c:pt idx="490">
                  <c:v>0.4</c:v>
                </c:pt>
                <c:pt idx="491">
                  <c:v>0.1</c:v>
                </c:pt>
                <c:pt idx="492">
                  <c:v>1.2</c:v>
                </c:pt>
                <c:pt idx="493">
                  <c:v>0.5</c:v>
                </c:pt>
                <c:pt idx="494">
                  <c:v>1.2</c:v>
                </c:pt>
                <c:pt idx="495">
                  <c:v>3.4</c:v>
                </c:pt>
                <c:pt idx="496">
                  <c:v>0.9</c:v>
                </c:pt>
                <c:pt idx="497">
                  <c:v>1.6</c:v>
                </c:pt>
                <c:pt idx="498">
                  <c:v>1.7</c:v>
                </c:pt>
                <c:pt idx="499">
                  <c:v>2.4</c:v>
                </c:pt>
                <c:pt idx="500">
                  <c:v>0.1</c:v>
                </c:pt>
                <c:pt idx="501">
                  <c:v>2.2999999999999998</c:v>
                </c:pt>
                <c:pt idx="502">
                  <c:v>0.7</c:v>
                </c:pt>
                <c:pt idx="503">
                  <c:v>1</c:v>
                </c:pt>
                <c:pt idx="504">
                  <c:v>0.1</c:v>
                </c:pt>
                <c:pt idx="505">
                  <c:v>0.5</c:v>
                </c:pt>
                <c:pt idx="506">
                  <c:v>1.8</c:v>
                </c:pt>
                <c:pt idx="507">
                  <c:v>2.4</c:v>
                </c:pt>
                <c:pt idx="508">
                  <c:v>1</c:v>
                </c:pt>
                <c:pt idx="509">
                  <c:v>1.2</c:v>
                </c:pt>
                <c:pt idx="510">
                  <c:v>0.6</c:v>
                </c:pt>
                <c:pt idx="511">
                  <c:v>2</c:v>
                </c:pt>
                <c:pt idx="512">
                  <c:v>0.1</c:v>
                </c:pt>
                <c:pt idx="513">
                  <c:v>0.7</c:v>
                </c:pt>
                <c:pt idx="514">
                  <c:v>1.7</c:v>
                </c:pt>
                <c:pt idx="515">
                  <c:v>0.9</c:v>
                </c:pt>
                <c:pt idx="516">
                  <c:v>3.3</c:v>
                </c:pt>
                <c:pt idx="517">
                  <c:v>4.4000000000000004</c:v>
                </c:pt>
                <c:pt idx="518">
                  <c:v>1</c:v>
                </c:pt>
                <c:pt idx="519">
                  <c:v>-0.6</c:v>
                </c:pt>
                <c:pt idx="520">
                  <c:v>3.5</c:v>
                </c:pt>
                <c:pt idx="521">
                  <c:v>2.7</c:v>
                </c:pt>
                <c:pt idx="522">
                  <c:v>-0.3</c:v>
                </c:pt>
                <c:pt idx="523">
                  <c:v>4.8</c:v>
                </c:pt>
                <c:pt idx="524">
                  <c:v>1.3</c:v>
                </c:pt>
                <c:pt idx="525">
                  <c:v>1.4</c:v>
                </c:pt>
                <c:pt idx="526">
                  <c:v>3.6</c:v>
                </c:pt>
                <c:pt idx="527">
                  <c:v>2.5</c:v>
                </c:pt>
                <c:pt idx="528">
                  <c:v>3.4</c:v>
                </c:pt>
                <c:pt idx="529">
                  <c:v>1.8</c:v>
                </c:pt>
                <c:pt idx="530">
                  <c:v>-0.5</c:v>
                </c:pt>
                <c:pt idx="531">
                  <c:v>2.2999999999999998</c:v>
                </c:pt>
                <c:pt idx="532">
                  <c:v>2.1</c:v>
                </c:pt>
                <c:pt idx="533">
                  <c:v>4.7</c:v>
                </c:pt>
                <c:pt idx="534">
                  <c:v>1.8</c:v>
                </c:pt>
                <c:pt idx="535">
                  <c:v>2</c:v>
                </c:pt>
                <c:pt idx="536">
                  <c:v>2.6</c:v>
                </c:pt>
                <c:pt idx="537">
                  <c:v>0.4</c:v>
                </c:pt>
                <c:pt idx="538">
                  <c:v>3.2</c:v>
                </c:pt>
                <c:pt idx="539">
                  <c:v>1.1000000000000001</c:v>
                </c:pt>
                <c:pt idx="540">
                  <c:v>1.3</c:v>
                </c:pt>
                <c:pt idx="541">
                  <c:v>2.2000000000000002</c:v>
                </c:pt>
                <c:pt idx="542">
                  <c:v>2.6</c:v>
                </c:pt>
                <c:pt idx="543">
                  <c:v>3.7</c:v>
                </c:pt>
                <c:pt idx="544">
                  <c:v>2.4</c:v>
                </c:pt>
                <c:pt idx="545">
                  <c:v>1.2</c:v>
                </c:pt>
                <c:pt idx="546">
                  <c:v>2</c:v>
                </c:pt>
                <c:pt idx="547">
                  <c:v>3.9</c:v>
                </c:pt>
                <c:pt idx="548">
                  <c:v>3.5</c:v>
                </c:pt>
                <c:pt idx="549">
                  <c:v>1.3</c:v>
                </c:pt>
                <c:pt idx="550">
                  <c:v>3</c:v>
                </c:pt>
                <c:pt idx="551">
                  <c:v>0.5</c:v>
                </c:pt>
                <c:pt idx="552">
                  <c:v>4.8</c:v>
                </c:pt>
                <c:pt idx="553">
                  <c:v>4.5999999999999996</c:v>
                </c:pt>
                <c:pt idx="554">
                  <c:v>1.7</c:v>
                </c:pt>
                <c:pt idx="555">
                  <c:v>1.7</c:v>
                </c:pt>
                <c:pt idx="556">
                  <c:v>9.8000000000000007</c:v>
                </c:pt>
                <c:pt idx="557">
                  <c:v>3.2</c:v>
                </c:pt>
                <c:pt idx="558">
                  <c:v>3.1</c:v>
                </c:pt>
                <c:pt idx="559">
                  <c:v>3</c:v>
                </c:pt>
                <c:pt idx="560">
                  <c:v>3.2</c:v>
                </c:pt>
                <c:pt idx="561">
                  <c:v>4.4000000000000004</c:v>
                </c:pt>
                <c:pt idx="562">
                  <c:v>1.7</c:v>
                </c:pt>
                <c:pt idx="563">
                  <c:v>3.9</c:v>
                </c:pt>
                <c:pt idx="564">
                  <c:v>1.9</c:v>
                </c:pt>
                <c:pt idx="565">
                  <c:v>2.2000000000000002</c:v>
                </c:pt>
                <c:pt idx="566">
                  <c:v>8.9</c:v>
                </c:pt>
                <c:pt idx="567">
                  <c:v>0.8</c:v>
                </c:pt>
                <c:pt idx="568">
                  <c:v>6.6</c:v>
                </c:pt>
              </c:numCache>
            </c:numRef>
          </c:yVal>
          <c:smooth val="0"/>
          <c:extLst>
            <c:ext xmlns:c16="http://schemas.microsoft.com/office/drawing/2014/chart" uri="{C3380CC4-5D6E-409C-BE32-E72D297353CC}">
              <c16:uniqueId val="{00000000-6D29-45F0-946D-92C1F6E895DD}"/>
            </c:ext>
          </c:extLst>
        </c:ser>
        <c:dLbls>
          <c:showLegendKey val="0"/>
          <c:showVal val="0"/>
          <c:showCatName val="0"/>
          <c:showSerName val="0"/>
          <c:showPercent val="0"/>
          <c:showBubbleSize val="0"/>
        </c:dLbls>
        <c:axId val="1219089599"/>
        <c:axId val="1219089119"/>
      </c:scatterChart>
      <c:valAx>
        <c:axId val="12190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Points Per Game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119"/>
        <c:crosses val="autoZero"/>
        <c:crossBetween val="midCat"/>
      </c:valAx>
      <c:valAx>
        <c:axId val="1219089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Effect of Assists Per Game on VORP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Data'!$Y$1</c:f>
              <c:strCache>
                <c:ptCount val="1"/>
                <c:pt idx="0">
                  <c:v>Points</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Data'!$T$2:$T$570</c:f>
              <c:numCache>
                <c:formatCode>General</c:formatCode>
                <c:ptCount val="569"/>
                <c:pt idx="0">
                  <c:v>0.5</c:v>
                </c:pt>
                <c:pt idx="1">
                  <c:v>0.3</c:v>
                </c:pt>
                <c:pt idx="2">
                  <c:v>1</c:v>
                </c:pt>
                <c:pt idx="3">
                  <c:v>0</c:v>
                </c:pt>
                <c:pt idx="4">
                  <c:v>0.5</c:v>
                </c:pt>
                <c:pt idx="5">
                  <c:v>0</c:v>
                </c:pt>
                <c:pt idx="6">
                  <c:v>0.7</c:v>
                </c:pt>
                <c:pt idx="7">
                  <c:v>0</c:v>
                </c:pt>
                <c:pt idx="8">
                  <c:v>0</c:v>
                </c:pt>
                <c:pt idx="9">
                  <c:v>1.2</c:v>
                </c:pt>
                <c:pt idx="10">
                  <c:v>0.1</c:v>
                </c:pt>
                <c:pt idx="11">
                  <c:v>1.5</c:v>
                </c:pt>
                <c:pt idx="12">
                  <c:v>0.6</c:v>
                </c:pt>
                <c:pt idx="13">
                  <c:v>0.4</c:v>
                </c:pt>
                <c:pt idx="14">
                  <c:v>0.3</c:v>
                </c:pt>
                <c:pt idx="15">
                  <c:v>0.7</c:v>
                </c:pt>
                <c:pt idx="16">
                  <c:v>0.8</c:v>
                </c:pt>
                <c:pt idx="17">
                  <c:v>0.2</c:v>
                </c:pt>
                <c:pt idx="18">
                  <c:v>1</c:v>
                </c:pt>
                <c:pt idx="19">
                  <c:v>1</c:v>
                </c:pt>
                <c:pt idx="20">
                  <c:v>2</c:v>
                </c:pt>
                <c:pt idx="21">
                  <c:v>0.3</c:v>
                </c:pt>
                <c:pt idx="22">
                  <c:v>1.3</c:v>
                </c:pt>
                <c:pt idx="23">
                  <c:v>0.2</c:v>
                </c:pt>
                <c:pt idx="24">
                  <c:v>0.2</c:v>
                </c:pt>
                <c:pt idx="25">
                  <c:v>0.3</c:v>
                </c:pt>
                <c:pt idx="26">
                  <c:v>0.4</c:v>
                </c:pt>
                <c:pt idx="27">
                  <c:v>0.2</c:v>
                </c:pt>
                <c:pt idx="28">
                  <c:v>0.2</c:v>
                </c:pt>
                <c:pt idx="29">
                  <c:v>0.3</c:v>
                </c:pt>
                <c:pt idx="30">
                  <c:v>0.3</c:v>
                </c:pt>
                <c:pt idx="31">
                  <c:v>0.3</c:v>
                </c:pt>
                <c:pt idx="32">
                  <c:v>0.3</c:v>
                </c:pt>
                <c:pt idx="33">
                  <c:v>0.2</c:v>
                </c:pt>
                <c:pt idx="34">
                  <c:v>0.1</c:v>
                </c:pt>
                <c:pt idx="35">
                  <c:v>0.4</c:v>
                </c:pt>
                <c:pt idx="36">
                  <c:v>0.9</c:v>
                </c:pt>
                <c:pt idx="37">
                  <c:v>0.8</c:v>
                </c:pt>
                <c:pt idx="38">
                  <c:v>0.2</c:v>
                </c:pt>
                <c:pt idx="39">
                  <c:v>0.7</c:v>
                </c:pt>
                <c:pt idx="40">
                  <c:v>0.3</c:v>
                </c:pt>
                <c:pt idx="41">
                  <c:v>0.5</c:v>
                </c:pt>
                <c:pt idx="42">
                  <c:v>1.3</c:v>
                </c:pt>
                <c:pt idx="43">
                  <c:v>0.9</c:v>
                </c:pt>
                <c:pt idx="44">
                  <c:v>0.6</c:v>
                </c:pt>
                <c:pt idx="45">
                  <c:v>1</c:v>
                </c:pt>
                <c:pt idx="46">
                  <c:v>0.6</c:v>
                </c:pt>
                <c:pt idx="47">
                  <c:v>2.2000000000000002</c:v>
                </c:pt>
                <c:pt idx="48">
                  <c:v>0.1</c:v>
                </c:pt>
                <c:pt idx="49">
                  <c:v>0.4</c:v>
                </c:pt>
                <c:pt idx="50">
                  <c:v>1.1000000000000001</c:v>
                </c:pt>
                <c:pt idx="51">
                  <c:v>1</c:v>
                </c:pt>
                <c:pt idx="52">
                  <c:v>0.6</c:v>
                </c:pt>
                <c:pt idx="53">
                  <c:v>0.9</c:v>
                </c:pt>
                <c:pt idx="54">
                  <c:v>0.3</c:v>
                </c:pt>
                <c:pt idx="55">
                  <c:v>0.3</c:v>
                </c:pt>
                <c:pt idx="56">
                  <c:v>0.6</c:v>
                </c:pt>
                <c:pt idx="57">
                  <c:v>0.4</c:v>
                </c:pt>
                <c:pt idx="58">
                  <c:v>0.5</c:v>
                </c:pt>
                <c:pt idx="59">
                  <c:v>0.2</c:v>
                </c:pt>
                <c:pt idx="60">
                  <c:v>0.8</c:v>
                </c:pt>
                <c:pt idx="61">
                  <c:v>1.1000000000000001</c:v>
                </c:pt>
                <c:pt idx="62">
                  <c:v>0.6</c:v>
                </c:pt>
                <c:pt idx="63">
                  <c:v>0.3</c:v>
                </c:pt>
                <c:pt idx="64">
                  <c:v>0.7</c:v>
                </c:pt>
                <c:pt idx="65">
                  <c:v>0.3</c:v>
                </c:pt>
                <c:pt idx="66">
                  <c:v>1.7</c:v>
                </c:pt>
                <c:pt idx="67">
                  <c:v>1.4</c:v>
                </c:pt>
                <c:pt idx="68">
                  <c:v>0.9</c:v>
                </c:pt>
                <c:pt idx="69">
                  <c:v>2.2000000000000002</c:v>
                </c:pt>
                <c:pt idx="70">
                  <c:v>1.5</c:v>
                </c:pt>
                <c:pt idx="71">
                  <c:v>1.4</c:v>
                </c:pt>
                <c:pt idx="72">
                  <c:v>1.1000000000000001</c:v>
                </c:pt>
                <c:pt idx="73">
                  <c:v>2</c:v>
                </c:pt>
                <c:pt idx="74">
                  <c:v>2.8</c:v>
                </c:pt>
                <c:pt idx="75">
                  <c:v>6.9</c:v>
                </c:pt>
                <c:pt idx="76">
                  <c:v>0.9</c:v>
                </c:pt>
                <c:pt idx="77">
                  <c:v>0.5</c:v>
                </c:pt>
                <c:pt idx="78">
                  <c:v>0.7</c:v>
                </c:pt>
                <c:pt idx="79">
                  <c:v>0</c:v>
                </c:pt>
                <c:pt idx="80">
                  <c:v>0.4</c:v>
                </c:pt>
                <c:pt idx="81">
                  <c:v>1.5</c:v>
                </c:pt>
                <c:pt idx="82">
                  <c:v>1.5</c:v>
                </c:pt>
                <c:pt idx="83">
                  <c:v>1.7</c:v>
                </c:pt>
                <c:pt idx="84">
                  <c:v>1.4</c:v>
                </c:pt>
                <c:pt idx="85">
                  <c:v>1.1000000000000001</c:v>
                </c:pt>
                <c:pt idx="86">
                  <c:v>0.4</c:v>
                </c:pt>
                <c:pt idx="87">
                  <c:v>0.8</c:v>
                </c:pt>
                <c:pt idx="88">
                  <c:v>1.1000000000000001</c:v>
                </c:pt>
                <c:pt idx="89">
                  <c:v>0.8</c:v>
                </c:pt>
                <c:pt idx="90">
                  <c:v>0.7</c:v>
                </c:pt>
                <c:pt idx="91">
                  <c:v>0.6</c:v>
                </c:pt>
                <c:pt idx="92">
                  <c:v>0.3</c:v>
                </c:pt>
                <c:pt idx="93">
                  <c:v>1.3</c:v>
                </c:pt>
                <c:pt idx="94">
                  <c:v>1</c:v>
                </c:pt>
                <c:pt idx="95">
                  <c:v>0.8</c:v>
                </c:pt>
                <c:pt idx="96">
                  <c:v>0.5</c:v>
                </c:pt>
                <c:pt idx="97">
                  <c:v>0.4</c:v>
                </c:pt>
                <c:pt idx="98">
                  <c:v>1.2</c:v>
                </c:pt>
                <c:pt idx="99">
                  <c:v>0.5</c:v>
                </c:pt>
                <c:pt idx="100">
                  <c:v>1.2</c:v>
                </c:pt>
                <c:pt idx="101">
                  <c:v>0.7</c:v>
                </c:pt>
                <c:pt idx="102">
                  <c:v>0.4</c:v>
                </c:pt>
                <c:pt idx="103">
                  <c:v>1.4</c:v>
                </c:pt>
                <c:pt idx="104">
                  <c:v>1.4</c:v>
                </c:pt>
                <c:pt idx="105">
                  <c:v>2.6</c:v>
                </c:pt>
                <c:pt idx="106">
                  <c:v>0.4</c:v>
                </c:pt>
                <c:pt idx="107">
                  <c:v>0</c:v>
                </c:pt>
                <c:pt idx="108">
                  <c:v>0.5</c:v>
                </c:pt>
                <c:pt idx="109">
                  <c:v>1.1000000000000001</c:v>
                </c:pt>
                <c:pt idx="110">
                  <c:v>0.9</c:v>
                </c:pt>
                <c:pt idx="111">
                  <c:v>0.2</c:v>
                </c:pt>
                <c:pt idx="112">
                  <c:v>1.3</c:v>
                </c:pt>
                <c:pt idx="113">
                  <c:v>0.4</c:v>
                </c:pt>
                <c:pt idx="114">
                  <c:v>0.7</c:v>
                </c:pt>
                <c:pt idx="115">
                  <c:v>1.1000000000000001</c:v>
                </c:pt>
                <c:pt idx="116">
                  <c:v>0.8</c:v>
                </c:pt>
                <c:pt idx="117">
                  <c:v>0.4</c:v>
                </c:pt>
                <c:pt idx="118">
                  <c:v>0.8</c:v>
                </c:pt>
                <c:pt idx="119">
                  <c:v>1.1000000000000001</c:v>
                </c:pt>
                <c:pt idx="120">
                  <c:v>0.6</c:v>
                </c:pt>
                <c:pt idx="121">
                  <c:v>0</c:v>
                </c:pt>
                <c:pt idx="122">
                  <c:v>0.5</c:v>
                </c:pt>
                <c:pt idx="123">
                  <c:v>0.9</c:v>
                </c:pt>
                <c:pt idx="124">
                  <c:v>1.5</c:v>
                </c:pt>
                <c:pt idx="125">
                  <c:v>0.6</c:v>
                </c:pt>
                <c:pt idx="126">
                  <c:v>1.1000000000000001</c:v>
                </c:pt>
                <c:pt idx="127">
                  <c:v>0.8</c:v>
                </c:pt>
                <c:pt idx="128">
                  <c:v>1.6</c:v>
                </c:pt>
                <c:pt idx="129">
                  <c:v>2.5</c:v>
                </c:pt>
                <c:pt idx="130">
                  <c:v>0</c:v>
                </c:pt>
                <c:pt idx="131">
                  <c:v>0.3</c:v>
                </c:pt>
                <c:pt idx="132">
                  <c:v>0.4</c:v>
                </c:pt>
                <c:pt idx="133">
                  <c:v>0.8</c:v>
                </c:pt>
                <c:pt idx="134">
                  <c:v>0.3</c:v>
                </c:pt>
                <c:pt idx="135">
                  <c:v>1.3</c:v>
                </c:pt>
                <c:pt idx="136">
                  <c:v>2.6</c:v>
                </c:pt>
                <c:pt idx="137">
                  <c:v>0.4</c:v>
                </c:pt>
                <c:pt idx="138">
                  <c:v>1.9</c:v>
                </c:pt>
                <c:pt idx="139">
                  <c:v>0.5</c:v>
                </c:pt>
                <c:pt idx="140">
                  <c:v>1.4</c:v>
                </c:pt>
                <c:pt idx="141">
                  <c:v>1.8</c:v>
                </c:pt>
                <c:pt idx="142">
                  <c:v>1.4</c:v>
                </c:pt>
                <c:pt idx="143">
                  <c:v>0.5</c:v>
                </c:pt>
                <c:pt idx="144">
                  <c:v>1.5</c:v>
                </c:pt>
                <c:pt idx="145">
                  <c:v>1.9</c:v>
                </c:pt>
                <c:pt idx="146">
                  <c:v>1.3</c:v>
                </c:pt>
                <c:pt idx="147">
                  <c:v>1.2</c:v>
                </c:pt>
                <c:pt idx="148">
                  <c:v>0.9</c:v>
                </c:pt>
                <c:pt idx="149">
                  <c:v>2.1</c:v>
                </c:pt>
                <c:pt idx="150">
                  <c:v>1.6</c:v>
                </c:pt>
                <c:pt idx="151">
                  <c:v>1.4</c:v>
                </c:pt>
                <c:pt idx="152">
                  <c:v>1.1000000000000001</c:v>
                </c:pt>
                <c:pt idx="153">
                  <c:v>1.1000000000000001</c:v>
                </c:pt>
                <c:pt idx="154">
                  <c:v>1.3</c:v>
                </c:pt>
                <c:pt idx="155">
                  <c:v>5.6</c:v>
                </c:pt>
                <c:pt idx="156">
                  <c:v>0.6</c:v>
                </c:pt>
                <c:pt idx="157">
                  <c:v>1</c:v>
                </c:pt>
                <c:pt idx="158">
                  <c:v>0.2</c:v>
                </c:pt>
                <c:pt idx="159">
                  <c:v>0</c:v>
                </c:pt>
                <c:pt idx="160">
                  <c:v>0.7</c:v>
                </c:pt>
                <c:pt idx="161">
                  <c:v>1.3</c:v>
                </c:pt>
                <c:pt idx="162">
                  <c:v>3.2</c:v>
                </c:pt>
                <c:pt idx="163">
                  <c:v>1.4</c:v>
                </c:pt>
                <c:pt idx="164">
                  <c:v>2.4</c:v>
                </c:pt>
                <c:pt idx="165">
                  <c:v>0.8</c:v>
                </c:pt>
                <c:pt idx="166">
                  <c:v>1.2</c:v>
                </c:pt>
                <c:pt idx="167">
                  <c:v>2.4</c:v>
                </c:pt>
                <c:pt idx="168">
                  <c:v>0.6</c:v>
                </c:pt>
                <c:pt idx="169">
                  <c:v>1</c:v>
                </c:pt>
                <c:pt idx="170">
                  <c:v>1.4</c:v>
                </c:pt>
                <c:pt idx="171">
                  <c:v>2.2999999999999998</c:v>
                </c:pt>
                <c:pt idx="172">
                  <c:v>5.3</c:v>
                </c:pt>
                <c:pt idx="173">
                  <c:v>0.2</c:v>
                </c:pt>
                <c:pt idx="174">
                  <c:v>0.2</c:v>
                </c:pt>
                <c:pt idx="175">
                  <c:v>0.3</c:v>
                </c:pt>
                <c:pt idx="176">
                  <c:v>1</c:v>
                </c:pt>
                <c:pt idx="177">
                  <c:v>1.4</c:v>
                </c:pt>
                <c:pt idx="178">
                  <c:v>0.1</c:v>
                </c:pt>
                <c:pt idx="179">
                  <c:v>0.6</c:v>
                </c:pt>
                <c:pt idx="180">
                  <c:v>0.7</c:v>
                </c:pt>
                <c:pt idx="181">
                  <c:v>1.4</c:v>
                </c:pt>
                <c:pt idx="182">
                  <c:v>3.3</c:v>
                </c:pt>
                <c:pt idx="183">
                  <c:v>0.4</c:v>
                </c:pt>
                <c:pt idx="184">
                  <c:v>2.6</c:v>
                </c:pt>
                <c:pt idx="185">
                  <c:v>0.4</c:v>
                </c:pt>
                <c:pt idx="186">
                  <c:v>1.6</c:v>
                </c:pt>
                <c:pt idx="187">
                  <c:v>0.6</c:v>
                </c:pt>
                <c:pt idx="188">
                  <c:v>0.6</c:v>
                </c:pt>
                <c:pt idx="189">
                  <c:v>1.1000000000000001</c:v>
                </c:pt>
                <c:pt idx="190">
                  <c:v>1.2</c:v>
                </c:pt>
                <c:pt idx="191">
                  <c:v>1</c:v>
                </c:pt>
                <c:pt idx="192">
                  <c:v>1.7</c:v>
                </c:pt>
                <c:pt idx="193">
                  <c:v>1.2</c:v>
                </c:pt>
                <c:pt idx="194">
                  <c:v>1.1000000000000001</c:v>
                </c:pt>
                <c:pt idx="195">
                  <c:v>0.6</c:v>
                </c:pt>
                <c:pt idx="196">
                  <c:v>2.8</c:v>
                </c:pt>
                <c:pt idx="197">
                  <c:v>1.9</c:v>
                </c:pt>
                <c:pt idx="198">
                  <c:v>0.9</c:v>
                </c:pt>
                <c:pt idx="199">
                  <c:v>1.3</c:v>
                </c:pt>
                <c:pt idx="200">
                  <c:v>1.6</c:v>
                </c:pt>
                <c:pt idx="201">
                  <c:v>1.2</c:v>
                </c:pt>
                <c:pt idx="202">
                  <c:v>0.2</c:v>
                </c:pt>
                <c:pt idx="203">
                  <c:v>1.5</c:v>
                </c:pt>
                <c:pt idx="204">
                  <c:v>2.4</c:v>
                </c:pt>
                <c:pt idx="205">
                  <c:v>2.7</c:v>
                </c:pt>
                <c:pt idx="206">
                  <c:v>0.8</c:v>
                </c:pt>
                <c:pt idx="207">
                  <c:v>0.4</c:v>
                </c:pt>
                <c:pt idx="208">
                  <c:v>0.6</c:v>
                </c:pt>
                <c:pt idx="209">
                  <c:v>0.7</c:v>
                </c:pt>
                <c:pt idx="210">
                  <c:v>0.3</c:v>
                </c:pt>
                <c:pt idx="211">
                  <c:v>0.4</c:v>
                </c:pt>
                <c:pt idx="212">
                  <c:v>0.3</c:v>
                </c:pt>
                <c:pt idx="213">
                  <c:v>0.5</c:v>
                </c:pt>
                <c:pt idx="214">
                  <c:v>0.9</c:v>
                </c:pt>
                <c:pt idx="215">
                  <c:v>1.1000000000000001</c:v>
                </c:pt>
                <c:pt idx="216">
                  <c:v>1.3</c:v>
                </c:pt>
                <c:pt idx="217">
                  <c:v>1.6</c:v>
                </c:pt>
                <c:pt idx="218">
                  <c:v>1.5</c:v>
                </c:pt>
                <c:pt idx="219">
                  <c:v>1.6</c:v>
                </c:pt>
                <c:pt idx="220">
                  <c:v>1</c:v>
                </c:pt>
                <c:pt idx="221">
                  <c:v>0.5</c:v>
                </c:pt>
                <c:pt idx="222">
                  <c:v>2.2999999999999998</c:v>
                </c:pt>
                <c:pt idx="223">
                  <c:v>0.9</c:v>
                </c:pt>
                <c:pt idx="224">
                  <c:v>3.3</c:v>
                </c:pt>
                <c:pt idx="225">
                  <c:v>2</c:v>
                </c:pt>
                <c:pt idx="226">
                  <c:v>2.5</c:v>
                </c:pt>
                <c:pt idx="227">
                  <c:v>2</c:v>
                </c:pt>
                <c:pt idx="228">
                  <c:v>0.5</c:v>
                </c:pt>
                <c:pt idx="229">
                  <c:v>1.5</c:v>
                </c:pt>
                <c:pt idx="230">
                  <c:v>4.2</c:v>
                </c:pt>
                <c:pt idx="231">
                  <c:v>1.1000000000000001</c:v>
                </c:pt>
                <c:pt idx="232">
                  <c:v>1.1000000000000001</c:v>
                </c:pt>
                <c:pt idx="233">
                  <c:v>1.4</c:v>
                </c:pt>
                <c:pt idx="234">
                  <c:v>0.3</c:v>
                </c:pt>
                <c:pt idx="235">
                  <c:v>0.7</c:v>
                </c:pt>
                <c:pt idx="236">
                  <c:v>1.1000000000000001</c:v>
                </c:pt>
                <c:pt idx="237">
                  <c:v>0.5</c:v>
                </c:pt>
                <c:pt idx="238">
                  <c:v>0.8</c:v>
                </c:pt>
                <c:pt idx="239">
                  <c:v>1</c:v>
                </c:pt>
                <c:pt idx="240">
                  <c:v>1.6</c:v>
                </c:pt>
                <c:pt idx="241">
                  <c:v>1.1000000000000001</c:v>
                </c:pt>
                <c:pt idx="242">
                  <c:v>3.6</c:v>
                </c:pt>
                <c:pt idx="243">
                  <c:v>1.8</c:v>
                </c:pt>
                <c:pt idx="244">
                  <c:v>0.8</c:v>
                </c:pt>
                <c:pt idx="245">
                  <c:v>1.8</c:v>
                </c:pt>
                <c:pt idx="246">
                  <c:v>1.9</c:v>
                </c:pt>
                <c:pt idx="247">
                  <c:v>0.9</c:v>
                </c:pt>
                <c:pt idx="248">
                  <c:v>0.5</c:v>
                </c:pt>
                <c:pt idx="249">
                  <c:v>2</c:v>
                </c:pt>
                <c:pt idx="250">
                  <c:v>0.7</c:v>
                </c:pt>
                <c:pt idx="251">
                  <c:v>1.5</c:v>
                </c:pt>
                <c:pt idx="252">
                  <c:v>1.8</c:v>
                </c:pt>
                <c:pt idx="253">
                  <c:v>3.1</c:v>
                </c:pt>
                <c:pt idx="254">
                  <c:v>1.8</c:v>
                </c:pt>
                <c:pt idx="255">
                  <c:v>1</c:v>
                </c:pt>
                <c:pt idx="256">
                  <c:v>2.9</c:v>
                </c:pt>
                <c:pt idx="257">
                  <c:v>1.1000000000000001</c:v>
                </c:pt>
                <c:pt idx="258">
                  <c:v>4.4000000000000004</c:v>
                </c:pt>
                <c:pt idx="259">
                  <c:v>1.6</c:v>
                </c:pt>
                <c:pt idx="260">
                  <c:v>2</c:v>
                </c:pt>
                <c:pt idx="261">
                  <c:v>3.3</c:v>
                </c:pt>
                <c:pt idx="262">
                  <c:v>3.7</c:v>
                </c:pt>
                <c:pt idx="263">
                  <c:v>0.9</c:v>
                </c:pt>
                <c:pt idx="264">
                  <c:v>4.4000000000000004</c:v>
                </c:pt>
                <c:pt idx="265">
                  <c:v>1.3</c:v>
                </c:pt>
                <c:pt idx="266">
                  <c:v>1.5</c:v>
                </c:pt>
                <c:pt idx="267">
                  <c:v>0.3</c:v>
                </c:pt>
                <c:pt idx="268">
                  <c:v>0.9</c:v>
                </c:pt>
                <c:pt idx="269">
                  <c:v>1.2</c:v>
                </c:pt>
                <c:pt idx="270">
                  <c:v>0.8</c:v>
                </c:pt>
                <c:pt idx="271">
                  <c:v>2</c:v>
                </c:pt>
                <c:pt idx="272">
                  <c:v>1.4</c:v>
                </c:pt>
                <c:pt idx="273">
                  <c:v>0.9</c:v>
                </c:pt>
                <c:pt idx="274">
                  <c:v>1.6</c:v>
                </c:pt>
                <c:pt idx="275">
                  <c:v>7.4</c:v>
                </c:pt>
                <c:pt idx="276">
                  <c:v>0.4</c:v>
                </c:pt>
                <c:pt idx="277">
                  <c:v>0.8</c:v>
                </c:pt>
                <c:pt idx="278">
                  <c:v>3.5</c:v>
                </c:pt>
                <c:pt idx="279">
                  <c:v>0.8</c:v>
                </c:pt>
                <c:pt idx="280">
                  <c:v>1.1000000000000001</c:v>
                </c:pt>
                <c:pt idx="281">
                  <c:v>4.9000000000000004</c:v>
                </c:pt>
                <c:pt idx="282">
                  <c:v>2.4</c:v>
                </c:pt>
                <c:pt idx="283">
                  <c:v>1.9</c:v>
                </c:pt>
                <c:pt idx="284">
                  <c:v>2</c:v>
                </c:pt>
                <c:pt idx="285">
                  <c:v>1.7</c:v>
                </c:pt>
                <c:pt idx="286">
                  <c:v>1.1000000000000001</c:v>
                </c:pt>
                <c:pt idx="287">
                  <c:v>1.2</c:v>
                </c:pt>
                <c:pt idx="288">
                  <c:v>0.6</c:v>
                </c:pt>
                <c:pt idx="289">
                  <c:v>1.8</c:v>
                </c:pt>
                <c:pt idx="290">
                  <c:v>1.2</c:v>
                </c:pt>
                <c:pt idx="291">
                  <c:v>0.9</c:v>
                </c:pt>
                <c:pt idx="292">
                  <c:v>1.7</c:v>
                </c:pt>
                <c:pt idx="293">
                  <c:v>2</c:v>
                </c:pt>
                <c:pt idx="294">
                  <c:v>1</c:v>
                </c:pt>
                <c:pt idx="295">
                  <c:v>1.7</c:v>
                </c:pt>
                <c:pt idx="296">
                  <c:v>2.7</c:v>
                </c:pt>
                <c:pt idx="297">
                  <c:v>3.9</c:v>
                </c:pt>
                <c:pt idx="298">
                  <c:v>1</c:v>
                </c:pt>
                <c:pt idx="299">
                  <c:v>1.8</c:v>
                </c:pt>
                <c:pt idx="300">
                  <c:v>0.7</c:v>
                </c:pt>
                <c:pt idx="301">
                  <c:v>4.5</c:v>
                </c:pt>
                <c:pt idx="302">
                  <c:v>0.8</c:v>
                </c:pt>
                <c:pt idx="303">
                  <c:v>2.8</c:v>
                </c:pt>
                <c:pt idx="304">
                  <c:v>0.5</c:v>
                </c:pt>
                <c:pt idx="305">
                  <c:v>1.6</c:v>
                </c:pt>
                <c:pt idx="306">
                  <c:v>1.6</c:v>
                </c:pt>
                <c:pt idx="307">
                  <c:v>4.5999999999999996</c:v>
                </c:pt>
                <c:pt idx="308">
                  <c:v>2</c:v>
                </c:pt>
                <c:pt idx="309">
                  <c:v>2.6</c:v>
                </c:pt>
                <c:pt idx="310">
                  <c:v>2.2999999999999998</c:v>
                </c:pt>
                <c:pt idx="311">
                  <c:v>1.7</c:v>
                </c:pt>
                <c:pt idx="312">
                  <c:v>0.6</c:v>
                </c:pt>
                <c:pt idx="313">
                  <c:v>2.5</c:v>
                </c:pt>
                <c:pt idx="314">
                  <c:v>1.9</c:v>
                </c:pt>
                <c:pt idx="315">
                  <c:v>1</c:v>
                </c:pt>
                <c:pt idx="316">
                  <c:v>2.7</c:v>
                </c:pt>
                <c:pt idx="317">
                  <c:v>1.3</c:v>
                </c:pt>
                <c:pt idx="318">
                  <c:v>2.5</c:v>
                </c:pt>
                <c:pt idx="319">
                  <c:v>1</c:v>
                </c:pt>
                <c:pt idx="320">
                  <c:v>1</c:v>
                </c:pt>
                <c:pt idx="321">
                  <c:v>1.6</c:v>
                </c:pt>
                <c:pt idx="322">
                  <c:v>1.7</c:v>
                </c:pt>
                <c:pt idx="323">
                  <c:v>1</c:v>
                </c:pt>
                <c:pt idx="324">
                  <c:v>3.1</c:v>
                </c:pt>
                <c:pt idx="325">
                  <c:v>2.9</c:v>
                </c:pt>
                <c:pt idx="326">
                  <c:v>1</c:v>
                </c:pt>
                <c:pt idx="327">
                  <c:v>2.2999999999999998</c:v>
                </c:pt>
                <c:pt idx="328">
                  <c:v>3.7</c:v>
                </c:pt>
                <c:pt idx="329">
                  <c:v>1.8</c:v>
                </c:pt>
                <c:pt idx="330">
                  <c:v>0.8</c:v>
                </c:pt>
                <c:pt idx="331">
                  <c:v>0.6</c:v>
                </c:pt>
                <c:pt idx="332">
                  <c:v>1.1000000000000001</c:v>
                </c:pt>
                <c:pt idx="333">
                  <c:v>1</c:v>
                </c:pt>
                <c:pt idx="334">
                  <c:v>1.4</c:v>
                </c:pt>
                <c:pt idx="335">
                  <c:v>4.2</c:v>
                </c:pt>
                <c:pt idx="336">
                  <c:v>2.5</c:v>
                </c:pt>
                <c:pt idx="337">
                  <c:v>3.7</c:v>
                </c:pt>
                <c:pt idx="338">
                  <c:v>0.8</c:v>
                </c:pt>
                <c:pt idx="339">
                  <c:v>3.4</c:v>
                </c:pt>
                <c:pt idx="340">
                  <c:v>1.8</c:v>
                </c:pt>
                <c:pt idx="341">
                  <c:v>2.1</c:v>
                </c:pt>
                <c:pt idx="342">
                  <c:v>1.6</c:v>
                </c:pt>
                <c:pt idx="343">
                  <c:v>1.2</c:v>
                </c:pt>
                <c:pt idx="344">
                  <c:v>1.1000000000000001</c:v>
                </c:pt>
                <c:pt idx="345">
                  <c:v>0.8</c:v>
                </c:pt>
                <c:pt idx="346">
                  <c:v>1.6</c:v>
                </c:pt>
                <c:pt idx="347">
                  <c:v>2.8</c:v>
                </c:pt>
                <c:pt idx="348">
                  <c:v>1.1000000000000001</c:v>
                </c:pt>
                <c:pt idx="349">
                  <c:v>2.2000000000000002</c:v>
                </c:pt>
                <c:pt idx="350">
                  <c:v>1.7</c:v>
                </c:pt>
                <c:pt idx="351">
                  <c:v>1.8</c:v>
                </c:pt>
                <c:pt idx="352">
                  <c:v>2</c:v>
                </c:pt>
                <c:pt idx="353">
                  <c:v>1.7</c:v>
                </c:pt>
                <c:pt idx="354">
                  <c:v>2</c:v>
                </c:pt>
                <c:pt idx="355">
                  <c:v>3</c:v>
                </c:pt>
                <c:pt idx="356">
                  <c:v>1.3</c:v>
                </c:pt>
                <c:pt idx="357">
                  <c:v>0.9</c:v>
                </c:pt>
                <c:pt idx="358">
                  <c:v>1.8</c:v>
                </c:pt>
                <c:pt idx="359">
                  <c:v>1.4</c:v>
                </c:pt>
                <c:pt idx="360">
                  <c:v>2.4</c:v>
                </c:pt>
                <c:pt idx="361">
                  <c:v>0.5</c:v>
                </c:pt>
                <c:pt idx="362">
                  <c:v>0.7</c:v>
                </c:pt>
                <c:pt idx="363">
                  <c:v>1.4</c:v>
                </c:pt>
                <c:pt idx="364">
                  <c:v>1.7</c:v>
                </c:pt>
                <c:pt idx="365">
                  <c:v>1.7</c:v>
                </c:pt>
                <c:pt idx="366">
                  <c:v>2.9</c:v>
                </c:pt>
                <c:pt idx="367">
                  <c:v>1.8</c:v>
                </c:pt>
                <c:pt idx="368">
                  <c:v>2.6</c:v>
                </c:pt>
                <c:pt idx="369">
                  <c:v>4.5</c:v>
                </c:pt>
                <c:pt idx="370">
                  <c:v>2.1</c:v>
                </c:pt>
                <c:pt idx="371">
                  <c:v>1.7</c:v>
                </c:pt>
                <c:pt idx="372">
                  <c:v>1.3</c:v>
                </c:pt>
                <c:pt idx="373">
                  <c:v>1.1000000000000001</c:v>
                </c:pt>
                <c:pt idx="374">
                  <c:v>1.1000000000000001</c:v>
                </c:pt>
                <c:pt idx="375">
                  <c:v>1</c:v>
                </c:pt>
                <c:pt idx="376">
                  <c:v>1.2</c:v>
                </c:pt>
                <c:pt idx="377">
                  <c:v>1.2</c:v>
                </c:pt>
                <c:pt idx="378">
                  <c:v>2.2000000000000002</c:v>
                </c:pt>
                <c:pt idx="379">
                  <c:v>2.2999999999999998</c:v>
                </c:pt>
                <c:pt idx="380">
                  <c:v>1.5</c:v>
                </c:pt>
                <c:pt idx="381">
                  <c:v>1.1000000000000001</c:v>
                </c:pt>
                <c:pt idx="382">
                  <c:v>2.2000000000000002</c:v>
                </c:pt>
                <c:pt idx="383">
                  <c:v>4.4000000000000004</c:v>
                </c:pt>
                <c:pt idx="384">
                  <c:v>1.6</c:v>
                </c:pt>
                <c:pt idx="385">
                  <c:v>1.9</c:v>
                </c:pt>
                <c:pt idx="386">
                  <c:v>2.8</c:v>
                </c:pt>
                <c:pt idx="387">
                  <c:v>1.1000000000000001</c:v>
                </c:pt>
                <c:pt idx="388">
                  <c:v>2.4</c:v>
                </c:pt>
                <c:pt idx="389">
                  <c:v>1.4</c:v>
                </c:pt>
                <c:pt idx="390">
                  <c:v>2</c:v>
                </c:pt>
                <c:pt idx="391">
                  <c:v>1.4</c:v>
                </c:pt>
                <c:pt idx="392">
                  <c:v>1</c:v>
                </c:pt>
                <c:pt idx="393">
                  <c:v>2.9</c:v>
                </c:pt>
                <c:pt idx="394">
                  <c:v>0</c:v>
                </c:pt>
                <c:pt idx="395">
                  <c:v>2</c:v>
                </c:pt>
                <c:pt idx="396">
                  <c:v>0</c:v>
                </c:pt>
                <c:pt idx="397">
                  <c:v>1.3</c:v>
                </c:pt>
                <c:pt idx="398">
                  <c:v>5.2</c:v>
                </c:pt>
                <c:pt idx="399">
                  <c:v>2.2999999999999998</c:v>
                </c:pt>
                <c:pt idx="400">
                  <c:v>5</c:v>
                </c:pt>
                <c:pt idx="401">
                  <c:v>1.9</c:v>
                </c:pt>
                <c:pt idx="402">
                  <c:v>2.1</c:v>
                </c:pt>
                <c:pt idx="403">
                  <c:v>1.4</c:v>
                </c:pt>
                <c:pt idx="404">
                  <c:v>3.3</c:v>
                </c:pt>
                <c:pt idx="405">
                  <c:v>2.4</c:v>
                </c:pt>
                <c:pt idx="406">
                  <c:v>2.2000000000000002</c:v>
                </c:pt>
                <c:pt idx="407">
                  <c:v>1.2</c:v>
                </c:pt>
                <c:pt idx="408">
                  <c:v>2</c:v>
                </c:pt>
                <c:pt idx="409">
                  <c:v>3.5</c:v>
                </c:pt>
                <c:pt idx="410">
                  <c:v>0.8</c:v>
                </c:pt>
                <c:pt idx="411">
                  <c:v>1.8</c:v>
                </c:pt>
                <c:pt idx="412">
                  <c:v>1.3</c:v>
                </c:pt>
                <c:pt idx="413">
                  <c:v>3.2</c:v>
                </c:pt>
                <c:pt idx="414">
                  <c:v>4.8</c:v>
                </c:pt>
                <c:pt idx="415">
                  <c:v>0.9</c:v>
                </c:pt>
                <c:pt idx="416">
                  <c:v>3.4</c:v>
                </c:pt>
                <c:pt idx="417">
                  <c:v>5</c:v>
                </c:pt>
                <c:pt idx="418">
                  <c:v>3.8</c:v>
                </c:pt>
                <c:pt idx="419">
                  <c:v>5.6</c:v>
                </c:pt>
                <c:pt idx="420">
                  <c:v>0.4</c:v>
                </c:pt>
                <c:pt idx="421">
                  <c:v>2.1</c:v>
                </c:pt>
                <c:pt idx="422">
                  <c:v>4.4000000000000004</c:v>
                </c:pt>
                <c:pt idx="423">
                  <c:v>0.6</c:v>
                </c:pt>
                <c:pt idx="424">
                  <c:v>1.1000000000000001</c:v>
                </c:pt>
                <c:pt idx="425">
                  <c:v>2.5</c:v>
                </c:pt>
                <c:pt idx="426">
                  <c:v>6.3</c:v>
                </c:pt>
                <c:pt idx="427">
                  <c:v>2.2000000000000002</c:v>
                </c:pt>
                <c:pt idx="428">
                  <c:v>2.2999999999999998</c:v>
                </c:pt>
                <c:pt idx="429">
                  <c:v>0.7</c:v>
                </c:pt>
                <c:pt idx="430">
                  <c:v>5.6</c:v>
                </c:pt>
                <c:pt idx="431">
                  <c:v>0.9</c:v>
                </c:pt>
                <c:pt idx="432">
                  <c:v>4.0999999999999996</c:v>
                </c:pt>
                <c:pt idx="433">
                  <c:v>3.4</c:v>
                </c:pt>
                <c:pt idx="434">
                  <c:v>2.4</c:v>
                </c:pt>
                <c:pt idx="435">
                  <c:v>3</c:v>
                </c:pt>
                <c:pt idx="436">
                  <c:v>2.2000000000000002</c:v>
                </c:pt>
                <c:pt idx="437">
                  <c:v>1.2</c:v>
                </c:pt>
                <c:pt idx="438">
                  <c:v>1.7</c:v>
                </c:pt>
                <c:pt idx="439">
                  <c:v>3.4</c:v>
                </c:pt>
                <c:pt idx="440">
                  <c:v>2.6</c:v>
                </c:pt>
                <c:pt idx="441">
                  <c:v>2.2999999999999998</c:v>
                </c:pt>
                <c:pt idx="442">
                  <c:v>4.3</c:v>
                </c:pt>
                <c:pt idx="443">
                  <c:v>2</c:v>
                </c:pt>
                <c:pt idx="444">
                  <c:v>2.9</c:v>
                </c:pt>
                <c:pt idx="445">
                  <c:v>2.2999999999999998</c:v>
                </c:pt>
                <c:pt idx="446">
                  <c:v>5.0999999999999996</c:v>
                </c:pt>
                <c:pt idx="447">
                  <c:v>3.1</c:v>
                </c:pt>
                <c:pt idx="448">
                  <c:v>1.6</c:v>
                </c:pt>
                <c:pt idx="449">
                  <c:v>2.4</c:v>
                </c:pt>
                <c:pt idx="450">
                  <c:v>2.1</c:v>
                </c:pt>
                <c:pt idx="451">
                  <c:v>2.8</c:v>
                </c:pt>
                <c:pt idx="452">
                  <c:v>2</c:v>
                </c:pt>
                <c:pt idx="453">
                  <c:v>2</c:v>
                </c:pt>
                <c:pt idx="454">
                  <c:v>1.7</c:v>
                </c:pt>
                <c:pt idx="455">
                  <c:v>3.7</c:v>
                </c:pt>
                <c:pt idx="456">
                  <c:v>5.9</c:v>
                </c:pt>
                <c:pt idx="457">
                  <c:v>2.6</c:v>
                </c:pt>
                <c:pt idx="458">
                  <c:v>5.6</c:v>
                </c:pt>
                <c:pt idx="459">
                  <c:v>1</c:v>
                </c:pt>
                <c:pt idx="460">
                  <c:v>2.6</c:v>
                </c:pt>
                <c:pt idx="461">
                  <c:v>0.9</c:v>
                </c:pt>
                <c:pt idx="462">
                  <c:v>1.4</c:v>
                </c:pt>
                <c:pt idx="463">
                  <c:v>4.8</c:v>
                </c:pt>
                <c:pt idx="464">
                  <c:v>3</c:v>
                </c:pt>
                <c:pt idx="465">
                  <c:v>1.8</c:v>
                </c:pt>
                <c:pt idx="466">
                  <c:v>5.4</c:v>
                </c:pt>
                <c:pt idx="467">
                  <c:v>2.2999999999999998</c:v>
                </c:pt>
                <c:pt idx="468">
                  <c:v>3.6</c:v>
                </c:pt>
                <c:pt idx="469">
                  <c:v>5.3</c:v>
                </c:pt>
                <c:pt idx="470">
                  <c:v>9.1999999999999993</c:v>
                </c:pt>
                <c:pt idx="471">
                  <c:v>0</c:v>
                </c:pt>
                <c:pt idx="472">
                  <c:v>2.7</c:v>
                </c:pt>
                <c:pt idx="473">
                  <c:v>4.4000000000000004</c:v>
                </c:pt>
                <c:pt idx="474">
                  <c:v>5.0999999999999996</c:v>
                </c:pt>
                <c:pt idx="475">
                  <c:v>3.4</c:v>
                </c:pt>
                <c:pt idx="476">
                  <c:v>3.7</c:v>
                </c:pt>
                <c:pt idx="477">
                  <c:v>2.7</c:v>
                </c:pt>
                <c:pt idx="478">
                  <c:v>6.1</c:v>
                </c:pt>
                <c:pt idx="479">
                  <c:v>2.2000000000000002</c:v>
                </c:pt>
                <c:pt idx="480">
                  <c:v>2.2999999999999998</c:v>
                </c:pt>
                <c:pt idx="481">
                  <c:v>1.8</c:v>
                </c:pt>
                <c:pt idx="482">
                  <c:v>4.0999999999999996</c:v>
                </c:pt>
                <c:pt idx="483">
                  <c:v>5.2</c:v>
                </c:pt>
                <c:pt idx="484">
                  <c:v>7.2</c:v>
                </c:pt>
                <c:pt idx="485">
                  <c:v>1.5</c:v>
                </c:pt>
                <c:pt idx="486">
                  <c:v>3.1</c:v>
                </c:pt>
                <c:pt idx="487">
                  <c:v>1.4</c:v>
                </c:pt>
                <c:pt idx="488">
                  <c:v>1.9</c:v>
                </c:pt>
                <c:pt idx="489">
                  <c:v>6.7</c:v>
                </c:pt>
                <c:pt idx="490">
                  <c:v>2.8</c:v>
                </c:pt>
                <c:pt idx="491">
                  <c:v>2.1</c:v>
                </c:pt>
                <c:pt idx="492">
                  <c:v>3.2</c:v>
                </c:pt>
                <c:pt idx="493">
                  <c:v>2.2999999999999998</c:v>
                </c:pt>
                <c:pt idx="494">
                  <c:v>5</c:v>
                </c:pt>
                <c:pt idx="495">
                  <c:v>3.8</c:v>
                </c:pt>
                <c:pt idx="496">
                  <c:v>1.4</c:v>
                </c:pt>
                <c:pt idx="497">
                  <c:v>2.5</c:v>
                </c:pt>
                <c:pt idx="498">
                  <c:v>6</c:v>
                </c:pt>
                <c:pt idx="499">
                  <c:v>1.8</c:v>
                </c:pt>
                <c:pt idx="500">
                  <c:v>4.0999999999999996</c:v>
                </c:pt>
                <c:pt idx="501">
                  <c:v>3.4</c:v>
                </c:pt>
                <c:pt idx="502">
                  <c:v>1.5</c:v>
                </c:pt>
                <c:pt idx="503">
                  <c:v>5.8</c:v>
                </c:pt>
                <c:pt idx="504">
                  <c:v>3.7</c:v>
                </c:pt>
                <c:pt idx="505">
                  <c:v>4</c:v>
                </c:pt>
                <c:pt idx="506">
                  <c:v>4.2</c:v>
                </c:pt>
                <c:pt idx="507">
                  <c:v>3.4</c:v>
                </c:pt>
                <c:pt idx="508">
                  <c:v>1.4</c:v>
                </c:pt>
                <c:pt idx="509">
                  <c:v>4.5</c:v>
                </c:pt>
                <c:pt idx="510">
                  <c:v>4.2</c:v>
                </c:pt>
                <c:pt idx="511">
                  <c:v>3.9</c:v>
                </c:pt>
                <c:pt idx="512">
                  <c:v>7.4</c:v>
                </c:pt>
                <c:pt idx="513">
                  <c:v>4.5</c:v>
                </c:pt>
                <c:pt idx="514">
                  <c:v>3.4</c:v>
                </c:pt>
                <c:pt idx="515">
                  <c:v>2</c:v>
                </c:pt>
                <c:pt idx="516">
                  <c:v>3.7</c:v>
                </c:pt>
                <c:pt idx="517">
                  <c:v>6</c:v>
                </c:pt>
                <c:pt idx="518">
                  <c:v>2</c:v>
                </c:pt>
                <c:pt idx="519">
                  <c:v>4.0999999999999996</c:v>
                </c:pt>
                <c:pt idx="520">
                  <c:v>5.5</c:v>
                </c:pt>
                <c:pt idx="521">
                  <c:v>4.3</c:v>
                </c:pt>
                <c:pt idx="522">
                  <c:v>5.6</c:v>
                </c:pt>
                <c:pt idx="523">
                  <c:v>6</c:v>
                </c:pt>
                <c:pt idx="524">
                  <c:v>3.5</c:v>
                </c:pt>
                <c:pt idx="525">
                  <c:v>2.6</c:v>
                </c:pt>
                <c:pt idx="526">
                  <c:v>3.2</c:v>
                </c:pt>
                <c:pt idx="527">
                  <c:v>4.5999999999999996</c:v>
                </c:pt>
                <c:pt idx="528">
                  <c:v>5.0999999999999996</c:v>
                </c:pt>
                <c:pt idx="529">
                  <c:v>2.1</c:v>
                </c:pt>
                <c:pt idx="530">
                  <c:v>1.9</c:v>
                </c:pt>
                <c:pt idx="531">
                  <c:v>5.8</c:v>
                </c:pt>
                <c:pt idx="532">
                  <c:v>2.1</c:v>
                </c:pt>
                <c:pt idx="533">
                  <c:v>8.1999999999999993</c:v>
                </c:pt>
                <c:pt idx="534">
                  <c:v>4.7</c:v>
                </c:pt>
                <c:pt idx="535">
                  <c:v>7.4</c:v>
                </c:pt>
                <c:pt idx="536">
                  <c:v>5.8</c:v>
                </c:pt>
                <c:pt idx="537">
                  <c:v>2.2000000000000002</c:v>
                </c:pt>
                <c:pt idx="538">
                  <c:v>5</c:v>
                </c:pt>
                <c:pt idx="539">
                  <c:v>4.5</c:v>
                </c:pt>
                <c:pt idx="540">
                  <c:v>6.3</c:v>
                </c:pt>
                <c:pt idx="541">
                  <c:v>3.9</c:v>
                </c:pt>
                <c:pt idx="542">
                  <c:v>4.7</c:v>
                </c:pt>
                <c:pt idx="543">
                  <c:v>9.1</c:v>
                </c:pt>
                <c:pt idx="544">
                  <c:v>2</c:v>
                </c:pt>
                <c:pt idx="545">
                  <c:v>5.4</c:v>
                </c:pt>
                <c:pt idx="546">
                  <c:v>6.1</c:v>
                </c:pt>
                <c:pt idx="547">
                  <c:v>4.9000000000000004</c:v>
                </c:pt>
                <c:pt idx="548">
                  <c:v>3.1</c:v>
                </c:pt>
                <c:pt idx="549">
                  <c:v>4.4000000000000004</c:v>
                </c:pt>
                <c:pt idx="550">
                  <c:v>4.2</c:v>
                </c:pt>
                <c:pt idx="551">
                  <c:v>3.8</c:v>
                </c:pt>
                <c:pt idx="552">
                  <c:v>6</c:v>
                </c:pt>
                <c:pt idx="553">
                  <c:v>4.5</c:v>
                </c:pt>
                <c:pt idx="554">
                  <c:v>7.1</c:v>
                </c:pt>
                <c:pt idx="555">
                  <c:v>7.3</c:v>
                </c:pt>
                <c:pt idx="556">
                  <c:v>10.199999999999999</c:v>
                </c:pt>
                <c:pt idx="557">
                  <c:v>7.1</c:v>
                </c:pt>
                <c:pt idx="558">
                  <c:v>7.3</c:v>
                </c:pt>
                <c:pt idx="559">
                  <c:v>5.4</c:v>
                </c:pt>
                <c:pt idx="560">
                  <c:v>3.5</c:v>
                </c:pt>
                <c:pt idx="561">
                  <c:v>8.6999999999999993</c:v>
                </c:pt>
                <c:pt idx="562">
                  <c:v>11.6</c:v>
                </c:pt>
                <c:pt idx="563">
                  <c:v>7.7</c:v>
                </c:pt>
                <c:pt idx="564">
                  <c:v>5.3</c:v>
                </c:pt>
                <c:pt idx="565">
                  <c:v>4.8</c:v>
                </c:pt>
                <c:pt idx="566">
                  <c:v>6.4</c:v>
                </c:pt>
                <c:pt idx="567">
                  <c:v>4.5</c:v>
                </c:pt>
                <c:pt idx="568">
                  <c:v>6.5</c:v>
                </c:pt>
              </c:numCache>
            </c:numRef>
          </c:xVal>
          <c:yVal>
            <c:numRef>
              <c:f>'Cleaned Data'!$F$2:$F$570</c:f>
              <c:numCache>
                <c:formatCode>General</c:formatCode>
                <c:ptCount val="569"/>
                <c:pt idx="0">
                  <c:v>0</c:v>
                </c:pt>
                <c:pt idx="1">
                  <c:v>0</c:v>
                </c:pt>
                <c:pt idx="2">
                  <c:v>0</c:v>
                </c:pt>
                <c:pt idx="3">
                  <c:v>0</c:v>
                </c:pt>
                <c:pt idx="4">
                  <c:v>0</c:v>
                </c:pt>
                <c:pt idx="5">
                  <c:v>0</c:v>
                </c:pt>
                <c:pt idx="6">
                  <c:v>0</c:v>
                </c:pt>
                <c:pt idx="7">
                  <c:v>0</c:v>
                </c:pt>
                <c:pt idx="8">
                  <c:v>-0.1</c:v>
                </c:pt>
                <c:pt idx="9">
                  <c:v>-0.1</c:v>
                </c:pt>
                <c:pt idx="10">
                  <c:v>-0.1</c:v>
                </c:pt>
                <c:pt idx="11">
                  <c:v>0</c:v>
                </c:pt>
                <c:pt idx="12">
                  <c:v>0</c:v>
                </c:pt>
                <c:pt idx="13">
                  <c:v>0</c:v>
                </c:pt>
                <c:pt idx="14">
                  <c:v>0</c:v>
                </c:pt>
                <c:pt idx="15">
                  <c:v>-0.2</c:v>
                </c:pt>
                <c:pt idx="16">
                  <c:v>0</c:v>
                </c:pt>
                <c:pt idx="17">
                  <c:v>0</c:v>
                </c:pt>
                <c:pt idx="18">
                  <c:v>0</c:v>
                </c:pt>
                <c:pt idx="19">
                  <c:v>0</c:v>
                </c:pt>
                <c:pt idx="20">
                  <c:v>0</c:v>
                </c:pt>
                <c:pt idx="21">
                  <c:v>0</c:v>
                </c:pt>
                <c:pt idx="22">
                  <c:v>-0.1</c:v>
                </c:pt>
                <c:pt idx="23">
                  <c:v>0</c:v>
                </c:pt>
                <c:pt idx="24">
                  <c:v>-0.1</c:v>
                </c:pt>
                <c:pt idx="25">
                  <c:v>-0.1</c:v>
                </c:pt>
                <c:pt idx="26">
                  <c:v>-0.1</c:v>
                </c:pt>
                <c:pt idx="27">
                  <c:v>-0.1</c:v>
                </c:pt>
                <c:pt idx="28">
                  <c:v>-0.4</c:v>
                </c:pt>
                <c:pt idx="29">
                  <c:v>-0.4</c:v>
                </c:pt>
                <c:pt idx="30">
                  <c:v>-0.1</c:v>
                </c:pt>
                <c:pt idx="31">
                  <c:v>-0.2</c:v>
                </c:pt>
                <c:pt idx="32">
                  <c:v>0</c:v>
                </c:pt>
                <c:pt idx="33">
                  <c:v>-0.1</c:v>
                </c:pt>
                <c:pt idx="34">
                  <c:v>0.1</c:v>
                </c:pt>
                <c:pt idx="35">
                  <c:v>-0.2</c:v>
                </c:pt>
                <c:pt idx="36">
                  <c:v>0.5</c:v>
                </c:pt>
                <c:pt idx="37">
                  <c:v>-0.1</c:v>
                </c:pt>
                <c:pt idx="38">
                  <c:v>0</c:v>
                </c:pt>
                <c:pt idx="39">
                  <c:v>-0.2</c:v>
                </c:pt>
                <c:pt idx="40">
                  <c:v>-0.2</c:v>
                </c:pt>
                <c:pt idx="41">
                  <c:v>-0.2</c:v>
                </c:pt>
                <c:pt idx="42">
                  <c:v>0</c:v>
                </c:pt>
                <c:pt idx="43">
                  <c:v>1.1000000000000001</c:v>
                </c:pt>
                <c:pt idx="44">
                  <c:v>0</c:v>
                </c:pt>
                <c:pt idx="45">
                  <c:v>-0.2</c:v>
                </c:pt>
                <c:pt idx="46">
                  <c:v>-0.2</c:v>
                </c:pt>
                <c:pt idx="47">
                  <c:v>0.1</c:v>
                </c:pt>
                <c:pt idx="48">
                  <c:v>0</c:v>
                </c:pt>
                <c:pt idx="49">
                  <c:v>-0.1</c:v>
                </c:pt>
                <c:pt idx="50">
                  <c:v>1</c:v>
                </c:pt>
                <c:pt idx="51">
                  <c:v>0</c:v>
                </c:pt>
                <c:pt idx="52">
                  <c:v>0</c:v>
                </c:pt>
                <c:pt idx="53">
                  <c:v>0</c:v>
                </c:pt>
                <c:pt idx="54">
                  <c:v>0</c:v>
                </c:pt>
                <c:pt idx="55">
                  <c:v>-0.1</c:v>
                </c:pt>
                <c:pt idx="56">
                  <c:v>-0.1</c:v>
                </c:pt>
                <c:pt idx="57">
                  <c:v>-0.1</c:v>
                </c:pt>
                <c:pt idx="58">
                  <c:v>0</c:v>
                </c:pt>
                <c:pt idx="59">
                  <c:v>0</c:v>
                </c:pt>
                <c:pt idx="60">
                  <c:v>-0.1</c:v>
                </c:pt>
                <c:pt idx="61">
                  <c:v>0</c:v>
                </c:pt>
                <c:pt idx="62">
                  <c:v>-0.1</c:v>
                </c:pt>
                <c:pt idx="63">
                  <c:v>0</c:v>
                </c:pt>
                <c:pt idx="64">
                  <c:v>0</c:v>
                </c:pt>
                <c:pt idx="65">
                  <c:v>0</c:v>
                </c:pt>
                <c:pt idx="66">
                  <c:v>0.1</c:v>
                </c:pt>
                <c:pt idx="67">
                  <c:v>-0.8</c:v>
                </c:pt>
                <c:pt idx="68">
                  <c:v>-0.1</c:v>
                </c:pt>
                <c:pt idx="69">
                  <c:v>1</c:v>
                </c:pt>
                <c:pt idx="70">
                  <c:v>-0.2</c:v>
                </c:pt>
                <c:pt idx="71">
                  <c:v>0.1</c:v>
                </c:pt>
                <c:pt idx="72">
                  <c:v>0.1</c:v>
                </c:pt>
                <c:pt idx="73">
                  <c:v>-0.3</c:v>
                </c:pt>
                <c:pt idx="74">
                  <c:v>1.2</c:v>
                </c:pt>
                <c:pt idx="75">
                  <c:v>-0.6</c:v>
                </c:pt>
                <c:pt idx="76">
                  <c:v>0</c:v>
                </c:pt>
                <c:pt idx="77">
                  <c:v>0.1</c:v>
                </c:pt>
                <c:pt idx="78">
                  <c:v>-0.1</c:v>
                </c:pt>
                <c:pt idx="79">
                  <c:v>-0.1</c:v>
                </c:pt>
                <c:pt idx="80">
                  <c:v>0</c:v>
                </c:pt>
                <c:pt idx="81">
                  <c:v>-0.1</c:v>
                </c:pt>
                <c:pt idx="82">
                  <c:v>0.8</c:v>
                </c:pt>
                <c:pt idx="83">
                  <c:v>-0.1</c:v>
                </c:pt>
                <c:pt idx="84">
                  <c:v>0.2</c:v>
                </c:pt>
                <c:pt idx="85">
                  <c:v>0</c:v>
                </c:pt>
                <c:pt idx="86">
                  <c:v>0.3</c:v>
                </c:pt>
                <c:pt idx="87">
                  <c:v>-0.1</c:v>
                </c:pt>
                <c:pt idx="88">
                  <c:v>-0.1</c:v>
                </c:pt>
                <c:pt idx="89">
                  <c:v>-0.1</c:v>
                </c:pt>
                <c:pt idx="90">
                  <c:v>-0.6</c:v>
                </c:pt>
                <c:pt idx="91">
                  <c:v>-0.1</c:v>
                </c:pt>
                <c:pt idx="92">
                  <c:v>0</c:v>
                </c:pt>
                <c:pt idx="93">
                  <c:v>0</c:v>
                </c:pt>
                <c:pt idx="94">
                  <c:v>-0.2</c:v>
                </c:pt>
                <c:pt idx="95">
                  <c:v>0.1</c:v>
                </c:pt>
                <c:pt idx="96">
                  <c:v>-0.1</c:v>
                </c:pt>
                <c:pt idx="97">
                  <c:v>-0.1</c:v>
                </c:pt>
                <c:pt idx="98">
                  <c:v>-0.3</c:v>
                </c:pt>
                <c:pt idx="99">
                  <c:v>-0.1</c:v>
                </c:pt>
                <c:pt idx="100">
                  <c:v>0</c:v>
                </c:pt>
                <c:pt idx="101">
                  <c:v>-0.2</c:v>
                </c:pt>
                <c:pt idx="102">
                  <c:v>-0.2</c:v>
                </c:pt>
                <c:pt idx="103">
                  <c:v>-0.2</c:v>
                </c:pt>
                <c:pt idx="104">
                  <c:v>0.2</c:v>
                </c:pt>
                <c:pt idx="105">
                  <c:v>0</c:v>
                </c:pt>
                <c:pt idx="106">
                  <c:v>0.1</c:v>
                </c:pt>
                <c:pt idx="107">
                  <c:v>-0.1</c:v>
                </c:pt>
                <c:pt idx="108">
                  <c:v>0.1</c:v>
                </c:pt>
                <c:pt idx="109">
                  <c:v>0</c:v>
                </c:pt>
                <c:pt idx="110">
                  <c:v>-0.1</c:v>
                </c:pt>
                <c:pt idx="111">
                  <c:v>-0.1</c:v>
                </c:pt>
                <c:pt idx="112">
                  <c:v>0.7</c:v>
                </c:pt>
                <c:pt idx="113">
                  <c:v>-0.3</c:v>
                </c:pt>
                <c:pt idx="114">
                  <c:v>0.1</c:v>
                </c:pt>
                <c:pt idx="115">
                  <c:v>0.1</c:v>
                </c:pt>
                <c:pt idx="116">
                  <c:v>-0.3</c:v>
                </c:pt>
                <c:pt idx="117">
                  <c:v>-0.2</c:v>
                </c:pt>
                <c:pt idx="118">
                  <c:v>-0.2</c:v>
                </c:pt>
                <c:pt idx="119">
                  <c:v>-0.3</c:v>
                </c:pt>
                <c:pt idx="120">
                  <c:v>0.2</c:v>
                </c:pt>
                <c:pt idx="121">
                  <c:v>0</c:v>
                </c:pt>
                <c:pt idx="122">
                  <c:v>0</c:v>
                </c:pt>
                <c:pt idx="123">
                  <c:v>-0.1</c:v>
                </c:pt>
                <c:pt idx="124">
                  <c:v>-0.2</c:v>
                </c:pt>
                <c:pt idx="125">
                  <c:v>-0.3</c:v>
                </c:pt>
                <c:pt idx="126">
                  <c:v>0.1</c:v>
                </c:pt>
                <c:pt idx="127">
                  <c:v>-0.7</c:v>
                </c:pt>
                <c:pt idx="128">
                  <c:v>0.4</c:v>
                </c:pt>
                <c:pt idx="129">
                  <c:v>1.5</c:v>
                </c:pt>
                <c:pt idx="130">
                  <c:v>0</c:v>
                </c:pt>
                <c:pt idx="131">
                  <c:v>-0.1</c:v>
                </c:pt>
                <c:pt idx="132">
                  <c:v>0.2</c:v>
                </c:pt>
                <c:pt idx="133">
                  <c:v>-0.1</c:v>
                </c:pt>
                <c:pt idx="134">
                  <c:v>0</c:v>
                </c:pt>
                <c:pt idx="135">
                  <c:v>-0.3</c:v>
                </c:pt>
                <c:pt idx="136">
                  <c:v>1.2</c:v>
                </c:pt>
                <c:pt idx="137">
                  <c:v>0</c:v>
                </c:pt>
                <c:pt idx="138">
                  <c:v>0.1</c:v>
                </c:pt>
                <c:pt idx="139">
                  <c:v>-0.3</c:v>
                </c:pt>
                <c:pt idx="140">
                  <c:v>0.4</c:v>
                </c:pt>
                <c:pt idx="141">
                  <c:v>-0.4</c:v>
                </c:pt>
                <c:pt idx="142">
                  <c:v>-0.1</c:v>
                </c:pt>
                <c:pt idx="143">
                  <c:v>-0.1</c:v>
                </c:pt>
                <c:pt idx="144">
                  <c:v>0.1</c:v>
                </c:pt>
                <c:pt idx="145">
                  <c:v>0.1</c:v>
                </c:pt>
                <c:pt idx="146">
                  <c:v>0.4</c:v>
                </c:pt>
                <c:pt idx="147">
                  <c:v>-0.1</c:v>
                </c:pt>
                <c:pt idx="148">
                  <c:v>0.1</c:v>
                </c:pt>
                <c:pt idx="149">
                  <c:v>1.3</c:v>
                </c:pt>
                <c:pt idx="150">
                  <c:v>1.2</c:v>
                </c:pt>
                <c:pt idx="151">
                  <c:v>0.7</c:v>
                </c:pt>
                <c:pt idx="152">
                  <c:v>-0.7</c:v>
                </c:pt>
                <c:pt idx="153">
                  <c:v>-0.3</c:v>
                </c:pt>
                <c:pt idx="154">
                  <c:v>0.8</c:v>
                </c:pt>
                <c:pt idx="155">
                  <c:v>0.4</c:v>
                </c:pt>
                <c:pt idx="156">
                  <c:v>0</c:v>
                </c:pt>
                <c:pt idx="157">
                  <c:v>0</c:v>
                </c:pt>
                <c:pt idx="158">
                  <c:v>-0.1</c:v>
                </c:pt>
                <c:pt idx="159">
                  <c:v>0</c:v>
                </c:pt>
                <c:pt idx="160">
                  <c:v>-0.1</c:v>
                </c:pt>
                <c:pt idx="161">
                  <c:v>0.3</c:v>
                </c:pt>
                <c:pt idx="162">
                  <c:v>1.1000000000000001</c:v>
                </c:pt>
                <c:pt idx="163">
                  <c:v>0.5</c:v>
                </c:pt>
                <c:pt idx="164">
                  <c:v>0.5</c:v>
                </c:pt>
                <c:pt idx="165">
                  <c:v>-0.1</c:v>
                </c:pt>
                <c:pt idx="166">
                  <c:v>0.2</c:v>
                </c:pt>
                <c:pt idx="167">
                  <c:v>0.1</c:v>
                </c:pt>
                <c:pt idx="168">
                  <c:v>0.3</c:v>
                </c:pt>
                <c:pt idx="169">
                  <c:v>0</c:v>
                </c:pt>
                <c:pt idx="170">
                  <c:v>-0.1</c:v>
                </c:pt>
                <c:pt idx="171">
                  <c:v>0</c:v>
                </c:pt>
                <c:pt idx="172">
                  <c:v>1.1000000000000001</c:v>
                </c:pt>
                <c:pt idx="173">
                  <c:v>-0.1</c:v>
                </c:pt>
                <c:pt idx="174">
                  <c:v>-0.1</c:v>
                </c:pt>
                <c:pt idx="175">
                  <c:v>0</c:v>
                </c:pt>
                <c:pt idx="176">
                  <c:v>0.3</c:v>
                </c:pt>
                <c:pt idx="177">
                  <c:v>0.2</c:v>
                </c:pt>
                <c:pt idx="178">
                  <c:v>-0.1</c:v>
                </c:pt>
                <c:pt idx="179">
                  <c:v>0.2</c:v>
                </c:pt>
                <c:pt idx="180">
                  <c:v>-0.1</c:v>
                </c:pt>
                <c:pt idx="181">
                  <c:v>0.1</c:v>
                </c:pt>
                <c:pt idx="182">
                  <c:v>0.4</c:v>
                </c:pt>
                <c:pt idx="183">
                  <c:v>-0.1</c:v>
                </c:pt>
                <c:pt idx="184">
                  <c:v>0.8</c:v>
                </c:pt>
                <c:pt idx="185">
                  <c:v>0.1</c:v>
                </c:pt>
                <c:pt idx="186">
                  <c:v>1.4</c:v>
                </c:pt>
                <c:pt idx="187">
                  <c:v>-0.2</c:v>
                </c:pt>
                <c:pt idx="188">
                  <c:v>0.1</c:v>
                </c:pt>
                <c:pt idx="189">
                  <c:v>0.1</c:v>
                </c:pt>
                <c:pt idx="190">
                  <c:v>0.4</c:v>
                </c:pt>
                <c:pt idx="191">
                  <c:v>-0.3</c:v>
                </c:pt>
                <c:pt idx="192">
                  <c:v>0</c:v>
                </c:pt>
                <c:pt idx="193">
                  <c:v>-1.4</c:v>
                </c:pt>
                <c:pt idx="194">
                  <c:v>-0.1</c:v>
                </c:pt>
                <c:pt idx="195">
                  <c:v>0.6</c:v>
                </c:pt>
                <c:pt idx="196">
                  <c:v>0.5</c:v>
                </c:pt>
                <c:pt idx="197">
                  <c:v>0.3</c:v>
                </c:pt>
                <c:pt idx="198">
                  <c:v>-0.2</c:v>
                </c:pt>
                <c:pt idx="199">
                  <c:v>-0.2</c:v>
                </c:pt>
                <c:pt idx="200">
                  <c:v>0.5</c:v>
                </c:pt>
                <c:pt idx="201">
                  <c:v>-0.2</c:v>
                </c:pt>
                <c:pt idx="202">
                  <c:v>0.1</c:v>
                </c:pt>
                <c:pt idx="203">
                  <c:v>0.5</c:v>
                </c:pt>
                <c:pt idx="204">
                  <c:v>-1.3</c:v>
                </c:pt>
                <c:pt idx="205">
                  <c:v>0.1</c:v>
                </c:pt>
                <c:pt idx="206">
                  <c:v>-0.1</c:v>
                </c:pt>
                <c:pt idx="207">
                  <c:v>-0.2</c:v>
                </c:pt>
                <c:pt idx="208">
                  <c:v>1.1000000000000001</c:v>
                </c:pt>
                <c:pt idx="209">
                  <c:v>0.2</c:v>
                </c:pt>
                <c:pt idx="210">
                  <c:v>0</c:v>
                </c:pt>
                <c:pt idx="211">
                  <c:v>-0.5</c:v>
                </c:pt>
                <c:pt idx="212">
                  <c:v>0</c:v>
                </c:pt>
                <c:pt idx="213">
                  <c:v>-0.1</c:v>
                </c:pt>
                <c:pt idx="214">
                  <c:v>0.2</c:v>
                </c:pt>
                <c:pt idx="215">
                  <c:v>-0.1</c:v>
                </c:pt>
                <c:pt idx="216">
                  <c:v>-0.5</c:v>
                </c:pt>
                <c:pt idx="217">
                  <c:v>0.3</c:v>
                </c:pt>
                <c:pt idx="218">
                  <c:v>0.3</c:v>
                </c:pt>
                <c:pt idx="219">
                  <c:v>0</c:v>
                </c:pt>
                <c:pt idx="220">
                  <c:v>0.5</c:v>
                </c:pt>
                <c:pt idx="221">
                  <c:v>0</c:v>
                </c:pt>
                <c:pt idx="222">
                  <c:v>0.3</c:v>
                </c:pt>
                <c:pt idx="223">
                  <c:v>-0.1</c:v>
                </c:pt>
                <c:pt idx="224">
                  <c:v>1.2</c:v>
                </c:pt>
                <c:pt idx="225">
                  <c:v>-0.3</c:v>
                </c:pt>
                <c:pt idx="226">
                  <c:v>1.6</c:v>
                </c:pt>
                <c:pt idx="227">
                  <c:v>-0.1</c:v>
                </c:pt>
                <c:pt idx="228">
                  <c:v>0.1</c:v>
                </c:pt>
                <c:pt idx="229">
                  <c:v>-0.3</c:v>
                </c:pt>
                <c:pt idx="230">
                  <c:v>-0.8</c:v>
                </c:pt>
                <c:pt idx="231">
                  <c:v>0.4</c:v>
                </c:pt>
                <c:pt idx="232">
                  <c:v>-0.2</c:v>
                </c:pt>
                <c:pt idx="233">
                  <c:v>0.2</c:v>
                </c:pt>
                <c:pt idx="234">
                  <c:v>-0.3</c:v>
                </c:pt>
                <c:pt idx="235">
                  <c:v>0</c:v>
                </c:pt>
                <c:pt idx="236">
                  <c:v>0.5</c:v>
                </c:pt>
                <c:pt idx="237">
                  <c:v>-0.3</c:v>
                </c:pt>
                <c:pt idx="238">
                  <c:v>0.7</c:v>
                </c:pt>
                <c:pt idx="239">
                  <c:v>0.2</c:v>
                </c:pt>
                <c:pt idx="240">
                  <c:v>-0.2</c:v>
                </c:pt>
                <c:pt idx="241">
                  <c:v>0.2</c:v>
                </c:pt>
                <c:pt idx="242">
                  <c:v>1.6</c:v>
                </c:pt>
                <c:pt idx="243">
                  <c:v>0</c:v>
                </c:pt>
                <c:pt idx="244">
                  <c:v>0.6</c:v>
                </c:pt>
                <c:pt idx="245">
                  <c:v>-0.2</c:v>
                </c:pt>
                <c:pt idx="246">
                  <c:v>0.6</c:v>
                </c:pt>
                <c:pt idx="247">
                  <c:v>0.3</c:v>
                </c:pt>
                <c:pt idx="248">
                  <c:v>0</c:v>
                </c:pt>
                <c:pt idx="249">
                  <c:v>-0.2</c:v>
                </c:pt>
                <c:pt idx="250">
                  <c:v>0.3</c:v>
                </c:pt>
                <c:pt idx="251">
                  <c:v>0.3</c:v>
                </c:pt>
                <c:pt idx="252">
                  <c:v>0.1</c:v>
                </c:pt>
                <c:pt idx="253">
                  <c:v>-1</c:v>
                </c:pt>
                <c:pt idx="254">
                  <c:v>0.2</c:v>
                </c:pt>
                <c:pt idx="255">
                  <c:v>-0.1</c:v>
                </c:pt>
                <c:pt idx="256">
                  <c:v>0.8</c:v>
                </c:pt>
                <c:pt idx="257">
                  <c:v>0</c:v>
                </c:pt>
                <c:pt idx="258">
                  <c:v>-1.6</c:v>
                </c:pt>
                <c:pt idx="259">
                  <c:v>-0.5</c:v>
                </c:pt>
                <c:pt idx="260">
                  <c:v>0.5</c:v>
                </c:pt>
                <c:pt idx="261">
                  <c:v>-0.1</c:v>
                </c:pt>
                <c:pt idx="262">
                  <c:v>-0.5</c:v>
                </c:pt>
                <c:pt idx="263">
                  <c:v>0.7</c:v>
                </c:pt>
                <c:pt idx="264">
                  <c:v>1.2</c:v>
                </c:pt>
                <c:pt idx="265">
                  <c:v>0.3</c:v>
                </c:pt>
                <c:pt idx="266">
                  <c:v>1.9</c:v>
                </c:pt>
                <c:pt idx="267">
                  <c:v>-0.2</c:v>
                </c:pt>
                <c:pt idx="268">
                  <c:v>-0.3</c:v>
                </c:pt>
                <c:pt idx="269">
                  <c:v>-0.2</c:v>
                </c:pt>
                <c:pt idx="270">
                  <c:v>-0.1</c:v>
                </c:pt>
                <c:pt idx="271">
                  <c:v>-0.4</c:v>
                </c:pt>
                <c:pt idx="272">
                  <c:v>0.4</c:v>
                </c:pt>
                <c:pt idx="273">
                  <c:v>0.2</c:v>
                </c:pt>
                <c:pt idx="274">
                  <c:v>-1.1000000000000001</c:v>
                </c:pt>
                <c:pt idx="275">
                  <c:v>1.6</c:v>
                </c:pt>
                <c:pt idx="276">
                  <c:v>0.1</c:v>
                </c:pt>
                <c:pt idx="277">
                  <c:v>0.1</c:v>
                </c:pt>
                <c:pt idx="278">
                  <c:v>3.2</c:v>
                </c:pt>
                <c:pt idx="279">
                  <c:v>0.4</c:v>
                </c:pt>
                <c:pt idx="280">
                  <c:v>-0.4</c:v>
                </c:pt>
                <c:pt idx="281">
                  <c:v>-0.3</c:v>
                </c:pt>
                <c:pt idx="282">
                  <c:v>0.9</c:v>
                </c:pt>
                <c:pt idx="283">
                  <c:v>0.3</c:v>
                </c:pt>
                <c:pt idx="284">
                  <c:v>0</c:v>
                </c:pt>
                <c:pt idx="285">
                  <c:v>0.1</c:v>
                </c:pt>
                <c:pt idx="286">
                  <c:v>-0.1</c:v>
                </c:pt>
                <c:pt idx="287">
                  <c:v>0.4</c:v>
                </c:pt>
                <c:pt idx="288">
                  <c:v>0.2</c:v>
                </c:pt>
                <c:pt idx="289">
                  <c:v>0.3</c:v>
                </c:pt>
                <c:pt idx="290">
                  <c:v>0.2</c:v>
                </c:pt>
                <c:pt idx="291">
                  <c:v>0.3</c:v>
                </c:pt>
                <c:pt idx="292">
                  <c:v>0.5</c:v>
                </c:pt>
                <c:pt idx="293">
                  <c:v>0.1</c:v>
                </c:pt>
                <c:pt idx="294">
                  <c:v>0.5</c:v>
                </c:pt>
                <c:pt idx="295">
                  <c:v>0.9</c:v>
                </c:pt>
                <c:pt idx="296">
                  <c:v>0</c:v>
                </c:pt>
                <c:pt idx="297">
                  <c:v>1.3</c:v>
                </c:pt>
                <c:pt idx="298">
                  <c:v>0</c:v>
                </c:pt>
                <c:pt idx="299">
                  <c:v>1.4</c:v>
                </c:pt>
                <c:pt idx="300">
                  <c:v>0</c:v>
                </c:pt>
                <c:pt idx="301">
                  <c:v>1.4</c:v>
                </c:pt>
                <c:pt idx="302">
                  <c:v>0.2</c:v>
                </c:pt>
                <c:pt idx="303">
                  <c:v>0</c:v>
                </c:pt>
                <c:pt idx="304">
                  <c:v>0.1</c:v>
                </c:pt>
                <c:pt idx="305">
                  <c:v>0.7</c:v>
                </c:pt>
                <c:pt idx="306">
                  <c:v>1.8</c:v>
                </c:pt>
                <c:pt idx="307">
                  <c:v>0.2</c:v>
                </c:pt>
                <c:pt idx="308">
                  <c:v>-0.7</c:v>
                </c:pt>
                <c:pt idx="309">
                  <c:v>-1</c:v>
                </c:pt>
                <c:pt idx="310">
                  <c:v>0</c:v>
                </c:pt>
                <c:pt idx="311">
                  <c:v>-0.3</c:v>
                </c:pt>
                <c:pt idx="312">
                  <c:v>-0.2</c:v>
                </c:pt>
                <c:pt idx="313">
                  <c:v>-0.9</c:v>
                </c:pt>
                <c:pt idx="314">
                  <c:v>0.2</c:v>
                </c:pt>
                <c:pt idx="315">
                  <c:v>0.7</c:v>
                </c:pt>
                <c:pt idx="316">
                  <c:v>0.8</c:v>
                </c:pt>
                <c:pt idx="317">
                  <c:v>-0.9</c:v>
                </c:pt>
                <c:pt idx="318">
                  <c:v>-0.4</c:v>
                </c:pt>
                <c:pt idx="319">
                  <c:v>-0.2</c:v>
                </c:pt>
                <c:pt idx="320">
                  <c:v>-0.4</c:v>
                </c:pt>
                <c:pt idx="321">
                  <c:v>1.4</c:v>
                </c:pt>
                <c:pt idx="322">
                  <c:v>-0.7</c:v>
                </c:pt>
                <c:pt idx="323">
                  <c:v>0.5</c:v>
                </c:pt>
                <c:pt idx="324">
                  <c:v>-0.7</c:v>
                </c:pt>
                <c:pt idx="325">
                  <c:v>2.2000000000000002</c:v>
                </c:pt>
                <c:pt idx="326">
                  <c:v>0.9</c:v>
                </c:pt>
                <c:pt idx="327">
                  <c:v>-0.2</c:v>
                </c:pt>
                <c:pt idx="328">
                  <c:v>1.2</c:v>
                </c:pt>
                <c:pt idx="329">
                  <c:v>0</c:v>
                </c:pt>
                <c:pt idx="330">
                  <c:v>0</c:v>
                </c:pt>
                <c:pt idx="331">
                  <c:v>0.7</c:v>
                </c:pt>
                <c:pt idx="332">
                  <c:v>-0.3</c:v>
                </c:pt>
                <c:pt idx="333">
                  <c:v>-0.3</c:v>
                </c:pt>
                <c:pt idx="334">
                  <c:v>-0.6</c:v>
                </c:pt>
                <c:pt idx="335">
                  <c:v>0.8</c:v>
                </c:pt>
                <c:pt idx="336">
                  <c:v>0</c:v>
                </c:pt>
                <c:pt idx="337">
                  <c:v>0.3</c:v>
                </c:pt>
                <c:pt idx="338">
                  <c:v>0.8</c:v>
                </c:pt>
                <c:pt idx="339">
                  <c:v>1.2</c:v>
                </c:pt>
                <c:pt idx="340">
                  <c:v>0.7</c:v>
                </c:pt>
                <c:pt idx="341">
                  <c:v>0.7</c:v>
                </c:pt>
                <c:pt idx="342">
                  <c:v>0.4</c:v>
                </c:pt>
                <c:pt idx="343">
                  <c:v>-1</c:v>
                </c:pt>
                <c:pt idx="344">
                  <c:v>0.5</c:v>
                </c:pt>
                <c:pt idx="345">
                  <c:v>0</c:v>
                </c:pt>
                <c:pt idx="346">
                  <c:v>-0.3</c:v>
                </c:pt>
                <c:pt idx="347">
                  <c:v>0</c:v>
                </c:pt>
                <c:pt idx="348">
                  <c:v>0.6</c:v>
                </c:pt>
                <c:pt idx="349">
                  <c:v>1.2</c:v>
                </c:pt>
                <c:pt idx="350">
                  <c:v>0.8</c:v>
                </c:pt>
                <c:pt idx="351">
                  <c:v>-0.3</c:v>
                </c:pt>
                <c:pt idx="352">
                  <c:v>-0.4</c:v>
                </c:pt>
                <c:pt idx="353">
                  <c:v>0.4</c:v>
                </c:pt>
                <c:pt idx="354">
                  <c:v>1.4</c:v>
                </c:pt>
                <c:pt idx="355">
                  <c:v>0</c:v>
                </c:pt>
                <c:pt idx="356">
                  <c:v>0.1</c:v>
                </c:pt>
                <c:pt idx="357">
                  <c:v>-0.5</c:v>
                </c:pt>
                <c:pt idx="358">
                  <c:v>0.5</c:v>
                </c:pt>
                <c:pt idx="359">
                  <c:v>-0.1</c:v>
                </c:pt>
                <c:pt idx="360">
                  <c:v>0.8</c:v>
                </c:pt>
                <c:pt idx="361">
                  <c:v>-0.2</c:v>
                </c:pt>
                <c:pt idx="362">
                  <c:v>0.9</c:v>
                </c:pt>
                <c:pt idx="363">
                  <c:v>-0.1</c:v>
                </c:pt>
                <c:pt idx="364">
                  <c:v>-0.1</c:v>
                </c:pt>
                <c:pt idx="365">
                  <c:v>1.6</c:v>
                </c:pt>
                <c:pt idx="366">
                  <c:v>0.7</c:v>
                </c:pt>
                <c:pt idx="367">
                  <c:v>1.8</c:v>
                </c:pt>
                <c:pt idx="368">
                  <c:v>-0.7</c:v>
                </c:pt>
                <c:pt idx="369">
                  <c:v>0.1</c:v>
                </c:pt>
                <c:pt idx="370">
                  <c:v>0.7</c:v>
                </c:pt>
                <c:pt idx="371">
                  <c:v>-0.1</c:v>
                </c:pt>
                <c:pt idx="372">
                  <c:v>0.5</c:v>
                </c:pt>
                <c:pt idx="373">
                  <c:v>0.1</c:v>
                </c:pt>
                <c:pt idx="374">
                  <c:v>0.1</c:v>
                </c:pt>
                <c:pt idx="375">
                  <c:v>0.5</c:v>
                </c:pt>
                <c:pt idx="376">
                  <c:v>-1.2</c:v>
                </c:pt>
                <c:pt idx="377">
                  <c:v>0.4</c:v>
                </c:pt>
                <c:pt idx="378">
                  <c:v>-0.6</c:v>
                </c:pt>
                <c:pt idx="379">
                  <c:v>2</c:v>
                </c:pt>
                <c:pt idx="380">
                  <c:v>2</c:v>
                </c:pt>
                <c:pt idx="381">
                  <c:v>0.3</c:v>
                </c:pt>
                <c:pt idx="382">
                  <c:v>-0.3</c:v>
                </c:pt>
                <c:pt idx="383">
                  <c:v>2.2999999999999998</c:v>
                </c:pt>
                <c:pt idx="384">
                  <c:v>0</c:v>
                </c:pt>
                <c:pt idx="385">
                  <c:v>-0.3</c:v>
                </c:pt>
                <c:pt idx="386">
                  <c:v>0.7</c:v>
                </c:pt>
                <c:pt idx="387">
                  <c:v>0.2</c:v>
                </c:pt>
                <c:pt idx="388">
                  <c:v>0.3</c:v>
                </c:pt>
                <c:pt idx="389">
                  <c:v>0.4</c:v>
                </c:pt>
                <c:pt idx="390">
                  <c:v>1.6</c:v>
                </c:pt>
                <c:pt idx="391">
                  <c:v>0.6</c:v>
                </c:pt>
                <c:pt idx="392">
                  <c:v>0.7</c:v>
                </c:pt>
                <c:pt idx="393">
                  <c:v>0.4</c:v>
                </c:pt>
                <c:pt idx="394">
                  <c:v>0</c:v>
                </c:pt>
                <c:pt idx="395">
                  <c:v>0</c:v>
                </c:pt>
                <c:pt idx="396">
                  <c:v>0</c:v>
                </c:pt>
                <c:pt idx="397">
                  <c:v>-0.1</c:v>
                </c:pt>
                <c:pt idx="398">
                  <c:v>0.1</c:v>
                </c:pt>
                <c:pt idx="399">
                  <c:v>0.4</c:v>
                </c:pt>
                <c:pt idx="400">
                  <c:v>0</c:v>
                </c:pt>
                <c:pt idx="401">
                  <c:v>0.4</c:v>
                </c:pt>
                <c:pt idx="402">
                  <c:v>0.5</c:v>
                </c:pt>
                <c:pt idx="403">
                  <c:v>0.1</c:v>
                </c:pt>
                <c:pt idx="404">
                  <c:v>-0.3</c:v>
                </c:pt>
                <c:pt idx="405">
                  <c:v>1.1000000000000001</c:v>
                </c:pt>
                <c:pt idx="406">
                  <c:v>-0.1</c:v>
                </c:pt>
                <c:pt idx="407">
                  <c:v>-0.7</c:v>
                </c:pt>
                <c:pt idx="408">
                  <c:v>1</c:v>
                </c:pt>
                <c:pt idx="409">
                  <c:v>2.7</c:v>
                </c:pt>
                <c:pt idx="410">
                  <c:v>0.6</c:v>
                </c:pt>
                <c:pt idx="411">
                  <c:v>-1</c:v>
                </c:pt>
                <c:pt idx="412">
                  <c:v>-0.7</c:v>
                </c:pt>
                <c:pt idx="413">
                  <c:v>0.1</c:v>
                </c:pt>
                <c:pt idx="414">
                  <c:v>3.6</c:v>
                </c:pt>
                <c:pt idx="415">
                  <c:v>-0.1</c:v>
                </c:pt>
                <c:pt idx="416">
                  <c:v>2.2000000000000002</c:v>
                </c:pt>
                <c:pt idx="417">
                  <c:v>-0.1</c:v>
                </c:pt>
                <c:pt idx="418">
                  <c:v>2.1</c:v>
                </c:pt>
                <c:pt idx="419">
                  <c:v>1.3</c:v>
                </c:pt>
                <c:pt idx="420">
                  <c:v>-0.1</c:v>
                </c:pt>
                <c:pt idx="421">
                  <c:v>-0.4</c:v>
                </c:pt>
                <c:pt idx="422">
                  <c:v>1.7</c:v>
                </c:pt>
                <c:pt idx="423">
                  <c:v>0</c:v>
                </c:pt>
                <c:pt idx="424">
                  <c:v>0.6</c:v>
                </c:pt>
                <c:pt idx="425">
                  <c:v>0.4</c:v>
                </c:pt>
                <c:pt idx="426">
                  <c:v>-1.6</c:v>
                </c:pt>
                <c:pt idx="427">
                  <c:v>1.1000000000000001</c:v>
                </c:pt>
                <c:pt idx="428">
                  <c:v>0.1</c:v>
                </c:pt>
                <c:pt idx="429">
                  <c:v>-0.1</c:v>
                </c:pt>
                <c:pt idx="430">
                  <c:v>1.5</c:v>
                </c:pt>
                <c:pt idx="431">
                  <c:v>-0.2</c:v>
                </c:pt>
                <c:pt idx="432">
                  <c:v>0.6</c:v>
                </c:pt>
                <c:pt idx="433">
                  <c:v>0.5</c:v>
                </c:pt>
                <c:pt idx="434">
                  <c:v>0.3</c:v>
                </c:pt>
                <c:pt idx="435">
                  <c:v>0.6</c:v>
                </c:pt>
                <c:pt idx="436">
                  <c:v>1.2</c:v>
                </c:pt>
                <c:pt idx="437">
                  <c:v>-0.1</c:v>
                </c:pt>
                <c:pt idx="438">
                  <c:v>1.2</c:v>
                </c:pt>
                <c:pt idx="439">
                  <c:v>1.2</c:v>
                </c:pt>
                <c:pt idx="440">
                  <c:v>0.3</c:v>
                </c:pt>
                <c:pt idx="441">
                  <c:v>1.2</c:v>
                </c:pt>
                <c:pt idx="442">
                  <c:v>0.5</c:v>
                </c:pt>
                <c:pt idx="443">
                  <c:v>-0.1</c:v>
                </c:pt>
                <c:pt idx="444">
                  <c:v>0.3</c:v>
                </c:pt>
                <c:pt idx="445">
                  <c:v>0.2</c:v>
                </c:pt>
                <c:pt idx="446">
                  <c:v>0.6</c:v>
                </c:pt>
                <c:pt idx="447">
                  <c:v>0</c:v>
                </c:pt>
                <c:pt idx="448">
                  <c:v>0.2</c:v>
                </c:pt>
                <c:pt idx="449">
                  <c:v>-0.6</c:v>
                </c:pt>
                <c:pt idx="450">
                  <c:v>1.2</c:v>
                </c:pt>
                <c:pt idx="451">
                  <c:v>1.7</c:v>
                </c:pt>
                <c:pt idx="452">
                  <c:v>0.3</c:v>
                </c:pt>
                <c:pt idx="453">
                  <c:v>-0.2</c:v>
                </c:pt>
                <c:pt idx="454">
                  <c:v>1.7</c:v>
                </c:pt>
                <c:pt idx="455">
                  <c:v>0.4</c:v>
                </c:pt>
                <c:pt idx="456">
                  <c:v>3.6</c:v>
                </c:pt>
                <c:pt idx="457">
                  <c:v>1.6</c:v>
                </c:pt>
                <c:pt idx="458">
                  <c:v>0.6</c:v>
                </c:pt>
                <c:pt idx="459">
                  <c:v>0.1</c:v>
                </c:pt>
                <c:pt idx="460">
                  <c:v>-0.3</c:v>
                </c:pt>
                <c:pt idx="461">
                  <c:v>-0.4</c:v>
                </c:pt>
                <c:pt idx="462">
                  <c:v>-0.5</c:v>
                </c:pt>
                <c:pt idx="463">
                  <c:v>1.1000000000000001</c:v>
                </c:pt>
                <c:pt idx="464">
                  <c:v>1.2</c:v>
                </c:pt>
                <c:pt idx="465">
                  <c:v>-0.5</c:v>
                </c:pt>
                <c:pt idx="466">
                  <c:v>-0.1</c:v>
                </c:pt>
                <c:pt idx="467">
                  <c:v>1.7</c:v>
                </c:pt>
                <c:pt idx="468">
                  <c:v>0.4</c:v>
                </c:pt>
                <c:pt idx="469">
                  <c:v>2.9</c:v>
                </c:pt>
                <c:pt idx="470">
                  <c:v>4.9000000000000004</c:v>
                </c:pt>
                <c:pt idx="471">
                  <c:v>0</c:v>
                </c:pt>
                <c:pt idx="472">
                  <c:v>3.4</c:v>
                </c:pt>
                <c:pt idx="473">
                  <c:v>0.2</c:v>
                </c:pt>
                <c:pt idx="474">
                  <c:v>-0.1</c:v>
                </c:pt>
                <c:pt idx="475">
                  <c:v>-0.8</c:v>
                </c:pt>
                <c:pt idx="476">
                  <c:v>0.6</c:v>
                </c:pt>
                <c:pt idx="477">
                  <c:v>2.7</c:v>
                </c:pt>
                <c:pt idx="478">
                  <c:v>0.5</c:v>
                </c:pt>
                <c:pt idx="479">
                  <c:v>1.9</c:v>
                </c:pt>
                <c:pt idx="480">
                  <c:v>-1.4</c:v>
                </c:pt>
                <c:pt idx="481">
                  <c:v>-0.1</c:v>
                </c:pt>
                <c:pt idx="482">
                  <c:v>0.3</c:v>
                </c:pt>
                <c:pt idx="483">
                  <c:v>0.3</c:v>
                </c:pt>
                <c:pt idx="484">
                  <c:v>2.7</c:v>
                </c:pt>
                <c:pt idx="485">
                  <c:v>1.3</c:v>
                </c:pt>
                <c:pt idx="486">
                  <c:v>1.5</c:v>
                </c:pt>
                <c:pt idx="487">
                  <c:v>1.8</c:v>
                </c:pt>
                <c:pt idx="488">
                  <c:v>3.6</c:v>
                </c:pt>
                <c:pt idx="489">
                  <c:v>3</c:v>
                </c:pt>
                <c:pt idx="490">
                  <c:v>0.4</c:v>
                </c:pt>
                <c:pt idx="491">
                  <c:v>0.1</c:v>
                </c:pt>
                <c:pt idx="492">
                  <c:v>1.2</c:v>
                </c:pt>
                <c:pt idx="493">
                  <c:v>0.5</c:v>
                </c:pt>
                <c:pt idx="494">
                  <c:v>1.2</c:v>
                </c:pt>
                <c:pt idx="495">
                  <c:v>3.4</c:v>
                </c:pt>
                <c:pt idx="496">
                  <c:v>0.9</c:v>
                </c:pt>
                <c:pt idx="497">
                  <c:v>1.6</c:v>
                </c:pt>
                <c:pt idx="498">
                  <c:v>1.7</c:v>
                </c:pt>
                <c:pt idx="499">
                  <c:v>2.4</c:v>
                </c:pt>
                <c:pt idx="500">
                  <c:v>0.1</c:v>
                </c:pt>
                <c:pt idx="501">
                  <c:v>2.2999999999999998</c:v>
                </c:pt>
                <c:pt idx="502">
                  <c:v>0.7</c:v>
                </c:pt>
                <c:pt idx="503">
                  <c:v>1</c:v>
                </c:pt>
                <c:pt idx="504">
                  <c:v>0.1</c:v>
                </c:pt>
                <c:pt idx="505">
                  <c:v>0.5</c:v>
                </c:pt>
                <c:pt idx="506">
                  <c:v>1.8</c:v>
                </c:pt>
                <c:pt idx="507">
                  <c:v>2.4</c:v>
                </c:pt>
                <c:pt idx="508">
                  <c:v>1</c:v>
                </c:pt>
                <c:pt idx="509">
                  <c:v>1.2</c:v>
                </c:pt>
                <c:pt idx="510">
                  <c:v>0.6</c:v>
                </c:pt>
                <c:pt idx="511">
                  <c:v>2</c:v>
                </c:pt>
                <c:pt idx="512">
                  <c:v>0.1</c:v>
                </c:pt>
                <c:pt idx="513">
                  <c:v>0.7</c:v>
                </c:pt>
                <c:pt idx="514">
                  <c:v>1.7</c:v>
                </c:pt>
                <c:pt idx="515">
                  <c:v>0.9</c:v>
                </c:pt>
                <c:pt idx="516">
                  <c:v>3.3</c:v>
                </c:pt>
                <c:pt idx="517">
                  <c:v>4.4000000000000004</c:v>
                </c:pt>
                <c:pt idx="518">
                  <c:v>1</c:v>
                </c:pt>
                <c:pt idx="519">
                  <c:v>-0.6</c:v>
                </c:pt>
                <c:pt idx="520">
                  <c:v>3.5</c:v>
                </c:pt>
                <c:pt idx="521">
                  <c:v>2.7</c:v>
                </c:pt>
                <c:pt idx="522">
                  <c:v>-0.3</c:v>
                </c:pt>
                <c:pt idx="523">
                  <c:v>4.8</c:v>
                </c:pt>
                <c:pt idx="524">
                  <c:v>1.3</c:v>
                </c:pt>
                <c:pt idx="525">
                  <c:v>1.4</c:v>
                </c:pt>
                <c:pt idx="526">
                  <c:v>3.6</c:v>
                </c:pt>
                <c:pt idx="527">
                  <c:v>2.5</c:v>
                </c:pt>
                <c:pt idx="528">
                  <c:v>3.4</c:v>
                </c:pt>
                <c:pt idx="529">
                  <c:v>1.8</c:v>
                </c:pt>
                <c:pt idx="530">
                  <c:v>-0.5</c:v>
                </c:pt>
                <c:pt idx="531">
                  <c:v>2.2999999999999998</c:v>
                </c:pt>
                <c:pt idx="532">
                  <c:v>2.1</c:v>
                </c:pt>
                <c:pt idx="533">
                  <c:v>4.7</c:v>
                </c:pt>
                <c:pt idx="534">
                  <c:v>1.8</c:v>
                </c:pt>
                <c:pt idx="535">
                  <c:v>2</c:v>
                </c:pt>
                <c:pt idx="536">
                  <c:v>2.6</c:v>
                </c:pt>
                <c:pt idx="537">
                  <c:v>0.4</c:v>
                </c:pt>
                <c:pt idx="538">
                  <c:v>3.2</c:v>
                </c:pt>
                <c:pt idx="539">
                  <c:v>1.1000000000000001</c:v>
                </c:pt>
                <c:pt idx="540">
                  <c:v>1.3</c:v>
                </c:pt>
                <c:pt idx="541">
                  <c:v>2.2000000000000002</c:v>
                </c:pt>
                <c:pt idx="542">
                  <c:v>2.6</c:v>
                </c:pt>
                <c:pt idx="543">
                  <c:v>3.7</c:v>
                </c:pt>
                <c:pt idx="544">
                  <c:v>2.4</c:v>
                </c:pt>
                <c:pt idx="545">
                  <c:v>1.2</c:v>
                </c:pt>
                <c:pt idx="546">
                  <c:v>2</c:v>
                </c:pt>
                <c:pt idx="547">
                  <c:v>3.9</c:v>
                </c:pt>
                <c:pt idx="548">
                  <c:v>3.5</c:v>
                </c:pt>
                <c:pt idx="549">
                  <c:v>1.3</c:v>
                </c:pt>
                <c:pt idx="550">
                  <c:v>3</c:v>
                </c:pt>
                <c:pt idx="551">
                  <c:v>0.5</c:v>
                </c:pt>
                <c:pt idx="552">
                  <c:v>4.8</c:v>
                </c:pt>
                <c:pt idx="553">
                  <c:v>4.5999999999999996</c:v>
                </c:pt>
                <c:pt idx="554">
                  <c:v>1.7</c:v>
                </c:pt>
                <c:pt idx="555">
                  <c:v>1.7</c:v>
                </c:pt>
                <c:pt idx="556">
                  <c:v>9.8000000000000007</c:v>
                </c:pt>
                <c:pt idx="557">
                  <c:v>3.2</c:v>
                </c:pt>
                <c:pt idx="558">
                  <c:v>3.1</c:v>
                </c:pt>
                <c:pt idx="559">
                  <c:v>3</c:v>
                </c:pt>
                <c:pt idx="560">
                  <c:v>3.2</c:v>
                </c:pt>
                <c:pt idx="561">
                  <c:v>4.4000000000000004</c:v>
                </c:pt>
                <c:pt idx="562">
                  <c:v>1.7</c:v>
                </c:pt>
                <c:pt idx="563">
                  <c:v>3.9</c:v>
                </c:pt>
                <c:pt idx="564">
                  <c:v>1.9</c:v>
                </c:pt>
                <c:pt idx="565">
                  <c:v>2.2000000000000002</c:v>
                </c:pt>
                <c:pt idx="566">
                  <c:v>8.9</c:v>
                </c:pt>
                <c:pt idx="567">
                  <c:v>0.8</c:v>
                </c:pt>
                <c:pt idx="568">
                  <c:v>6.6</c:v>
                </c:pt>
              </c:numCache>
            </c:numRef>
          </c:yVal>
          <c:smooth val="0"/>
          <c:extLst>
            <c:ext xmlns:c16="http://schemas.microsoft.com/office/drawing/2014/chart" uri="{C3380CC4-5D6E-409C-BE32-E72D297353CC}">
              <c16:uniqueId val="{00000000-D9CB-471E-B5EA-AEF215F463C4}"/>
            </c:ext>
          </c:extLst>
        </c:ser>
        <c:dLbls>
          <c:showLegendKey val="0"/>
          <c:showVal val="0"/>
          <c:showCatName val="0"/>
          <c:showSerName val="0"/>
          <c:showPercent val="0"/>
          <c:showBubbleSize val="0"/>
        </c:dLbls>
        <c:axId val="1219089599"/>
        <c:axId val="1219089119"/>
      </c:scatterChart>
      <c:valAx>
        <c:axId val="12190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Assists Per Game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119"/>
        <c:crosses val="autoZero"/>
        <c:crossBetween val="midCat"/>
      </c:valAx>
      <c:valAx>
        <c:axId val="1219089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Effect of Rebounds Per Game on VORP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Data'!$Y$1</c:f>
              <c:strCache>
                <c:ptCount val="1"/>
                <c:pt idx="0">
                  <c:v>Points</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Data'!$S$2:$S$570</c:f>
              <c:numCache>
                <c:formatCode>General</c:formatCode>
                <c:ptCount val="569"/>
                <c:pt idx="0">
                  <c:v>0</c:v>
                </c:pt>
                <c:pt idx="1">
                  <c:v>0</c:v>
                </c:pt>
                <c:pt idx="2">
                  <c:v>1</c:v>
                </c:pt>
                <c:pt idx="3">
                  <c:v>2</c:v>
                </c:pt>
                <c:pt idx="4">
                  <c:v>0</c:v>
                </c:pt>
                <c:pt idx="5">
                  <c:v>0</c:v>
                </c:pt>
                <c:pt idx="6">
                  <c:v>0.3</c:v>
                </c:pt>
                <c:pt idx="7">
                  <c:v>0.7</c:v>
                </c:pt>
                <c:pt idx="8">
                  <c:v>2.7</c:v>
                </c:pt>
                <c:pt idx="9">
                  <c:v>0.6</c:v>
                </c:pt>
                <c:pt idx="10">
                  <c:v>0.6</c:v>
                </c:pt>
                <c:pt idx="11">
                  <c:v>0.5</c:v>
                </c:pt>
                <c:pt idx="12">
                  <c:v>1.8</c:v>
                </c:pt>
                <c:pt idx="13">
                  <c:v>0.9</c:v>
                </c:pt>
                <c:pt idx="14">
                  <c:v>0.8</c:v>
                </c:pt>
                <c:pt idx="15">
                  <c:v>2.5</c:v>
                </c:pt>
                <c:pt idx="16">
                  <c:v>0.7</c:v>
                </c:pt>
                <c:pt idx="17">
                  <c:v>0.3</c:v>
                </c:pt>
                <c:pt idx="18">
                  <c:v>1</c:v>
                </c:pt>
                <c:pt idx="19">
                  <c:v>0</c:v>
                </c:pt>
                <c:pt idx="20">
                  <c:v>1.5</c:v>
                </c:pt>
                <c:pt idx="21">
                  <c:v>1.5</c:v>
                </c:pt>
                <c:pt idx="22">
                  <c:v>1</c:v>
                </c:pt>
                <c:pt idx="23">
                  <c:v>1.2</c:v>
                </c:pt>
                <c:pt idx="24">
                  <c:v>0.5</c:v>
                </c:pt>
                <c:pt idx="25">
                  <c:v>0.5</c:v>
                </c:pt>
                <c:pt idx="26">
                  <c:v>0.5</c:v>
                </c:pt>
                <c:pt idx="27">
                  <c:v>0.4</c:v>
                </c:pt>
                <c:pt idx="28">
                  <c:v>1.3</c:v>
                </c:pt>
                <c:pt idx="29">
                  <c:v>0.7</c:v>
                </c:pt>
                <c:pt idx="30">
                  <c:v>0.5</c:v>
                </c:pt>
                <c:pt idx="31">
                  <c:v>2.7</c:v>
                </c:pt>
                <c:pt idx="32">
                  <c:v>0.8</c:v>
                </c:pt>
                <c:pt idx="33">
                  <c:v>0.8</c:v>
                </c:pt>
                <c:pt idx="34">
                  <c:v>1</c:v>
                </c:pt>
                <c:pt idx="35">
                  <c:v>1.3</c:v>
                </c:pt>
                <c:pt idx="36">
                  <c:v>3.3</c:v>
                </c:pt>
                <c:pt idx="37">
                  <c:v>1.6</c:v>
                </c:pt>
                <c:pt idx="38">
                  <c:v>1.2</c:v>
                </c:pt>
                <c:pt idx="39">
                  <c:v>1.7</c:v>
                </c:pt>
                <c:pt idx="40">
                  <c:v>0.9</c:v>
                </c:pt>
                <c:pt idx="41">
                  <c:v>0.5</c:v>
                </c:pt>
                <c:pt idx="42">
                  <c:v>1.1000000000000001</c:v>
                </c:pt>
                <c:pt idx="43">
                  <c:v>3.2</c:v>
                </c:pt>
                <c:pt idx="44">
                  <c:v>1.6</c:v>
                </c:pt>
                <c:pt idx="45">
                  <c:v>2.1</c:v>
                </c:pt>
                <c:pt idx="46">
                  <c:v>3.7</c:v>
                </c:pt>
                <c:pt idx="47">
                  <c:v>1.4</c:v>
                </c:pt>
                <c:pt idx="48">
                  <c:v>0.5</c:v>
                </c:pt>
                <c:pt idx="49">
                  <c:v>0.3</c:v>
                </c:pt>
                <c:pt idx="50">
                  <c:v>2.8</c:v>
                </c:pt>
                <c:pt idx="51">
                  <c:v>0.5</c:v>
                </c:pt>
                <c:pt idx="52">
                  <c:v>1.3</c:v>
                </c:pt>
                <c:pt idx="53">
                  <c:v>0.9</c:v>
                </c:pt>
                <c:pt idx="54">
                  <c:v>1.1000000000000001</c:v>
                </c:pt>
                <c:pt idx="55">
                  <c:v>1</c:v>
                </c:pt>
                <c:pt idx="56">
                  <c:v>1.3</c:v>
                </c:pt>
                <c:pt idx="57">
                  <c:v>0.3</c:v>
                </c:pt>
                <c:pt idx="58">
                  <c:v>0.9</c:v>
                </c:pt>
                <c:pt idx="59">
                  <c:v>1.1000000000000001</c:v>
                </c:pt>
                <c:pt idx="60">
                  <c:v>1</c:v>
                </c:pt>
                <c:pt idx="61">
                  <c:v>1.1000000000000001</c:v>
                </c:pt>
                <c:pt idx="62">
                  <c:v>1.5</c:v>
                </c:pt>
                <c:pt idx="63">
                  <c:v>1.3</c:v>
                </c:pt>
                <c:pt idx="64">
                  <c:v>0.8</c:v>
                </c:pt>
                <c:pt idx="65">
                  <c:v>1.8</c:v>
                </c:pt>
                <c:pt idx="66">
                  <c:v>5.2</c:v>
                </c:pt>
                <c:pt idx="67">
                  <c:v>1.3</c:v>
                </c:pt>
                <c:pt idx="68">
                  <c:v>2.7</c:v>
                </c:pt>
                <c:pt idx="69">
                  <c:v>4.7</c:v>
                </c:pt>
                <c:pt idx="70">
                  <c:v>1.4</c:v>
                </c:pt>
                <c:pt idx="71">
                  <c:v>1.5</c:v>
                </c:pt>
                <c:pt idx="72">
                  <c:v>2.9</c:v>
                </c:pt>
                <c:pt idx="73">
                  <c:v>1</c:v>
                </c:pt>
                <c:pt idx="74">
                  <c:v>3.4</c:v>
                </c:pt>
                <c:pt idx="75">
                  <c:v>3.3</c:v>
                </c:pt>
                <c:pt idx="76">
                  <c:v>0.5</c:v>
                </c:pt>
                <c:pt idx="77">
                  <c:v>1.6</c:v>
                </c:pt>
                <c:pt idx="78">
                  <c:v>1</c:v>
                </c:pt>
                <c:pt idx="79">
                  <c:v>0.4</c:v>
                </c:pt>
                <c:pt idx="80">
                  <c:v>1.4</c:v>
                </c:pt>
                <c:pt idx="81">
                  <c:v>2.4</c:v>
                </c:pt>
                <c:pt idx="82">
                  <c:v>2.2000000000000002</c:v>
                </c:pt>
                <c:pt idx="83">
                  <c:v>0.7</c:v>
                </c:pt>
                <c:pt idx="84">
                  <c:v>1.5</c:v>
                </c:pt>
                <c:pt idx="85">
                  <c:v>2.1</c:v>
                </c:pt>
                <c:pt idx="86">
                  <c:v>1</c:v>
                </c:pt>
                <c:pt idx="87">
                  <c:v>0.8</c:v>
                </c:pt>
                <c:pt idx="88">
                  <c:v>1</c:v>
                </c:pt>
                <c:pt idx="89">
                  <c:v>2.1</c:v>
                </c:pt>
                <c:pt idx="90">
                  <c:v>1.2</c:v>
                </c:pt>
                <c:pt idx="91">
                  <c:v>0.6</c:v>
                </c:pt>
                <c:pt idx="92">
                  <c:v>1.1000000000000001</c:v>
                </c:pt>
                <c:pt idx="93">
                  <c:v>2.8</c:v>
                </c:pt>
                <c:pt idx="94">
                  <c:v>0.8</c:v>
                </c:pt>
                <c:pt idx="95">
                  <c:v>2.2000000000000002</c:v>
                </c:pt>
                <c:pt idx="96">
                  <c:v>1.2</c:v>
                </c:pt>
                <c:pt idx="97">
                  <c:v>2.5</c:v>
                </c:pt>
                <c:pt idx="98">
                  <c:v>2.7</c:v>
                </c:pt>
                <c:pt idx="99">
                  <c:v>0.7</c:v>
                </c:pt>
                <c:pt idx="100">
                  <c:v>1.2</c:v>
                </c:pt>
                <c:pt idx="101">
                  <c:v>2</c:v>
                </c:pt>
                <c:pt idx="102">
                  <c:v>1.6</c:v>
                </c:pt>
                <c:pt idx="103">
                  <c:v>1.5</c:v>
                </c:pt>
                <c:pt idx="104">
                  <c:v>3.9</c:v>
                </c:pt>
                <c:pt idx="105">
                  <c:v>1.6</c:v>
                </c:pt>
                <c:pt idx="106">
                  <c:v>3</c:v>
                </c:pt>
                <c:pt idx="107">
                  <c:v>0.5</c:v>
                </c:pt>
                <c:pt idx="108">
                  <c:v>1.2</c:v>
                </c:pt>
                <c:pt idx="109">
                  <c:v>0.7</c:v>
                </c:pt>
                <c:pt idx="110">
                  <c:v>0.8</c:v>
                </c:pt>
                <c:pt idx="111">
                  <c:v>0.2</c:v>
                </c:pt>
                <c:pt idx="112">
                  <c:v>4.2</c:v>
                </c:pt>
                <c:pt idx="113">
                  <c:v>1.5</c:v>
                </c:pt>
                <c:pt idx="114">
                  <c:v>2.8</c:v>
                </c:pt>
                <c:pt idx="115">
                  <c:v>0.9</c:v>
                </c:pt>
                <c:pt idx="116">
                  <c:v>4.3</c:v>
                </c:pt>
                <c:pt idx="117">
                  <c:v>2</c:v>
                </c:pt>
                <c:pt idx="118">
                  <c:v>0.7</c:v>
                </c:pt>
                <c:pt idx="119">
                  <c:v>2.2000000000000002</c:v>
                </c:pt>
                <c:pt idx="120">
                  <c:v>2</c:v>
                </c:pt>
                <c:pt idx="121">
                  <c:v>0.7</c:v>
                </c:pt>
                <c:pt idx="122">
                  <c:v>2</c:v>
                </c:pt>
                <c:pt idx="123">
                  <c:v>2</c:v>
                </c:pt>
                <c:pt idx="124">
                  <c:v>1.5</c:v>
                </c:pt>
                <c:pt idx="125">
                  <c:v>3.2</c:v>
                </c:pt>
                <c:pt idx="126">
                  <c:v>3</c:v>
                </c:pt>
                <c:pt idx="127">
                  <c:v>3.6</c:v>
                </c:pt>
                <c:pt idx="128">
                  <c:v>4.3</c:v>
                </c:pt>
                <c:pt idx="129">
                  <c:v>3.4</c:v>
                </c:pt>
                <c:pt idx="130">
                  <c:v>0.8</c:v>
                </c:pt>
                <c:pt idx="131">
                  <c:v>1.3</c:v>
                </c:pt>
                <c:pt idx="132">
                  <c:v>1.7</c:v>
                </c:pt>
                <c:pt idx="133">
                  <c:v>2.1</c:v>
                </c:pt>
                <c:pt idx="134">
                  <c:v>1.8</c:v>
                </c:pt>
                <c:pt idx="135">
                  <c:v>2.8</c:v>
                </c:pt>
                <c:pt idx="136">
                  <c:v>5.6</c:v>
                </c:pt>
                <c:pt idx="137">
                  <c:v>1.2</c:v>
                </c:pt>
                <c:pt idx="138">
                  <c:v>1.7</c:v>
                </c:pt>
                <c:pt idx="139">
                  <c:v>1.3</c:v>
                </c:pt>
                <c:pt idx="140">
                  <c:v>1.3</c:v>
                </c:pt>
                <c:pt idx="141">
                  <c:v>1.1000000000000001</c:v>
                </c:pt>
                <c:pt idx="142">
                  <c:v>3.1</c:v>
                </c:pt>
                <c:pt idx="143">
                  <c:v>2.2000000000000002</c:v>
                </c:pt>
                <c:pt idx="144">
                  <c:v>3.4</c:v>
                </c:pt>
                <c:pt idx="145">
                  <c:v>3.6</c:v>
                </c:pt>
                <c:pt idx="146">
                  <c:v>3.5</c:v>
                </c:pt>
                <c:pt idx="147">
                  <c:v>2.6</c:v>
                </c:pt>
                <c:pt idx="148">
                  <c:v>1.7</c:v>
                </c:pt>
                <c:pt idx="149">
                  <c:v>6.2</c:v>
                </c:pt>
                <c:pt idx="150">
                  <c:v>4.0999999999999996</c:v>
                </c:pt>
                <c:pt idx="151">
                  <c:v>3.5</c:v>
                </c:pt>
                <c:pt idx="152">
                  <c:v>2.9</c:v>
                </c:pt>
                <c:pt idx="153">
                  <c:v>2.8</c:v>
                </c:pt>
                <c:pt idx="154">
                  <c:v>3</c:v>
                </c:pt>
                <c:pt idx="155">
                  <c:v>4.7</c:v>
                </c:pt>
                <c:pt idx="156">
                  <c:v>0.6</c:v>
                </c:pt>
                <c:pt idx="157">
                  <c:v>1.3</c:v>
                </c:pt>
                <c:pt idx="158">
                  <c:v>0.5</c:v>
                </c:pt>
                <c:pt idx="159">
                  <c:v>3</c:v>
                </c:pt>
                <c:pt idx="160">
                  <c:v>2.2000000000000002</c:v>
                </c:pt>
                <c:pt idx="161">
                  <c:v>1.3</c:v>
                </c:pt>
                <c:pt idx="162">
                  <c:v>4.3</c:v>
                </c:pt>
                <c:pt idx="163">
                  <c:v>3.9</c:v>
                </c:pt>
                <c:pt idx="164">
                  <c:v>2.4</c:v>
                </c:pt>
                <c:pt idx="165">
                  <c:v>1.1000000000000001</c:v>
                </c:pt>
                <c:pt idx="166">
                  <c:v>1.7</c:v>
                </c:pt>
                <c:pt idx="167">
                  <c:v>2.2999999999999998</c:v>
                </c:pt>
                <c:pt idx="168">
                  <c:v>2.9</c:v>
                </c:pt>
                <c:pt idx="169">
                  <c:v>1.5</c:v>
                </c:pt>
                <c:pt idx="170">
                  <c:v>3.4</c:v>
                </c:pt>
                <c:pt idx="171">
                  <c:v>3</c:v>
                </c:pt>
                <c:pt idx="172">
                  <c:v>2.4</c:v>
                </c:pt>
                <c:pt idx="173">
                  <c:v>0.9</c:v>
                </c:pt>
                <c:pt idx="174">
                  <c:v>1.7</c:v>
                </c:pt>
                <c:pt idx="175">
                  <c:v>3.1</c:v>
                </c:pt>
                <c:pt idx="176">
                  <c:v>2.1</c:v>
                </c:pt>
                <c:pt idx="177">
                  <c:v>1.2</c:v>
                </c:pt>
                <c:pt idx="178">
                  <c:v>1.7</c:v>
                </c:pt>
                <c:pt idx="179">
                  <c:v>1.8</c:v>
                </c:pt>
                <c:pt idx="180">
                  <c:v>2</c:v>
                </c:pt>
                <c:pt idx="181">
                  <c:v>3.1</c:v>
                </c:pt>
                <c:pt idx="182">
                  <c:v>3.4</c:v>
                </c:pt>
                <c:pt idx="183">
                  <c:v>0.8</c:v>
                </c:pt>
                <c:pt idx="184">
                  <c:v>2.7</c:v>
                </c:pt>
                <c:pt idx="185">
                  <c:v>1.6</c:v>
                </c:pt>
                <c:pt idx="186">
                  <c:v>2.6</c:v>
                </c:pt>
                <c:pt idx="187">
                  <c:v>3.4</c:v>
                </c:pt>
                <c:pt idx="188">
                  <c:v>4.5</c:v>
                </c:pt>
                <c:pt idx="189">
                  <c:v>2.5</c:v>
                </c:pt>
                <c:pt idx="190">
                  <c:v>2.4</c:v>
                </c:pt>
                <c:pt idx="191">
                  <c:v>2.6</c:v>
                </c:pt>
                <c:pt idx="192">
                  <c:v>2.7</c:v>
                </c:pt>
                <c:pt idx="193">
                  <c:v>2.2999999999999998</c:v>
                </c:pt>
                <c:pt idx="194">
                  <c:v>2.9</c:v>
                </c:pt>
                <c:pt idx="195">
                  <c:v>3.1</c:v>
                </c:pt>
                <c:pt idx="196">
                  <c:v>1.4</c:v>
                </c:pt>
                <c:pt idx="197">
                  <c:v>1.9</c:v>
                </c:pt>
                <c:pt idx="198">
                  <c:v>1.4</c:v>
                </c:pt>
                <c:pt idx="199">
                  <c:v>4.8</c:v>
                </c:pt>
                <c:pt idx="200">
                  <c:v>3.2</c:v>
                </c:pt>
                <c:pt idx="201">
                  <c:v>3.6</c:v>
                </c:pt>
                <c:pt idx="202">
                  <c:v>3.4</c:v>
                </c:pt>
                <c:pt idx="203">
                  <c:v>3.8</c:v>
                </c:pt>
                <c:pt idx="204">
                  <c:v>2.1</c:v>
                </c:pt>
                <c:pt idx="205">
                  <c:v>1.9</c:v>
                </c:pt>
                <c:pt idx="206">
                  <c:v>1.3</c:v>
                </c:pt>
                <c:pt idx="207">
                  <c:v>1.4</c:v>
                </c:pt>
                <c:pt idx="208">
                  <c:v>2</c:v>
                </c:pt>
                <c:pt idx="209">
                  <c:v>1.3</c:v>
                </c:pt>
                <c:pt idx="210">
                  <c:v>1.4</c:v>
                </c:pt>
                <c:pt idx="211">
                  <c:v>2.8</c:v>
                </c:pt>
                <c:pt idx="212">
                  <c:v>1.4</c:v>
                </c:pt>
                <c:pt idx="213">
                  <c:v>3.5</c:v>
                </c:pt>
                <c:pt idx="214">
                  <c:v>2.2999999999999998</c:v>
                </c:pt>
                <c:pt idx="215">
                  <c:v>2.2000000000000002</c:v>
                </c:pt>
                <c:pt idx="216">
                  <c:v>1.7</c:v>
                </c:pt>
                <c:pt idx="217">
                  <c:v>2.6</c:v>
                </c:pt>
                <c:pt idx="218">
                  <c:v>3.1</c:v>
                </c:pt>
                <c:pt idx="219">
                  <c:v>1.5</c:v>
                </c:pt>
                <c:pt idx="220">
                  <c:v>2.7</c:v>
                </c:pt>
                <c:pt idx="221">
                  <c:v>2.4</c:v>
                </c:pt>
                <c:pt idx="222">
                  <c:v>1.2</c:v>
                </c:pt>
                <c:pt idx="223">
                  <c:v>1.6</c:v>
                </c:pt>
                <c:pt idx="224">
                  <c:v>2.8</c:v>
                </c:pt>
                <c:pt idx="225">
                  <c:v>2.4</c:v>
                </c:pt>
                <c:pt idx="226">
                  <c:v>2.9</c:v>
                </c:pt>
                <c:pt idx="227">
                  <c:v>3.6</c:v>
                </c:pt>
                <c:pt idx="228">
                  <c:v>4.2</c:v>
                </c:pt>
                <c:pt idx="229">
                  <c:v>3.3</c:v>
                </c:pt>
                <c:pt idx="230">
                  <c:v>1.5</c:v>
                </c:pt>
                <c:pt idx="231">
                  <c:v>5.9</c:v>
                </c:pt>
                <c:pt idx="232">
                  <c:v>5.6</c:v>
                </c:pt>
                <c:pt idx="233">
                  <c:v>6.7</c:v>
                </c:pt>
                <c:pt idx="234">
                  <c:v>1.3</c:v>
                </c:pt>
                <c:pt idx="235">
                  <c:v>1.8</c:v>
                </c:pt>
                <c:pt idx="236">
                  <c:v>2.5</c:v>
                </c:pt>
                <c:pt idx="237">
                  <c:v>2.1</c:v>
                </c:pt>
                <c:pt idx="238">
                  <c:v>3.1</c:v>
                </c:pt>
                <c:pt idx="239">
                  <c:v>4.0999999999999996</c:v>
                </c:pt>
                <c:pt idx="240">
                  <c:v>4.3</c:v>
                </c:pt>
                <c:pt idx="241">
                  <c:v>5.0999999999999996</c:v>
                </c:pt>
                <c:pt idx="242">
                  <c:v>3.7</c:v>
                </c:pt>
                <c:pt idx="243">
                  <c:v>1.8</c:v>
                </c:pt>
                <c:pt idx="244">
                  <c:v>3.8</c:v>
                </c:pt>
                <c:pt idx="245">
                  <c:v>1.5</c:v>
                </c:pt>
                <c:pt idx="246">
                  <c:v>3.5</c:v>
                </c:pt>
                <c:pt idx="247">
                  <c:v>3.3</c:v>
                </c:pt>
                <c:pt idx="248">
                  <c:v>4</c:v>
                </c:pt>
                <c:pt idx="249">
                  <c:v>3.7</c:v>
                </c:pt>
                <c:pt idx="250">
                  <c:v>3.8</c:v>
                </c:pt>
                <c:pt idx="251">
                  <c:v>3</c:v>
                </c:pt>
                <c:pt idx="252">
                  <c:v>1.9</c:v>
                </c:pt>
                <c:pt idx="253">
                  <c:v>2.2000000000000002</c:v>
                </c:pt>
                <c:pt idx="254">
                  <c:v>3</c:v>
                </c:pt>
                <c:pt idx="255">
                  <c:v>7</c:v>
                </c:pt>
                <c:pt idx="256">
                  <c:v>2.5</c:v>
                </c:pt>
                <c:pt idx="257">
                  <c:v>5</c:v>
                </c:pt>
                <c:pt idx="258">
                  <c:v>4.2</c:v>
                </c:pt>
                <c:pt idx="259">
                  <c:v>3.4</c:v>
                </c:pt>
                <c:pt idx="260">
                  <c:v>3.4</c:v>
                </c:pt>
                <c:pt idx="261">
                  <c:v>1.5</c:v>
                </c:pt>
                <c:pt idx="262">
                  <c:v>3.3</c:v>
                </c:pt>
                <c:pt idx="263">
                  <c:v>7.4</c:v>
                </c:pt>
                <c:pt idx="264">
                  <c:v>2.4</c:v>
                </c:pt>
                <c:pt idx="265">
                  <c:v>1</c:v>
                </c:pt>
                <c:pt idx="266">
                  <c:v>2.7</c:v>
                </c:pt>
                <c:pt idx="267">
                  <c:v>2.4</c:v>
                </c:pt>
                <c:pt idx="268">
                  <c:v>2.9</c:v>
                </c:pt>
                <c:pt idx="269">
                  <c:v>1.7</c:v>
                </c:pt>
                <c:pt idx="270">
                  <c:v>3.2</c:v>
                </c:pt>
                <c:pt idx="271">
                  <c:v>1.1000000000000001</c:v>
                </c:pt>
                <c:pt idx="272">
                  <c:v>3.9</c:v>
                </c:pt>
                <c:pt idx="273">
                  <c:v>5.0999999999999996</c:v>
                </c:pt>
                <c:pt idx="274">
                  <c:v>2.5</c:v>
                </c:pt>
                <c:pt idx="275">
                  <c:v>3.6</c:v>
                </c:pt>
                <c:pt idx="276">
                  <c:v>2.7</c:v>
                </c:pt>
                <c:pt idx="277">
                  <c:v>2.8</c:v>
                </c:pt>
                <c:pt idx="278">
                  <c:v>3.8</c:v>
                </c:pt>
                <c:pt idx="279">
                  <c:v>5.9</c:v>
                </c:pt>
                <c:pt idx="280">
                  <c:v>2.9</c:v>
                </c:pt>
                <c:pt idx="281">
                  <c:v>2.2999999999999998</c:v>
                </c:pt>
                <c:pt idx="282">
                  <c:v>3.4</c:v>
                </c:pt>
                <c:pt idx="283">
                  <c:v>1.5</c:v>
                </c:pt>
                <c:pt idx="284">
                  <c:v>1</c:v>
                </c:pt>
                <c:pt idx="285">
                  <c:v>1.2</c:v>
                </c:pt>
                <c:pt idx="286">
                  <c:v>2.1</c:v>
                </c:pt>
                <c:pt idx="287">
                  <c:v>4.5999999999999996</c:v>
                </c:pt>
                <c:pt idx="288">
                  <c:v>3.5</c:v>
                </c:pt>
                <c:pt idx="289">
                  <c:v>2.2000000000000002</c:v>
                </c:pt>
                <c:pt idx="290">
                  <c:v>2.2999999999999998</c:v>
                </c:pt>
                <c:pt idx="291">
                  <c:v>3.7</c:v>
                </c:pt>
                <c:pt idx="292">
                  <c:v>4.5</c:v>
                </c:pt>
                <c:pt idx="293">
                  <c:v>4.2</c:v>
                </c:pt>
                <c:pt idx="294">
                  <c:v>5.7</c:v>
                </c:pt>
                <c:pt idx="295">
                  <c:v>5.5</c:v>
                </c:pt>
                <c:pt idx="296">
                  <c:v>2.9</c:v>
                </c:pt>
                <c:pt idx="297">
                  <c:v>4.3</c:v>
                </c:pt>
                <c:pt idx="298">
                  <c:v>5.6</c:v>
                </c:pt>
                <c:pt idx="299">
                  <c:v>3.9</c:v>
                </c:pt>
                <c:pt idx="300">
                  <c:v>5</c:v>
                </c:pt>
                <c:pt idx="301">
                  <c:v>2.6</c:v>
                </c:pt>
                <c:pt idx="302">
                  <c:v>4.2</c:v>
                </c:pt>
                <c:pt idx="303">
                  <c:v>3.3</c:v>
                </c:pt>
                <c:pt idx="304">
                  <c:v>5.3</c:v>
                </c:pt>
                <c:pt idx="305">
                  <c:v>6.1</c:v>
                </c:pt>
                <c:pt idx="306">
                  <c:v>5.3</c:v>
                </c:pt>
                <c:pt idx="307">
                  <c:v>2.4</c:v>
                </c:pt>
                <c:pt idx="308">
                  <c:v>3.8</c:v>
                </c:pt>
                <c:pt idx="309">
                  <c:v>2</c:v>
                </c:pt>
                <c:pt idx="310">
                  <c:v>4.9000000000000004</c:v>
                </c:pt>
                <c:pt idx="311">
                  <c:v>1.3</c:v>
                </c:pt>
                <c:pt idx="312">
                  <c:v>2.2999999999999998</c:v>
                </c:pt>
                <c:pt idx="313">
                  <c:v>4.2</c:v>
                </c:pt>
                <c:pt idx="314">
                  <c:v>1.6</c:v>
                </c:pt>
                <c:pt idx="315">
                  <c:v>5.6</c:v>
                </c:pt>
                <c:pt idx="316">
                  <c:v>3.2</c:v>
                </c:pt>
                <c:pt idx="317">
                  <c:v>2.2000000000000002</c:v>
                </c:pt>
                <c:pt idx="318">
                  <c:v>1.8</c:v>
                </c:pt>
                <c:pt idx="319">
                  <c:v>3.5</c:v>
                </c:pt>
                <c:pt idx="320">
                  <c:v>3.2</c:v>
                </c:pt>
                <c:pt idx="321">
                  <c:v>4</c:v>
                </c:pt>
                <c:pt idx="322">
                  <c:v>3</c:v>
                </c:pt>
                <c:pt idx="323">
                  <c:v>3</c:v>
                </c:pt>
                <c:pt idx="324">
                  <c:v>3</c:v>
                </c:pt>
                <c:pt idx="325">
                  <c:v>6.4</c:v>
                </c:pt>
                <c:pt idx="326">
                  <c:v>5.0999999999999996</c:v>
                </c:pt>
                <c:pt idx="327">
                  <c:v>2.5</c:v>
                </c:pt>
                <c:pt idx="328">
                  <c:v>3.2</c:v>
                </c:pt>
                <c:pt idx="329">
                  <c:v>1.8</c:v>
                </c:pt>
                <c:pt idx="330">
                  <c:v>2.4</c:v>
                </c:pt>
                <c:pt idx="331">
                  <c:v>4.4000000000000004</c:v>
                </c:pt>
                <c:pt idx="332">
                  <c:v>4.7</c:v>
                </c:pt>
                <c:pt idx="333">
                  <c:v>2.7</c:v>
                </c:pt>
                <c:pt idx="334">
                  <c:v>1.6</c:v>
                </c:pt>
                <c:pt idx="335">
                  <c:v>2.5</c:v>
                </c:pt>
                <c:pt idx="336">
                  <c:v>3.2</c:v>
                </c:pt>
                <c:pt idx="337">
                  <c:v>1.8</c:v>
                </c:pt>
                <c:pt idx="338">
                  <c:v>3.4</c:v>
                </c:pt>
                <c:pt idx="339">
                  <c:v>5.0999999999999996</c:v>
                </c:pt>
                <c:pt idx="340">
                  <c:v>6.6</c:v>
                </c:pt>
                <c:pt idx="341">
                  <c:v>8.4</c:v>
                </c:pt>
                <c:pt idx="342">
                  <c:v>10.199999999999999</c:v>
                </c:pt>
                <c:pt idx="343">
                  <c:v>4.7</c:v>
                </c:pt>
                <c:pt idx="344">
                  <c:v>5.6</c:v>
                </c:pt>
                <c:pt idx="345">
                  <c:v>6.2</c:v>
                </c:pt>
                <c:pt idx="346">
                  <c:v>3.1</c:v>
                </c:pt>
                <c:pt idx="347">
                  <c:v>1.7</c:v>
                </c:pt>
                <c:pt idx="348">
                  <c:v>7.9</c:v>
                </c:pt>
                <c:pt idx="349">
                  <c:v>5.8</c:v>
                </c:pt>
                <c:pt idx="350">
                  <c:v>5</c:v>
                </c:pt>
                <c:pt idx="351">
                  <c:v>5</c:v>
                </c:pt>
                <c:pt idx="352">
                  <c:v>4</c:v>
                </c:pt>
                <c:pt idx="353">
                  <c:v>3.7</c:v>
                </c:pt>
                <c:pt idx="354">
                  <c:v>5.7</c:v>
                </c:pt>
                <c:pt idx="355">
                  <c:v>2.9</c:v>
                </c:pt>
                <c:pt idx="356">
                  <c:v>1.9</c:v>
                </c:pt>
                <c:pt idx="357">
                  <c:v>3.9</c:v>
                </c:pt>
                <c:pt idx="358">
                  <c:v>6.1</c:v>
                </c:pt>
                <c:pt idx="359">
                  <c:v>1.7</c:v>
                </c:pt>
                <c:pt idx="360">
                  <c:v>3.9</c:v>
                </c:pt>
                <c:pt idx="361">
                  <c:v>4.2</c:v>
                </c:pt>
                <c:pt idx="362">
                  <c:v>4.5</c:v>
                </c:pt>
                <c:pt idx="363">
                  <c:v>1.6</c:v>
                </c:pt>
                <c:pt idx="364">
                  <c:v>3.4</c:v>
                </c:pt>
                <c:pt idx="365">
                  <c:v>2.6</c:v>
                </c:pt>
                <c:pt idx="366">
                  <c:v>3</c:v>
                </c:pt>
                <c:pt idx="367">
                  <c:v>5</c:v>
                </c:pt>
                <c:pt idx="368">
                  <c:v>3.7</c:v>
                </c:pt>
                <c:pt idx="369">
                  <c:v>3.5</c:v>
                </c:pt>
                <c:pt idx="370">
                  <c:v>3</c:v>
                </c:pt>
                <c:pt idx="371">
                  <c:v>2.1</c:v>
                </c:pt>
                <c:pt idx="372">
                  <c:v>2.6</c:v>
                </c:pt>
                <c:pt idx="373">
                  <c:v>3</c:v>
                </c:pt>
                <c:pt idx="374">
                  <c:v>2.2000000000000002</c:v>
                </c:pt>
                <c:pt idx="375">
                  <c:v>4.8</c:v>
                </c:pt>
                <c:pt idx="376">
                  <c:v>2.8</c:v>
                </c:pt>
                <c:pt idx="377">
                  <c:v>4</c:v>
                </c:pt>
                <c:pt idx="378">
                  <c:v>3.8</c:v>
                </c:pt>
                <c:pt idx="379">
                  <c:v>6</c:v>
                </c:pt>
                <c:pt idx="380">
                  <c:v>6.4</c:v>
                </c:pt>
                <c:pt idx="381">
                  <c:v>8.5</c:v>
                </c:pt>
                <c:pt idx="382">
                  <c:v>7.2</c:v>
                </c:pt>
                <c:pt idx="383">
                  <c:v>5.9</c:v>
                </c:pt>
                <c:pt idx="384">
                  <c:v>2.4</c:v>
                </c:pt>
                <c:pt idx="385">
                  <c:v>3.3</c:v>
                </c:pt>
                <c:pt idx="386">
                  <c:v>3.9</c:v>
                </c:pt>
                <c:pt idx="387">
                  <c:v>3.7</c:v>
                </c:pt>
                <c:pt idx="388">
                  <c:v>2</c:v>
                </c:pt>
                <c:pt idx="389">
                  <c:v>5.7</c:v>
                </c:pt>
                <c:pt idx="390">
                  <c:v>6.6</c:v>
                </c:pt>
                <c:pt idx="391">
                  <c:v>5</c:v>
                </c:pt>
                <c:pt idx="392">
                  <c:v>8.3000000000000007</c:v>
                </c:pt>
                <c:pt idx="393">
                  <c:v>4</c:v>
                </c:pt>
                <c:pt idx="394">
                  <c:v>0.7</c:v>
                </c:pt>
                <c:pt idx="395">
                  <c:v>7</c:v>
                </c:pt>
                <c:pt idx="396">
                  <c:v>1</c:v>
                </c:pt>
                <c:pt idx="397">
                  <c:v>4.5999999999999996</c:v>
                </c:pt>
                <c:pt idx="398">
                  <c:v>3</c:v>
                </c:pt>
                <c:pt idx="399">
                  <c:v>1.8</c:v>
                </c:pt>
                <c:pt idx="400">
                  <c:v>4</c:v>
                </c:pt>
                <c:pt idx="401">
                  <c:v>6.1</c:v>
                </c:pt>
                <c:pt idx="402">
                  <c:v>5.6</c:v>
                </c:pt>
                <c:pt idx="403">
                  <c:v>3.4</c:v>
                </c:pt>
                <c:pt idx="404">
                  <c:v>3.9</c:v>
                </c:pt>
                <c:pt idx="405">
                  <c:v>7.5</c:v>
                </c:pt>
                <c:pt idx="406">
                  <c:v>3.2</c:v>
                </c:pt>
                <c:pt idx="407">
                  <c:v>3.6</c:v>
                </c:pt>
                <c:pt idx="408">
                  <c:v>7.7</c:v>
                </c:pt>
                <c:pt idx="409">
                  <c:v>10.1</c:v>
                </c:pt>
                <c:pt idx="410">
                  <c:v>2.8</c:v>
                </c:pt>
                <c:pt idx="411">
                  <c:v>3.4</c:v>
                </c:pt>
                <c:pt idx="412">
                  <c:v>2.9</c:v>
                </c:pt>
                <c:pt idx="413">
                  <c:v>2.1</c:v>
                </c:pt>
                <c:pt idx="414">
                  <c:v>4.5</c:v>
                </c:pt>
                <c:pt idx="415">
                  <c:v>4.0999999999999996</c:v>
                </c:pt>
                <c:pt idx="416">
                  <c:v>2.5</c:v>
                </c:pt>
                <c:pt idx="417">
                  <c:v>3.3</c:v>
                </c:pt>
                <c:pt idx="418">
                  <c:v>10.7</c:v>
                </c:pt>
                <c:pt idx="419">
                  <c:v>6.1</c:v>
                </c:pt>
                <c:pt idx="420">
                  <c:v>4.2</c:v>
                </c:pt>
                <c:pt idx="421">
                  <c:v>3.9</c:v>
                </c:pt>
                <c:pt idx="422">
                  <c:v>3.3</c:v>
                </c:pt>
                <c:pt idx="423">
                  <c:v>8.6999999999999993</c:v>
                </c:pt>
                <c:pt idx="424">
                  <c:v>7</c:v>
                </c:pt>
                <c:pt idx="425">
                  <c:v>4.4000000000000004</c:v>
                </c:pt>
                <c:pt idx="426">
                  <c:v>3.3</c:v>
                </c:pt>
                <c:pt idx="427">
                  <c:v>7.4</c:v>
                </c:pt>
                <c:pt idx="428">
                  <c:v>5.0999999999999996</c:v>
                </c:pt>
                <c:pt idx="429">
                  <c:v>3.7</c:v>
                </c:pt>
                <c:pt idx="430">
                  <c:v>3.7</c:v>
                </c:pt>
                <c:pt idx="431">
                  <c:v>7.8</c:v>
                </c:pt>
                <c:pt idx="432">
                  <c:v>3.7</c:v>
                </c:pt>
                <c:pt idx="433">
                  <c:v>3.7</c:v>
                </c:pt>
                <c:pt idx="434">
                  <c:v>6.5</c:v>
                </c:pt>
                <c:pt idx="435">
                  <c:v>4.8</c:v>
                </c:pt>
                <c:pt idx="436">
                  <c:v>5.9</c:v>
                </c:pt>
                <c:pt idx="437">
                  <c:v>3.3</c:v>
                </c:pt>
                <c:pt idx="438">
                  <c:v>3.8</c:v>
                </c:pt>
                <c:pt idx="439">
                  <c:v>3.2</c:v>
                </c:pt>
                <c:pt idx="440">
                  <c:v>2.4</c:v>
                </c:pt>
                <c:pt idx="441">
                  <c:v>5.0999999999999996</c:v>
                </c:pt>
                <c:pt idx="442">
                  <c:v>5.3</c:v>
                </c:pt>
                <c:pt idx="443">
                  <c:v>1</c:v>
                </c:pt>
                <c:pt idx="444">
                  <c:v>4.7</c:v>
                </c:pt>
                <c:pt idx="445">
                  <c:v>7.8</c:v>
                </c:pt>
                <c:pt idx="446">
                  <c:v>2.8</c:v>
                </c:pt>
                <c:pt idx="447">
                  <c:v>2.9</c:v>
                </c:pt>
                <c:pt idx="448">
                  <c:v>4.8</c:v>
                </c:pt>
                <c:pt idx="449">
                  <c:v>6.5</c:v>
                </c:pt>
                <c:pt idx="450">
                  <c:v>7</c:v>
                </c:pt>
                <c:pt idx="451">
                  <c:v>9.6</c:v>
                </c:pt>
                <c:pt idx="452">
                  <c:v>7.2</c:v>
                </c:pt>
                <c:pt idx="453">
                  <c:v>4.3</c:v>
                </c:pt>
                <c:pt idx="454">
                  <c:v>12.2</c:v>
                </c:pt>
                <c:pt idx="455">
                  <c:v>3.3</c:v>
                </c:pt>
                <c:pt idx="456">
                  <c:v>9.6</c:v>
                </c:pt>
                <c:pt idx="457">
                  <c:v>5.2</c:v>
                </c:pt>
                <c:pt idx="458">
                  <c:v>3.8</c:v>
                </c:pt>
                <c:pt idx="459">
                  <c:v>5.6</c:v>
                </c:pt>
                <c:pt idx="460">
                  <c:v>3.6</c:v>
                </c:pt>
                <c:pt idx="461">
                  <c:v>8.1999999999999993</c:v>
                </c:pt>
                <c:pt idx="462">
                  <c:v>8.1999999999999993</c:v>
                </c:pt>
                <c:pt idx="463">
                  <c:v>2.7</c:v>
                </c:pt>
                <c:pt idx="464">
                  <c:v>4.3</c:v>
                </c:pt>
                <c:pt idx="465">
                  <c:v>3.6</c:v>
                </c:pt>
                <c:pt idx="466">
                  <c:v>2.6</c:v>
                </c:pt>
                <c:pt idx="467">
                  <c:v>8.9</c:v>
                </c:pt>
                <c:pt idx="468">
                  <c:v>4.9000000000000004</c:v>
                </c:pt>
                <c:pt idx="469">
                  <c:v>6.1</c:v>
                </c:pt>
                <c:pt idx="470">
                  <c:v>3.5</c:v>
                </c:pt>
                <c:pt idx="471">
                  <c:v>8</c:v>
                </c:pt>
                <c:pt idx="472">
                  <c:v>12.6</c:v>
                </c:pt>
                <c:pt idx="473">
                  <c:v>2.6</c:v>
                </c:pt>
                <c:pt idx="474">
                  <c:v>3</c:v>
                </c:pt>
                <c:pt idx="475">
                  <c:v>5</c:v>
                </c:pt>
                <c:pt idx="476">
                  <c:v>4</c:v>
                </c:pt>
                <c:pt idx="477">
                  <c:v>10.3</c:v>
                </c:pt>
                <c:pt idx="478">
                  <c:v>4.9000000000000004</c:v>
                </c:pt>
                <c:pt idx="479">
                  <c:v>4.8</c:v>
                </c:pt>
                <c:pt idx="480">
                  <c:v>5.7</c:v>
                </c:pt>
                <c:pt idx="481">
                  <c:v>6.1</c:v>
                </c:pt>
                <c:pt idx="482">
                  <c:v>3.8</c:v>
                </c:pt>
                <c:pt idx="483">
                  <c:v>5.6</c:v>
                </c:pt>
                <c:pt idx="484">
                  <c:v>8.1</c:v>
                </c:pt>
                <c:pt idx="485">
                  <c:v>6.5</c:v>
                </c:pt>
                <c:pt idx="486">
                  <c:v>5.9</c:v>
                </c:pt>
                <c:pt idx="487">
                  <c:v>6.8</c:v>
                </c:pt>
                <c:pt idx="488">
                  <c:v>9.6999999999999993</c:v>
                </c:pt>
                <c:pt idx="489">
                  <c:v>2.9</c:v>
                </c:pt>
                <c:pt idx="490">
                  <c:v>4.5</c:v>
                </c:pt>
                <c:pt idx="491">
                  <c:v>3.5</c:v>
                </c:pt>
                <c:pt idx="492">
                  <c:v>4.8</c:v>
                </c:pt>
                <c:pt idx="493">
                  <c:v>7.8</c:v>
                </c:pt>
                <c:pt idx="494">
                  <c:v>10</c:v>
                </c:pt>
                <c:pt idx="495">
                  <c:v>8.1999999999999993</c:v>
                </c:pt>
                <c:pt idx="496">
                  <c:v>4.9000000000000004</c:v>
                </c:pt>
                <c:pt idx="497">
                  <c:v>10.199999999999999</c:v>
                </c:pt>
                <c:pt idx="498">
                  <c:v>3.9</c:v>
                </c:pt>
                <c:pt idx="499">
                  <c:v>10.9</c:v>
                </c:pt>
                <c:pt idx="500">
                  <c:v>3.8</c:v>
                </c:pt>
                <c:pt idx="501">
                  <c:v>4.3</c:v>
                </c:pt>
                <c:pt idx="502">
                  <c:v>5.9</c:v>
                </c:pt>
                <c:pt idx="503">
                  <c:v>3.5</c:v>
                </c:pt>
                <c:pt idx="504">
                  <c:v>3.2</c:v>
                </c:pt>
                <c:pt idx="505">
                  <c:v>4.0999999999999996</c:v>
                </c:pt>
                <c:pt idx="506">
                  <c:v>4.3</c:v>
                </c:pt>
                <c:pt idx="507">
                  <c:v>6.9</c:v>
                </c:pt>
                <c:pt idx="508">
                  <c:v>4</c:v>
                </c:pt>
                <c:pt idx="509">
                  <c:v>3</c:v>
                </c:pt>
                <c:pt idx="510">
                  <c:v>2.7</c:v>
                </c:pt>
                <c:pt idx="511">
                  <c:v>7.5</c:v>
                </c:pt>
                <c:pt idx="512">
                  <c:v>6.5</c:v>
                </c:pt>
                <c:pt idx="513">
                  <c:v>3.7</c:v>
                </c:pt>
                <c:pt idx="514">
                  <c:v>4.5999999999999996</c:v>
                </c:pt>
                <c:pt idx="515">
                  <c:v>8.1999999999999993</c:v>
                </c:pt>
                <c:pt idx="516">
                  <c:v>11</c:v>
                </c:pt>
                <c:pt idx="517">
                  <c:v>13.9</c:v>
                </c:pt>
                <c:pt idx="518">
                  <c:v>8</c:v>
                </c:pt>
                <c:pt idx="519">
                  <c:v>3.7</c:v>
                </c:pt>
                <c:pt idx="520">
                  <c:v>5.2</c:v>
                </c:pt>
                <c:pt idx="521">
                  <c:v>9.6</c:v>
                </c:pt>
                <c:pt idx="522">
                  <c:v>3.8</c:v>
                </c:pt>
                <c:pt idx="523">
                  <c:v>4.4000000000000004</c:v>
                </c:pt>
                <c:pt idx="524">
                  <c:v>5.0999999999999996</c:v>
                </c:pt>
                <c:pt idx="525">
                  <c:v>4.5</c:v>
                </c:pt>
                <c:pt idx="526">
                  <c:v>9.3000000000000007</c:v>
                </c:pt>
                <c:pt idx="527">
                  <c:v>4.8</c:v>
                </c:pt>
                <c:pt idx="528">
                  <c:v>5.3</c:v>
                </c:pt>
                <c:pt idx="529">
                  <c:v>3.2</c:v>
                </c:pt>
                <c:pt idx="530">
                  <c:v>5.3</c:v>
                </c:pt>
                <c:pt idx="531">
                  <c:v>7.7</c:v>
                </c:pt>
                <c:pt idx="532">
                  <c:v>6.8</c:v>
                </c:pt>
                <c:pt idx="533">
                  <c:v>7.8</c:v>
                </c:pt>
                <c:pt idx="534">
                  <c:v>7.1</c:v>
                </c:pt>
                <c:pt idx="535">
                  <c:v>4.9000000000000004</c:v>
                </c:pt>
                <c:pt idx="536">
                  <c:v>4.5</c:v>
                </c:pt>
                <c:pt idx="537">
                  <c:v>4.5999999999999996</c:v>
                </c:pt>
                <c:pt idx="538">
                  <c:v>4.5</c:v>
                </c:pt>
                <c:pt idx="539">
                  <c:v>5.8</c:v>
                </c:pt>
                <c:pt idx="540">
                  <c:v>4.8</c:v>
                </c:pt>
                <c:pt idx="541">
                  <c:v>7.3</c:v>
                </c:pt>
                <c:pt idx="542">
                  <c:v>5.7</c:v>
                </c:pt>
                <c:pt idx="543">
                  <c:v>6.1</c:v>
                </c:pt>
                <c:pt idx="544">
                  <c:v>5.6</c:v>
                </c:pt>
                <c:pt idx="545">
                  <c:v>6.3</c:v>
                </c:pt>
                <c:pt idx="546">
                  <c:v>3.3</c:v>
                </c:pt>
                <c:pt idx="547">
                  <c:v>10.3</c:v>
                </c:pt>
                <c:pt idx="548">
                  <c:v>12.8</c:v>
                </c:pt>
                <c:pt idx="549">
                  <c:v>3.9</c:v>
                </c:pt>
                <c:pt idx="550">
                  <c:v>6</c:v>
                </c:pt>
                <c:pt idx="551">
                  <c:v>3.3</c:v>
                </c:pt>
                <c:pt idx="552">
                  <c:v>8.6999999999999993</c:v>
                </c:pt>
                <c:pt idx="553">
                  <c:v>5.7</c:v>
                </c:pt>
                <c:pt idx="554">
                  <c:v>4.0999999999999996</c:v>
                </c:pt>
                <c:pt idx="555">
                  <c:v>4.0999999999999996</c:v>
                </c:pt>
                <c:pt idx="556">
                  <c:v>12.7</c:v>
                </c:pt>
                <c:pt idx="557">
                  <c:v>4.7</c:v>
                </c:pt>
                <c:pt idx="558">
                  <c:v>2.9</c:v>
                </c:pt>
                <c:pt idx="559">
                  <c:v>5.4</c:v>
                </c:pt>
                <c:pt idx="560">
                  <c:v>11.6</c:v>
                </c:pt>
                <c:pt idx="561">
                  <c:v>5.8</c:v>
                </c:pt>
                <c:pt idx="562">
                  <c:v>3.1</c:v>
                </c:pt>
                <c:pt idx="563">
                  <c:v>8.1999999999999993</c:v>
                </c:pt>
                <c:pt idx="564">
                  <c:v>7.2</c:v>
                </c:pt>
                <c:pt idx="565">
                  <c:v>7.5</c:v>
                </c:pt>
                <c:pt idx="566">
                  <c:v>5</c:v>
                </c:pt>
                <c:pt idx="567">
                  <c:v>8.1999999999999993</c:v>
                </c:pt>
                <c:pt idx="568">
                  <c:v>11.9</c:v>
                </c:pt>
              </c:numCache>
            </c:numRef>
          </c:xVal>
          <c:yVal>
            <c:numRef>
              <c:f>'Cleaned Data'!$F$2:$F$570</c:f>
              <c:numCache>
                <c:formatCode>General</c:formatCode>
                <c:ptCount val="569"/>
                <c:pt idx="0">
                  <c:v>0</c:v>
                </c:pt>
                <c:pt idx="1">
                  <c:v>0</c:v>
                </c:pt>
                <c:pt idx="2">
                  <c:v>0</c:v>
                </c:pt>
                <c:pt idx="3">
                  <c:v>0</c:v>
                </c:pt>
                <c:pt idx="4">
                  <c:v>0</c:v>
                </c:pt>
                <c:pt idx="5">
                  <c:v>0</c:v>
                </c:pt>
                <c:pt idx="6">
                  <c:v>0</c:v>
                </c:pt>
                <c:pt idx="7">
                  <c:v>0</c:v>
                </c:pt>
                <c:pt idx="8">
                  <c:v>-0.1</c:v>
                </c:pt>
                <c:pt idx="9">
                  <c:v>-0.1</c:v>
                </c:pt>
                <c:pt idx="10">
                  <c:v>-0.1</c:v>
                </c:pt>
                <c:pt idx="11">
                  <c:v>0</c:v>
                </c:pt>
                <c:pt idx="12">
                  <c:v>0</c:v>
                </c:pt>
                <c:pt idx="13">
                  <c:v>0</c:v>
                </c:pt>
                <c:pt idx="14">
                  <c:v>0</c:v>
                </c:pt>
                <c:pt idx="15">
                  <c:v>-0.2</c:v>
                </c:pt>
                <c:pt idx="16">
                  <c:v>0</c:v>
                </c:pt>
                <c:pt idx="17">
                  <c:v>0</c:v>
                </c:pt>
                <c:pt idx="18">
                  <c:v>0</c:v>
                </c:pt>
                <c:pt idx="19">
                  <c:v>0</c:v>
                </c:pt>
                <c:pt idx="20">
                  <c:v>0</c:v>
                </c:pt>
                <c:pt idx="21">
                  <c:v>0</c:v>
                </c:pt>
                <c:pt idx="22">
                  <c:v>-0.1</c:v>
                </c:pt>
                <c:pt idx="23">
                  <c:v>0</c:v>
                </c:pt>
                <c:pt idx="24">
                  <c:v>-0.1</c:v>
                </c:pt>
                <c:pt idx="25">
                  <c:v>-0.1</c:v>
                </c:pt>
                <c:pt idx="26">
                  <c:v>-0.1</c:v>
                </c:pt>
                <c:pt idx="27">
                  <c:v>-0.1</c:v>
                </c:pt>
                <c:pt idx="28">
                  <c:v>-0.4</c:v>
                </c:pt>
                <c:pt idx="29">
                  <c:v>-0.4</c:v>
                </c:pt>
                <c:pt idx="30">
                  <c:v>-0.1</c:v>
                </c:pt>
                <c:pt idx="31">
                  <c:v>-0.2</c:v>
                </c:pt>
                <c:pt idx="32">
                  <c:v>0</c:v>
                </c:pt>
                <c:pt idx="33">
                  <c:v>-0.1</c:v>
                </c:pt>
                <c:pt idx="34">
                  <c:v>0.1</c:v>
                </c:pt>
                <c:pt idx="35">
                  <c:v>-0.2</c:v>
                </c:pt>
                <c:pt idx="36">
                  <c:v>0.5</c:v>
                </c:pt>
                <c:pt idx="37">
                  <c:v>-0.1</c:v>
                </c:pt>
                <c:pt idx="38">
                  <c:v>0</c:v>
                </c:pt>
                <c:pt idx="39">
                  <c:v>-0.2</c:v>
                </c:pt>
                <c:pt idx="40">
                  <c:v>-0.2</c:v>
                </c:pt>
                <c:pt idx="41">
                  <c:v>-0.2</c:v>
                </c:pt>
                <c:pt idx="42">
                  <c:v>0</c:v>
                </c:pt>
                <c:pt idx="43">
                  <c:v>1.1000000000000001</c:v>
                </c:pt>
                <c:pt idx="44">
                  <c:v>0</c:v>
                </c:pt>
                <c:pt idx="45">
                  <c:v>-0.2</c:v>
                </c:pt>
                <c:pt idx="46">
                  <c:v>-0.2</c:v>
                </c:pt>
                <c:pt idx="47">
                  <c:v>0.1</c:v>
                </c:pt>
                <c:pt idx="48">
                  <c:v>0</c:v>
                </c:pt>
                <c:pt idx="49">
                  <c:v>-0.1</c:v>
                </c:pt>
                <c:pt idx="50">
                  <c:v>1</c:v>
                </c:pt>
                <c:pt idx="51">
                  <c:v>0</c:v>
                </c:pt>
                <c:pt idx="52">
                  <c:v>0</c:v>
                </c:pt>
                <c:pt idx="53">
                  <c:v>0</c:v>
                </c:pt>
                <c:pt idx="54">
                  <c:v>0</c:v>
                </c:pt>
                <c:pt idx="55">
                  <c:v>-0.1</c:v>
                </c:pt>
                <c:pt idx="56">
                  <c:v>-0.1</c:v>
                </c:pt>
                <c:pt idx="57">
                  <c:v>-0.1</c:v>
                </c:pt>
                <c:pt idx="58">
                  <c:v>0</c:v>
                </c:pt>
                <c:pt idx="59">
                  <c:v>0</c:v>
                </c:pt>
                <c:pt idx="60">
                  <c:v>-0.1</c:v>
                </c:pt>
                <c:pt idx="61">
                  <c:v>0</c:v>
                </c:pt>
                <c:pt idx="62">
                  <c:v>-0.1</c:v>
                </c:pt>
                <c:pt idx="63">
                  <c:v>0</c:v>
                </c:pt>
                <c:pt idx="64">
                  <c:v>0</c:v>
                </c:pt>
                <c:pt idx="65">
                  <c:v>0</c:v>
                </c:pt>
                <c:pt idx="66">
                  <c:v>0.1</c:v>
                </c:pt>
                <c:pt idx="67">
                  <c:v>-0.8</c:v>
                </c:pt>
                <c:pt idx="68">
                  <c:v>-0.1</c:v>
                </c:pt>
                <c:pt idx="69">
                  <c:v>1</c:v>
                </c:pt>
                <c:pt idx="70">
                  <c:v>-0.2</c:v>
                </c:pt>
                <c:pt idx="71">
                  <c:v>0.1</c:v>
                </c:pt>
                <c:pt idx="72">
                  <c:v>0.1</c:v>
                </c:pt>
                <c:pt idx="73">
                  <c:v>-0.3</c:v>
                </c:pt>
                <c:pt idx="74">
                  <c:v>1.2</c:v>
                </c:pt>
                <c:pt idx="75">
                  <c:v>-0.6</c:v>
                </c:pt>
                <c:pt idx="76">
                  <c:v>0</c:v>
                </c:pt>
                <c:pt idx="77">
                  <c:v>0.1</c:v>
                </c:pt>
                <c:pt idx="78">
                  <c:v>-0.1</c:v>
                </c:pt>
                <c:pt idx="79">
                  <c:v>-0.1</c:v>
                </c:pt>
                <c:pt idx="80">
                  <c:v>0</c:v>
                </c:pt>
                <c:pt idx="81">
                  <c:v>-0.1</c:v>
                </c:pt>
                <c:pt idx="82">
                  <c:v>0.8</c:v>
                </c:pt>
                <c:pt idx="83">
                  <c:v>-0.1</c:v>
                </c:pt>
                <c:pt idx="84">
                  <c:v>0.2</c:v>
                </c:pt>
                <c:pt idx="85">
                  <c:v>0</c:v>
                </c:pt>
                <c:pt idx="86">
                  <c:v>0.3</c:v>
                </c:pt>
                <c:pt idx="87">
                  <c:v>-0.1</c:v>
                </c:pt>
                <c:pt idx="88">
                  <c:v>-0.1</c:v>
                </c:pt>
                <c:pt idx="89">
                  <c:v>-0.1</c:v>
                </c:pt>
                <c:pt idx="90">
                  <c:v>-0.6</c:v>
                </c:pt>
                <c:pt idx="91">
                  <c:v>-0.1</c:v>
                </c:pt>
                <c:pt idx="92">
                  <c:v>0</c:v>
                </c:pt>
                <c:pt idx="93">
                  <c:v>0</c:v>
                </c:pt>
                <c:pt idx="94">
                  <c:v>-0.2</c:v>
                </c:pt>
                <c:pt idx="95">
                  <c:v>0.1</c:v>
                </c:pt>
                <c:pt idx="96">
                  <c:v>-0.1</c:v>
                </c:pt>
                <c:pt idx="97">
                  <c:v>-0.1</c:v>
                </c:pt>
                <c:pt idx="98">
                  <c:v>-0.3</c:v>
                </c:pt>
                <c:pt idx="99">
                  <c:v>-0.1</c:v>
                </c:pt>
                <c:pt idx="100">
                  <c:v>0</c:v>
                </c:pt>
                <c:pt idx="101">
                  <c:v>-0.2</c:v>
                </c:pt>
                <c:pt idx="102">
                  <c:v>-0.2</c:v>
                </c:pt>
                <c:pt idx="103">
                  <c:v>-0.2</c:v>
                </c:pt>
                <c:pt idx="104">
                  <c:v>0.2</c:v>
                </c:pt>
                <c:pt idx="105">
                  <c:v>0</c:v>
                </c:pt>
                <c:pt idx="106">
                  <c:v>0.1</c:v>
                </c:pt>
                <c:pt idx="107">
                  <c:v>-0.1</c:v>
                </c:pt>
                <c:pt idx="108">
                  <c:v>0.1</c:v>
                </c:pt>
                <c:pt idx="109">
                  <c:v>0</c:v>
                </c:pt>
                <c:pt idx="110">
                  <c:v>-0.1</c:v>
                </c:pt>
                <c:pt idx="111">
                  <c:v>-0.1</c:v>
                </c:pt>
                <c:pt idx="112">
                  <c:v>0.7</c:v>
                </c:pt>
                <c:pt idx="113">
                  <c:v>-0.3</c:v>
                </c:pt>
                <c:pt idx="114">
                  <c:v>0.1</c:v>
                </c:pt>
                <c:pt idx="115">
                  <c:v>0.1</c:v>
                </c:pt>
                <c:pt idx="116">
                  <c:v>-0.3</c:v>
                </c:pt>
                <c:pt idx="117">
                  <c:v>-0.2</c:v>
                </c:pt>
                <c:pt idx="118">
                  <c:v>-0.2</c:v>
                </c:pt>
                <c:pt idx="119">
                  <c:v>-0.3</c:v>
                </c:pt>
                <c:pt idx="120">
                  <c:v>0.2</c:v>
                </c:pt>
                <c:pt idx="121">
                  <c:v>0</c:v>
                </c:pt>
                <c:pt idx="122">
                  <c:v>0</c:v>
                </c:pt>
                <c:pt idx="123">
                  <c:v>-0.1</c:v>
                </c:pt>
                <c:pt idx="124">
                  <c:v>-0.2</c:v>
                </c:pt>
                <c:pt idx="125">
                  <c:v>-0.3</c:v>
                </c:pt>
                <c:pt idx="126">
                  <c:v>0.1</c:v>
                </c:pt>
                <c:pt idx="127">
                  <c:v>-0.7</c:v>
                </c:pt>
                <c:pt idx="128">
                  <c:v>0.4</c:v>
                </c:pt>
                <c:pt idx="129">
                  <c:v>1.5</c:v>
                </c:pt>
                <c:pt idx="130">
                  <c:v>0</c:v>
                </c:pt>
                <c:pt idx="131">
                  <c:v>-0.1</c:v>
                </c:pt>
                <c:pt idx="132">
                  <c:v>0.2</c:v>
                </c:pt>
                <c:pt idx="133">
                  <c:v>-0.1</c:v>
                </c:pt>
                <c:pt idx="134">
                  <c:v>0</c:v>
                </c:pt>
                <c:pt idx="135">
                  <c:v>-0.3</c:v>
                </c:pt>
                <c:pt idx="136">
                  <c:v>1.2</c:v>
                </c:pt>
                <c:pt idx="137">
                  <c:v>0</c:v>
                </c:pt>
                <c:pt idx="138">
                  <c:v>0.1</c:v>
                </c:pt>
                <c:pt idx="139">
                  <c:v>-0.3</c:v>
                </c:pt>
                <c:pt idx="140">
                  <c:v>0.4</c:v>
                </c:pt>
                <c:pt idx="141">
                  <c:v>-0.4</c:v>
                </c:pt>
                <c:pt idx="142">
                  <c:v>-0.1</c:v>
                </c:pt>
                <c:pt idx="143">
                  <c:v>-0.1</c:v>
                </c:pt>
                <c:pt idx="144">
                  <c:v>0.1</c:v>
                </c:pt>
                <c:pt idx="145">
                  <c:v>0.1</c:v>
                </c:pt>
                <c:pt idx="146">
                  <c:v>0.4</c:v>
                </c:pt>
                <c:pt idx="147">
                  <c:v>-0.1</c:v>
                </c:pt>
                <c:pt idx="148">
                  <c:v>0.1</c:v>
                </c:pt>
                <c:pt idx="149">
                  <c:v>1.3</c:v>
                </c:pt>
                <c:pt idx="150">
                  <c:v>1.2</c:v>
                </c:pt>
                <c:pt idx="151">
                  <c:v>0.7</c:v>
                </c:pt>
                <c:pt idx="152">
                  <c:v>-0.7</c:v>
                </c:pt>
                <c:pt idx="153">
                  <c:v>-0.3</c:v>
                </c:pt>
                <c:pt idx="154">
                  <c:v>0.8</c:v>
                </c:pt>
                <c:pt idx="155">
                  <c:v>0.4</c:v>
                </c:pt>
                <c:pt idx="156">
                  <c:v>0</c:v>
                </c:pt>
                <c:pt idx="157">
                  <c:v>0</c:v>
                </c:pt>
                <c:pt idx="158">
                  <c:v>-0.1</c:v>
                </c:pt>
                <c:pt idx="159">
                  <c:v>0</c:v>
                </c:pt>
                <c:pt idx="160">
                  <c:v>-0.1</c:v>
                </c:pt>
                <c:pt idx="161">
                  <c:v>0.3</c:v>
                </c:pt>
                <c:pt idx="162">
                  <c:v>1.1000000000000001</c:v>
                </c:pt>
                <c:pt idx="163">
                  <c:v>0.5</c:v>
                </c:pt>
                <c:pt idx="164">
                  <c:v>0.5</c:v>
                </c:pt>
                <c:pt idx="165">
                  <c:v>-0.1</c:v>
                </c:pt>
                <c:pt idx="166">
                  <c:v>0.2</c:v>
                </c:pt>
                <c:pt idx="167">
                  <c:v>0.1</c:v>
                </c:pt>
                <c:pt idx="168">
                  <c:v>0.3</c:v>
                </c:pt>
                <c:pt idx="169">
                  <c:v>0</c:v>
                </c:pt>
                <c:pt idx="170">
                  <c:v>-0.1</c:v>
                </c:pt>
                <c:pt idx="171">
                  <c:v>0</c:v>
                </c:pt>
                <c:pt idx="172">
                  <c:v>1.1000000000000001</c:v>
                </c:pt>
                <c:pt idx="173">
                  <c:v>-0.1</c:v>
                </c:pt>
                <c:pt idx="174">
                  <c:v>-0.1</c:v>
                </c:pt>
                <c:pt idx="175">
                  <c:v>0</c:v>
                </c:pt>
                <c:pt idx="176">
                  <c:v>0.3</c:v>
                </c:pt>
                <c:pt idx="177">
                  <c:v>0.2</c:v>
                </c:pt>
                <c:pt idx="178">
                  <c:v>-0.1</c:v>
                </c:pt>
                <c:pt idx="179">
                  <c:v>0.2</c:v>
                </c:pt>
                <c:pt idx="180">
                  <c:v>-0.1</c:v>
                </c:pt>
                <c:pt idx="181">
                  <c:v>0.1</c:v>
                </c:pt>
                <c:pt idx="182">
                  <c:v>0.4</c:v>
                </c:pt>
                <c:pt idx="183">
                  <c:v>-0.1</c:v>
                </c:pt>
                <c:pt idx="184">
                  <c:v>0.8</c:v>
                </c:pt>
                <c:pt idx="185">
                  <c:v>0.1</c:v>
                </c:pt>
                <c:pt idx="186">
                  <c:v>1.4</c:v>
                </c:pt>
                <c:pt idx="187">
                  <c:v>-0.2</c:v>
                </c:pt>
                <c:pt idx="188">
                  <c:v>0.1</c:v>
                </c:pt>
                <c:pt idx="189">
                  <c:v>0.1</c:v>
                </c:pt>
                <c:pt idx="190">
                  <c:v>0.4</c:v>
                </c:pt>
                <c:pt idx="191">
                  <c:v>-0.3</c:v>
                </c:pt>
                <c:pt idx="192">
                  <c:v>0</c:v>
                </c:pt>
                <c:pt idx="193">
                  <c:v>-1.4</c:v>
                </c:pt>
                <c:pt idx="194">
                  <c:v>-0.1</c:v>
                </c:pt>
                <c:pt idx="195">
                  <c:v>0.6</c:v>
                </c:pt>
                <c:pt idx="196">
                  <c:v>0.5</c:v>
                </c:pt>
                <c:pt idx="197">
                  <c:v>0.3</c:v>
                </c:pt>
                <c:pt idx="198">
                  <c:v>-0.2</c:v>
                </c:pt>
                <c:pt idx="199">
                  <c:v>-0.2</c:v>
                </c:pt>
                <c:pt idx="200">
                  <c:v>0.5</c:v>
                </c:pt>
                <c:pt idx="201">
                  <c:v>-0.2</c:v>
                </c:pt>
                <c:pt idx="202">
                  <c:v>0.1</c:v>
                </c:pt>
                <c:pt idx="203">
                  <c:v>0.5</c:v>
                </c:pt>
                <c:pt idx="204">
                  <c:v>-1.3</c:v>
                </c:pt>
                <c:pt idx="205">
                  <c:v>0.1</c:v>
                </c:pt>
                <c:pt idx="206">
                  <c:v>-0.1</c:v>
                </c:pt>
                <c:pt idx="207">
                  <c:v>-0.2</c:v>
                </c:pt>
                <c:pt idx="208">
                  <c:v>1.1000000000000001</c:v>
                </c:pt>
                <c:pt idx="209">
                  <c:v>0.2</c:v>
                </c:pt>
                <c:pt idx="210">
                  <c:v>0</c:v>
                </c:pt>
                <c:pt idx="211">
                  <c:v>-0.5</c:v>
                </c:pt>
                <c:pt idx="212">
                  <c:v>0</c:v>
                </c:pt>
                <c:pt idx="213">
                  <c:v>-0.1</c:v>
                </c:pt>
                <c:pt idx="214">
                  <c:v>0.2</c:v>
                </c:pt>
                <c:pt idx="215">
                  <c:v>-0.1</c:v>
                </c:pt>
                <c:pt idx="216">
                  <c:v>-0.5</c:v>
                </c:pt>
                <c:pt idx="217">
                  <c:v>0.3</c:v>
                </c:pt>
                <c:pt idx="218">
                  <c:v>0.3</c:v>
                </c:pt>
                <c:pt idx="219">
                  <c:v>0</c:v>
                </c:pt>
                <c:pt idx="220">
                  <c:v>0.5</c:v>
                </c:pt>
                <c:pt idx="221">
                  <c:v>0</c:v>
                </c:pt>
                <c:pt idx="222">
                  <c:v>0.3</c:v>
                </c:pt>
                <c:pt idx="223">
                  <c:v>-0.1</c:v>
                </c:pt>
                <c:pt idx="224">
                  <c:v>1.2</c:v>
                </c:pt>
                <c:pt idx="225">
                  <c:v>-0.3</c:v>
                </c:pt>
                <c:pt idx="226">
                  <c:v>1.6</c:v>
                </c:pt>
                <c:pt idx="227">
                  <c:v>-0.1</c:v>
                </c:pt>
                <c:pt idx="228">
                  <c:v>0.1</c:v>
                </c:pt>
                <c:pt idx="229">
                  <c:v>-0.3</c:v>
                </c:pt>
                <c:pt idx="230">
                  <c:v>-0.8</c:v>
                </c:pt>
                <c:pt idx="231">
                  <c:v>0.4</c:v>
                </c:pt>
                <c:pt idx="232">
                  <c:v>-0.2</c:v>
                </c:pt>
                <c:pt idx="233">
                  <c:v>0.2</c:v>
                </c:pt>
                <c:pt idx="234">
                  <c:v>-0.3</c:v>
                </c:pt>
                <c:pt idx="235">
                  <c:v>0</c:v>
                </c:pt>
                <c:pt idx="236">
                  <c:v>0.5</c:v>
                </c:pt>
                <c:pt idx="237">
                  <c:v>-0.3</c:v>
                </c:pt>
                <c:pt idx="238">
                  <c:v>0.7</c:v>
                </c:pt>
                <c:pt idx="239">
                  <c:v>0.2</c:v>
                </c:pt>
                <c:pt idx="240">
                  <c:v>-0.2</c:v>
                </c:pt>
                <c:pt idx="241">
                  <c:v>0.2</c:v>
                </c:pt>
                <c:pt idx="242">
                  <c:v>1.6</c:v>
                </c:pt>
                <c:pt idx="243">
                  <c:v>0</c:v>
                </c:pt>
                <c:pt idx="244">
                  <c:v>0.6</c:v>
                </c:pt>
                <c:pt idx="245">
                  <c:v>-0.2</c:v>
                </c:pt>
                <c:pt idx="246">
                  <c:v>0.6</c:v>
                </c:pt>
                <c:pt idx="247">
                  <c:v>0.3</c:v>
                </c:pt>
                <c:pt idx="248">
                  <c:v>0</c:v>
                </c:pt>
                <c:pt idx="249">
                  <c:v>-0.2</c:v>
                </c:pt>
                <c:pt idx="250">
                  <c:v>0.3</c:v>
                </c:pt>
                <c:pt idx="251">
                  <c:v>0.3</c:v>
                </c:pt>
                <c:pt idx="252">
                  <c:v>0.1</c:v>
                </c:pt>
                <c:pt idx="253">
                  <c:v>-1</c:v>
                </c:pt>
                <c:pt idx="254">
                  <c:v>0.2</c:v>
                </c:pt>
                <c:pt idx="255">
                  <c:v>-0.1</c:v>
                </c:pt>
                <c:pt idx="256">
                  <c:v>0.8</c:v>
                </c:pt>
                <c:pt idx="257">
                  <c:v>0</c:v>
                </c:pt>
                <c:pt idx="258">
                  <c:v>-1.6</c:v>
                </c:pt>
                <c:pt idx="259">
                  <c:v>-0.5</c:v>
                </c:pt>
                <c:pt idx="260">
                  <c:v>0.5</c:v>
                </c:pt>
                <c:pt idx="261">
                  <c:v>-0.1</c:v>
                </c:pt>
                <c:pt idx="262">
                  <c:v>-0.5</c:v>
                </c:pt>
                <c:pt idx="263">
                  <c:v>0.7</c:v>
                </c:pt>
                <c:pt idx="264">
                  <c:v>1.2</c:v>
                </c:pt>
                <c:pt idx="265">
                  <c:v>0.3</c:v>
                </c:pt>
                <c:pt idx="266">
                  <c:v>1.9</c:v>
                </c:pt>
                <c:pt idx="267">
                  <c:v>-0.2</c:v>
                </c:pt>
                <c:pt idx="268">
                  <c:v>-0.3</c:v>
                </c:pt>
                <c:pt idx="269">
                  <c:v>-0.2</c:v>
                </c:pt>
                <c:pt idx="270">
                  <c:v>-0.1</c:v>
                </c:pt>
                <c:pt idx="271">
                  <c:v>-0.4</c:v>
                </c:pt>
                <c:pt idx="272">
                  <c:v>0.4</c:v>
                </c:pt>
                <c:pt idx="273">
                  <c:v>0.2</c:v>
                </c:pt>
                <c:pt idx="274">
                  <c:v>-1.1000000000000001</c:v>
                </c:pt>
                <c:pt idx="275">
                  <c:v>1.6</c:v>
                </c:pt>
                <c:pt idx="276">
                  <c:v>0.1</c:v>
                </c:pt>
                <c:pt idx="277">
                  <c:v>0.1</c:v>
                </c:pt>
                <c:pt idx="278">
                  <c:v>3.2</c:v>
                </c:pt>
                <c:pt idx="279">
                  <c:v>0.4</c:v>
                </c:pt>
                <c:pt idx="280">
                  <c:v>-0.4</c:v>
                </c:pt>
                <c:pt idx="281">
                  <c:v>-0.3</c:v>
                </c:pt>
                <c:pt idx="282">
                  <c:v>0.9</c:v>
                </c:pt>
                <c:pt idx="283">
                  <c:v>0.3</c:v>
                </c:pt>
                <c:pt idx="284">
                  <c:v>0</c:v>
                </c:pt>
                <c:pt idx="285">
                  <c:v>0.1</c:v>
                </c:pt>
                <c:pt idx="286">
                  <c:v>-0.1</c:v>
                </c:pt>
                <c:pt idx="287">
                  <c:v>0.4</c:v>
                </c:pt>
                <c:pt idx="288">
                  <c:v>0.2</c:v>
                </c:pt>
                <c:pt idx="289">
                  <c:v>0.3</c:v>
                </c:pt>
                <c:pt idx="290">
                  <c:v>0.2</c:v>
                </c:pt>
                <c:pt idx="291">
                  <c:v>0.3</c:v>
                </c:pt>
                <c:pt idx="292">
                  <c:v>0.5</c:v>
                </c:pt>
                <c:pt idx="293">
                  <c:v>0.1</c:v>
                </c:pt>
                <c:pt idx="294">
                  <c:v>0.5</c:v>
                </c:pt>
                <c:pt idx="295">
                  <c:v>0.9</c:v>
                </c:pt>
                <c:pt idx="296">
                  <c:v>0</c:v>
                </c:pt>
                <c:pt idx="297">
                  <c:v>1.3</c:v>
                </c:pt>
                <c:pt idx="298">
                  <c:v>0</c:v>
                </c:pt>
                <c:pt idx="299">
                  <c:v>1.4</c:v>
                </c:pt>
                <c:pt idx="300">
                  <c:v>0</c:v>
                </c:pt>
                <c:pt idx="301">
                  <c:v>1.4</c:v>
                </c:pt>
                <c:pt idx="302">
                  <c:v>0.2</c:v>
                </c:pt>
                <c:pt idx="303">
                  <c:v>0</c:v>
                </c:pt>
                <c:pt idx="304">
                  <c:v>0.1</c:v>
                </c:pt>
                <c:pt idx="305">
                  <c:v>0.7</c:v>
                </c:pt>
                <c:pt idx="306">
                  <c:v>1.8</c:v>
                </c:pt>
                <c:pt idx="307">
                  <c:v>0.2</c:v>
                </c:pt>
                <c:pt idx="308">
                  <c:v>-0.7</c:v>
                </c:pt>
                <c:pt idx="309">
                  <c:v>-1</c:v>
                </c:pt>
                <c:pt idx="310">
                  <c:v>0</c:v>
                </c:pt>
                <c:pt idx="311">
                  <c:v>-0.3</c:v>
                </c:pt>
                <c:pt idx="312">
                  <c:v>-0.2</c:v>
                </c:pt>
                <c:pt idx="313">
                  <c:v>-0.9</c:v>
                </c:pt>
                <c:pt idx="314">
                  <c:v>0.2</c:v>
                </c:pt>
                <c:pt idx="315">
                  <c:v>0.7</c:v>
                </c:pt>
                <c:pt idx="316">
                  <c:v>0.8</c:v>
                </c:pt>
                <c:pt idx="317">
                  <c:v>-0.9</c:v>
                </c:pt>
                <c:pt idx="318">
                  <c:v>-0.4</c:v>
                </c:pt>
                <c:pt idx="319">
                  <c:v>-0.2</c:v>
                </c:pt>
                <c:pt idx="320">
                  <c:v>-0.4</c:v>
                </c:pt>
                <c:pt idx="321">
                  <c:v>1.4</c:v>
                </c:pt>
                <c:pt idx="322">
                  <c:v>-0.7</c:v>
                </c:pt>
                <c:pt idx="323">
                  <c:v>0.5</c:v>
                </c:pt>
                <c:pt idx="324">
                  <c:v>-0.7</c:v>
                </c:pt>
                <c:pt idx="325">
                  <c:v>2.2000000000000002</c:v>
                </c:pt>
                <c:pt idx="326">
                  <c:v>0.9</c:v>
                </c:pt>
                <c:pt idx="327">
                  <c:v>-0.2</c:v>
                </c:pt>
                <c:pt idx="328">
                  <c:v>1.2</c:v>
                </c:pt>
                <c:pt idx="329">
                  <c:v>0</c:v>
                </c:pt>
                <c:pt idx="330">
                  <c:v>0</c:v>
                </c:pt>
                <c:pt idx="331">
                  <c:v>0.7</c:v>
                </c:pt>
                <c:pt idx="332">
                  <c:v>-0.3</c:v>
                </c:pt>
                <c:pt idx="333">
                  <c:v>-0.3</c:v>
                </c:pt>
                <c:pt idx="334">
                  <c:v>-0.6</c:v>
                </c:pt>
                <c:pt idx="335">
                  <c:v>0.8</c:v>
                </c:pt>
                <c:pt idx="336">
                  <c:v>0</c:v>
                </c:pt>
                <c:pt idx="337">
                  <c:v>0.3</c:v>
                </c:pt>
                <c:pt idx="338">
                  <c:v>0.8</c:v>
                </c:pt>
                <c:pt idx="339">
                  <c:v>1.2</c:v>
                </c:pt>
                <c:pt idx="340">
                  <c:v>0.7</c:v>
                </c:pt>
                <c:pt idx="341">
                  <c:v>0.7</c:v>
                </c:pt>
                <c:pt idx="342">
                  <c:v>0.4</c:v>
                </c:pt>
                <c:pt idx="343">
                  <c:v>-1</c:v>
                </c:pt>
                <c:pt idx="344">
                  <c:v>0.5</c:v>
                </c:pt>
                <c:pt idx="345">
                  <c:v>0</c:v>
                </c:pt>
                <c:pt idx="346">
                  <c:v>-0.3</c:v>
                </c:pt>
                <c:pt idx="347">
                  <c:v>0</c:v>
                </c:pt>
                <c:pt idx="348">
                  <c:v>0.6</c:v>
                </c:pt>
                <c:pt idx="349">
                  <c:v>1.2</c:v>
                </c:pt>
                <c:pt idx="350">
                  <c:v>0.8</c:v>
                </c:pt>
                <c:pt idx="351">
                  <c:v>-0.3</c:v>
                </c:pt>
                <c:pt idx="352">
                  <c:v>-0.4</c:v>
                </c:pt>
                <c:pt idx="353">
                  <c:v>0.4</c:v>
                </c:pt>
                <c:pt idx="354">
                  <c:v>1.4</c:v>
                </c:pt>
                <c:pt idx="355">
                  <c:v>0</c:v>
                </c:pt>
                <c:pt idx="356">
                  <c:v>0.1</c:v>
                </c:pt>
                <c:pt idx="357">
                  <c:v>-0.5</c:v>
                </c:pt>
                <c:pt idx="358">
                  <c:v>0.5</c:v>
                </c:pt>
                <c:pt idx="359">
                  <c:v>-0.1</c:v>
                </c:pt>
                <c:pt idx="360">
                  <c:v>0.8</c:v>
                </c:pt>
                <c:pt idx="361">
                  <c:v>-0.2</c:v>
                </c:pt>
                <c:pt idx="362">
                  <c:v>0.9</c:v>
                </c:pt>
                <c:pt idx="363">
                  <c:v>-0.1</c:v>
                </c:pt>
                <c:pt idx="364">
                  <c:v>-0.1</c:v>
                </c:pt>
                <c:pt idx="365">
                  <c:v>1.6</c:v>
                </c:pt>
                <c:pt idx="366">
                  <c:v>0.7</c:v>
                </c:pt>
                <c:pt idx="367">
                  <c:v>1.8</c:v>
                </c:pt>
                <c:pt idx="368">
                  <c:v>-0.7</c:v>
                </c:pt>
                <c:pt idx="369">
                  <c:v>0.1</c:v>
                </c:pt>
                <c:pt idx="370">
                  <c:v>0.7</c:v>
                </c:pt>
                <c:pt idx="371">
                  <c:v>-0.1</c:v>
                </c:pt>
                <c:pt idx="372">
                  <c:v>0.5</c:v>
                </c:pt>
                <c:pt idx="373">
                  <c:v>0.1</c:v>
                </c:pt>
                <c:pt idx="374">
                  <c:v>0.1</c:v>
                </c:pt>
                <c:pt idx="375">
                  <c:v>0.5</c:v>
                </c:pt>
                <c:pt idx="376">
                  <c:v>-1.2</c:v>
                </c:pt>
                <c:pt idx="377">
                  <c:v>0.4</c:v>
                </c:pt>
                <c:pt idx="378">
                  <c:v>-0.6</c:v>
                </c:pt>
                <c:pt idx="379">
                  <c:v>2</c:v>
                </c:pt>
                <c:pt idx="380">
                  <c:v>2</c:v>
                </c:pt>
                <c:pt idx="381">
                  <c:v>0.3</c:v>
                </c:pt>
                <c:pt idx="382">
                  <c:v>-0.3</c:v>
                </c:pt>
                <c:pt idx="383">
                  <c:v>2.2999999999999998</c:v>
                </c:pt>
                <c:pt idx="384">
                  <c:v>0</c:v>
                </c:pt>
                <c:pt idx="385">
                  <c:v>-0.3</c:v>
                </c:pt>
                <c:pt idx="386">
                  <c:v>0.7</c:v>
                </c:pt>
                <c:pt idx="387">
                  <c:v>0.2</c:v>
                </c:pt>
                <c:pt idx="388">
                  <c:v>0.3</c:v>
                </c:pt>
                <c:pt idx="389">
                  <c:v>0.4</c:v>
                </c:pt>
                <c:pt idx="390">
                  <c:v>1.6</c:v>
                </c:pt>
                <c:pt idx="391">
                  <c:v>0.6</c:v>
                </c:pt>
                <c:pt idx="392">
                  <c:v>0.7</c:v>
                </c:pt>
                <c:pt idx="393">
                  <c:v>0.4</c:v>
                </c:pt>
                <c:pt idx="394">
                  <c:v>0</c:v>
                </c:pt>
                <c:pt idx="395">
                  <c:v>0</c:v>
                </c:pt>
                <c:pt idx="396">
                  <c:v>0</c:v>
                </c:pt>
                <c:pt idx="397">
                  <c:v>-0.1</c:v>
                </c:pt>
                <c:pt idx="398">
                  <c:v>0.1</c:v>
                </c:pt>
                <c:pt idx="399">
                  <c:v>0.4</c:v>
                </c:pt>
                <c:pt idx="400">
                  <c:v>0</c:v>
                </c:pt>
                <c:pt idx="401">
                  <c:v>0.4</c:v>
                </c:pt>
                <c:pt idx="402">
                  <c:v>0.5</c:v>
                </c:pt>
                <c:pt idx="403">
                  <c:v>0.1</c:v>
                </c:pt>
                <c:pt idx="404">
                  <c:v>-0.3</c:v>
                </c:pt>
                <c:pt idx="405">
                  <c:v>1.1000000000000001</c:v>
                </c:pt>
                <c:pt idx="406">
                  <c:v>-0.1</c:v>
                </c:pt>
                <c:pt idx="407">
                  <c:v>-0.7</c:v>
                </c:pt>
                <c:pt idx="408">
                  <c:v>1</c:v>
                </c:pt>
                <c:pt idx="409">
                  <c:v>2.7</c:v>
                </c:pt>
                <c:pt idx="410">
                  <c:v>0.6</c:v>
                </c:pt>
                <c:pt idx="411">
                  <c:v>-1</c:v>
                </c:pt>
                <c:pt idx="412">
                  <c:v>-0.7</c:v>
                </c:pt>
                <c:pt idx="413">
                  <c:v>0.1</c:v>
                </c:pt>
                <c:pt idx="414">
                  <c:v>3.6</c:v>
                </c:pt>
                <c:pt idx="415">
                  <c:v>-0.1</c:v>
                </c:pt>
                <c:pt idx="416">
                  <c:v>2.2000000000000002</c:v>
                </c:pt>
                <c:pt idx="417">
                  <c:v>-0.1</c:v>
                </c:pt>
                <c:pt idx="418">
                  <c:v>2.1</c:v>
                </c:pt>
                <c:pt idx="419">
                  <c:v>1.3</c:v>
                </c:pt>
                <c:pt idx="420">
                  <c:v>-0.1</c:v>
                </c:pt>
                <c:pt idx="421">
                  <c:v>-0.4</c:v>
                </c:pt>
                <c:pt idx="422">
                  <c:v>1.7</c:v>
                </c:pt>
                <c:pt idx="423">
                  <c:v>0</c:v>
                </c:pt>
                <c:pt idx="424">
                  <c:v>0.6</c:v>
                </c:pt>
                <c:pt idx="425">
                  <c:v>0.4</c:v>
                </c:pt>
                <c:pt idx="426">
                  <c:v>-1.6</c:v>
                </c:pt>
                <c:pt idx="427">
                  <c:v>1.1000000000000001</c:v>
                </c:pt>
                <c:pt idx="428">
                  <c:v>0.1</c:v>
                </c:pt>
                <c:pt idx="429">
                  <c:v>-0.1</c:v>
                </c:pt>
                <c:pt idx="430">
                  <c:v>1.5</c:v>
                </c:pt>
                <c:pt idx="431">
                  <c:v>-0.2</c:v>
                </c:pt>
                <c:pt idx="432">
                  <c:v>0.6</c:v>
                </c:pt>
                <c:pt idx="433">
                  <c:v>0.5</c:v>
                </c:pt>
                <c:pt idx="434">
                  <c:v>0.3</c:v>
                </c:pt>
                <c:pt idx="435">
                  <c:v>0.6</c:v>
                </c:pt>
                <c:pt idx="436">
                  <c:v>1.2</c:v>
                </c:pt>
                <c:pt idx="437">
                  <c:v>-0.1</c:v>
                </c:pt>
                <c:pt idx="438">
                  <c:v>1.2</c:v>
                </c:pt>
                <c:pt idx="439">
                  <c:v>1.2</c:v>
                </c:pt>
                <c:pt idx="440">
                  <c:v>0.3</c:v>
                </c:pt>
                <c:pt idx="441">
                  <c:v>1.2</c:v>
                </c:pt>
                <c:pt idx="442">
                  <c:v>0.5</c:v>
                </c:pt>
                <c:pt idx="443">
                  <c:v>-0.1</c:v>
                </c:pt>
                <c:pt idx="444">
                  <c:v>0.3</c:v>
                </c:pt>
                <c:pt idx="445">
                  <c:v>0.2</c:v>
                </c:pt>
                <c:pt idx="446">
                  <c:v>0.6</c:v>
                </c:pt>
                <c:pt idx="447">
                  <c:v>0</c:v>
                </c:pt>
                <c:pt idx="448">
                  <c:v>0.2</c:v>
                </c:pt>
                <c:pt idx="449">
                  <c:v>-0.6</c:v>
                </c:pt>
                <c:pt idx="450">
                  <c:v>1.2</c:v>
                </c:pt>
                <c:pt idx="451">
                  <c:v>1.7</c:v>
                </c:pt>
                <c:pt idx="452">
                  <c:v>0.3</c:v>
                </c:pt>
                <c:pt idx="453">
                  <c:v>-0.2</c:v>
                </c:pt>
                <c:pt idx="454">
                  <c:v>1.7</c:v>
                </c:pt>
                <c:pt idx="455">
                  <c:v>0.4</c:v>
                </c:pt>
                <c:pt idx="456">
                  <c:v>3.6</c:v>
                </c:pt>
                <c:pt idx="457">
                  <c:v>1.6</c:v>
                </c:pt>
                <c:pt idx="458">
                  <c:v>0.6</c:v>
                </c:pt>
                <c:pt idx="459">
                  <c:v>0.1</c:v>
                </c:pt>
                <c:pt idx="460">
                  <c:v>-0.3</c:v>
                </c:pt>
                <c:pt idx="461">
                  <c:v>-0.4</c:v>
                </c:pt>
                <c:pt idx="462">
                  <c:v>-0.5</c:v>
                </c:pt>
                <c:pt idx="463">
                  <c:v>1.1000000000000001</c:v>
                </c:pt>
                <c:pt idx="464">
                  <c:v>1.2</c:v>
                </c:pt>
                <c:pt idx="465">
                  <c:v>-0.5</c:v>
                </c:pt>
                <c:pt idx="466">
                  <c:v>-0.1</c:v>
                </c:pt>
                <c:pt idx="467">
                  <c:v>1.7</c:v>
                </c:pt>
                <c:pt idx="468">
                  <c:v>0.4</c:v>
                </c:pt>
                <c:pt idx="469">
                  <c:v>2.9</c:v>
                </c:pt>
                <c:pt idx="470">
                  <c:v>4.9000000000000004</c:v>
                </c:pt>
                <c:pt idx="471">
                  <c:v>0</c:v>
                </c:pt>
                <c:pt idx="472">
                  <c:v>3.4</c:v>
                </c:pt>
                <c:pt idx="473">
                  <c:v>0.2</c:v>
                </c:pt>
                <c:pt idx="474">
                  <c:v>-0.1</c:v>
                </c:pt>
                <c:pt idx="475">
                  <c:v>-0.8</c:v>
                </c:pt>
                <c:pt idx="476">
                  <c:v>0.6</c:v>
                </c:pt>
                <c:pt idx="477">
                  <c:v>2.7</c:v>
                </c:pt>
                <c:pt idx="478">
                  <c:v>0.5</c:v>
                </c:pt>
                <c:pt idx="479">
                  <c:v>1.9</c:v>
                </c:pt>
                <c:pt idx="480">
                  <c:v>-1.4</c:v>
                </c:pt>
                <c:pt idx="481">
                  <c:v>-0.1</c:v>
                </c:pt>
                <c:pt idx="482">
                  <c:v>0.3</c:v>
                </c:pt>
                <c:pt idx="483">
                  <c:v>0.3</c:v>
                </c:pt>
                <c:pt idx="484">
                  <c:v>2.7</c:v>
                </c:pt>
                <c:pt idx="485">
                  <c:v>1.3</c:v>
                </c:pt>
                <c:pt idx="486">
                  <c:v>1.5</c:v>
                </c:pt>
                <c:pt idx="487">
                  <c:v>1.8</c:v>
                </c:pt>
                <c:pt idx="488">
                  <c:v>3.6</c:v>
                </c:pt>
                <c:pt idx="489">
                  <c:v>3</c:v>
                </c:pt>
                <c:pt idx="490">
                  <c:v>0.4</c:v>
                </c:pt>
                <c:pt idx="491">
                  <c:v>0.1</c:v>
                </c:pt>
                <c:pt idx="492">
                  <c:v>1.2</c:v>
                </c:pt>
                <c:pt idx="493">
                  <c:v>0.5</c:v>
                </c:pt>
                <c:pt idx="494">
                  <c:v>1.2</c:v>
                </c:pt>
                <c:pt idx="495">
                  <c:v>3.4</c:v>
                </c:pt>
                <c:pt idx="496">
                  <c:v>0.9</c:v>
                </c:pt>
                <c:pt idx="497">
                  <c:v>1.6</c:v>
                </c:pt>
                <c:pt idx="498">
                  <c:v>1.7</c:v>
                </c:pt>
                <c:pt idx="499">
                  <c:v>2.4</c:v>
                </c:pt>
                <c:pt idx="500">
                  <c:v>0.1</c:v>
                </c:pt>
                <c:pt idx="501">
                  <c:v>2.2999999999999998</c:v>
                </c:pt>
                <c:pt idx="502">
                  <c:v>0.7</c:v>
                </c:pt>
                <c:pt idx="503">
                  <c:v>1</c:v>
                </c:pt>
                <c:pt idx="504">
                  <c:v>0.1</c:v>
                </c:pt>
                <c:pt idx="505">
                  <c:v>0.5</c:v>
                </c:pt>
                <c:pt idx="506">
                  <c:v>1.8</c:v>
                </c:pt>
                <c:pt idx="507">
                  <c:v>2.4</c:v>
                </c:pt>
                <c:pt idx="508">
                  <c:v>1</c:v>
                </c:pt>
                <c:pt idx="509">
                  <c:v>1.2</c:v>
                </c:pt>
                <c:pt idx="510">
                  <c:v>0.6</c:v>
                </c:pt>
                <c:pt idx="511">
                  <c:v>2</c:v>
                </c:pt>
                <c:pt idx="512">
                  <c:v>0.1</c:v>
                </c:pt>
                <c:pt idx="513">
                  <c:v>0.7</c:v>
                </c:pt>
                <c:pt idx="514">
                  <c:v>1.7</c:v>
                </c:pt>
                <c:pt idx="515">
                  <c:v>0.9</c:v>
                </c:pt>
                <c:pt idx="516">
                  <c:v>3.3</c:v>
                </c:pt>
                <c:pt idx="517">
                  <c:v>4.4000000000000004</c:v>
                </c:pt>
                <c:pt idx="518">
                  <c:v>1</c:v>
                </c:pt>
                <c:pt idx="519">
                  <c:v>-0.6</c:v>
                </c:pt>
                <c:pt idx="520">
                  <c:v>3.5</c:v>
                </c:pt>
                <c:pt idx="521">
                  <c:v>2.7</c:v>
                </c:pt>
                <c:pt idx="522">
                  <c:v>-0.3</c:v>
                </c:pt>
                <c:pt idx="523">
                  <c:v>4.8</c:v>
                </c:pt>
                <c:pt idx="524">
                  <c:v>1.3</c:v>
                </c:pt>
                <c:pt idx="525">
                  <c:v>1.4</c:v>
                </c:pt>
                <c:pt idx="526">
                  <c:v>3.6</c:v>
                </c:pt>
                <c:pt idx="527">
                  <c:v>2.5</c:v>
                </c:pt>
                <c:pt idx="528">
                  <c:v>3.4</c:v>
                </c:pt>
                <c:pt idx="529">
                  <c:v>1.8</c:v>
                </c:pt>
                <c:pt idx="530">
                  <c:v>-0.5</c:v>
                </c:pt>
                <c:pt idx="531">
                  <c:v>2.2999999999999998</c:v>
                </c:pt>
                <c:pt idx="532">
                  <c:v>2.1</c:v>
                </c:pt>
                <c:pt idx="533">
                  <c:v>4.7</c:v>
                </c:pt>
                <c:pt idx="534">
                  <c:v>1.8</c:v>
                </c:pt>
                <c:pt idx="535">
                  <c:v>2</c:v>
                </c:pt>
                <c:pt idx="536">
                  <c:v>2.6</c:v>
                </c:pt>
                <c:pt idx="537">
                  <c:v>0.4</c:v>
                </c:pt>
                <c:pt idx="538">
                  <c:v>3.2</c:v>
                </c:pt>
                <c:pt idx="539">
                  <c:v>1.1000000000000001</c:v>
                </c:pt>
                <c:pt idx="540">
                  <c:v>1.3</c:v>
                </c:pt>
                <c:pt idx="541">
                  <c:v>2.2000000000000002</c:v>
                </c:pt>
                <c:pt idx="542">
                  <c:v>2.6</c:v>
                </c:pt>
                <c:pt idx="543">
                  <c:v>3.7</c:v>
                </c:pt>
                <c:pt idx="544">
                  <c:v>2.4</c:v>
                </c:pt>
                <c:pt idx="545">
                  <c:v>1.2</c:v>
                </c:pt>
                <c:pt idx="546">
                  <c:v>2</c:v>
                </c:pt>
                <c:pt idx="547">
                  <c:v>3.9</c:v>
                </c:pt>
                <c:pt idx="548">
                  <c:v>3.5</c:v>
                </c:pt>
                <c:pt idx="549">
                  <c:v>1.3</c:v>
                </c:pt>
                <c:pt idx="550">
                  <c:v>3</c:v>
                </c:pt>
                <c:pt idx="551">
                  <c:v>0.5</c:v>
                </c:pt>
                <c:pt idx="552">
                  <c:v>4.8</c:v>
                </c:pt>
                <c:pt idx="553">
                  <c:v>4.5999999999999996</c:v>
                </c:pt>
                <c:pt idx="554">
                  <c:v>1.7</c:v>
                </c:pt>
                <c:pt idx="555">
                  <c:v>1.7</c:v>
                </c:pt>
                <c:pt idx="556">
                  <c:v>9.8000000000000007</c:v>
                </c:pt>
                <c:pt idx="557">
                  <c:v>3.2</c:v>
                </c:pt>
                <c:pt idx="558">
                  <c:v>3.1</c:v>
                </c:pt>
                <c:pt idx="559">
                  <c:v>3</c:v>
                </c:pt>
                <c:pt idx="560">
                  <c:v>3.2</c:v>
                </c:pt>
                <c:pt idx="561">
                  <c:v>4.4000000000000004</c:v>
                </c:pt>
                <c:pt idx="562">
                  <c:v>1.7</c:v>
                </c:pt>
                <c:pt idx="563">
                  <c:v>3.9</c:v>
                </c:pt>
                <c:pt idx="564">
                  <c:v>1.9</c:v>
                </c:pt>
                <c:pt idx="565">
                  <c:v>2.2000000000000002</c:v>
                </c:pt>
                <c:pt idx="566">
                  <c:v>8.9</c:v>
                </c:pt>
                <c:pt idx="567">
                  <c:v>0.8</c:v>
                </c:pt>
                <c:pt idx="568">
                  <c:v>6.6</c:v>
                </c:pt>
              </c:numCache>
            </c:numRef>
          </c:yVal>
          <c:smooth val="0"/>
          <c:extLst>
            <c:ext xmlns:c16="http://schemas.microsoft.com/office/drawing/2014/chart" uri="{C3380CC4-5D6E-409C-BE32-E72D297353CC}">
              <c16:uniqueId val="{00000000-67ED-4D02-8E5E-6D1EF5BC38F7}"/>
            </c:ext>
          </c:extLst>
        </c:ser>
        <c:dLbls>
          <c:showLegendKey val="0"/>
          <c:showVal val="0"/>
          <c:showCatName val="0"/>
          <c:showSerName val="0"/>
          <c:showPercent val="0"/>
          <c:showBubbleSize val="0"/>
        </c:dLbls>
        <c:axId val="1219089599"/>
        <c:axId val="1219089119"/>
      </c:scatterChart>
      <c:valAx>
        <c:axId val="12190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Rebounds Per Game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119"/>
        <c:crosses val="autoZero"/>
        <c:crossBetween val="midCat"/>
      </c:valAx>
      <c:valAx>
        <c:axId val="1219089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Effect of Fouls Per Game on VORP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Data'!$Y$1</c:f>
              <c:strCache>
                <c:ptCount val="1"/>
                <c:pt idx="0">
                  <c:v>Points</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Data'!$X$2:$X$570</c:f>
              <c:numCache>
                <c:formatCode>General</c:formatCode>
                <c:ptCount val="569"/>
                <c:pt idx="0">
                  <c:v>1</c:v>
                </c:pt>
                <c:pt idx="1">
                  <c:v>0</c:v>
                </c:pt>
                <c:pt idx="2">
                  <c:v>0</c:v>
                </c:pt>
                <c:pt idx="3">
                  <c:v>0</c:v>
                </c:pt>
                <c:pt idx="4">
                  <c:v>0</c:v>
                </c:pt>
                <c:pt idx="5">
                  <c:v>0</c:v>
                </c:pt>
                <c:pt idx="6">
                  <c:v>0</c:v>
                </c:pt>
                <c:pt idx="7">
                  <c:v>0</c:v>
                </c:pt>
                <c:pt idx="8">
                  <c:v>2.7</c:v>
                </c:pt>
                <c:pt idx="9">
                  <c:v>0.6</c:v>
                </c:pt>
                <c:pt idx="10">
                  <c:v>0.3</c:v>
                </c:pt>
                <c:pt idx="11">
                  <c:v>1</c:v>
                </c:pt>
                <c:pt idx="12">
                  <c:v>0.4</c:v>
                </c:pt>
                <c:pt idx="13">
                  <c:v>0.2</c:v>
                </c:pt>
                <c:pt idx="14">
                  <c:v>0.3</c:v>
                </c:pt>
                <c:pt idx="15">
                  <c:v>0.8</c:v>
                </c:pt>
                <c:pt idx="16">
                  <c:v>0.4</c:v>
                </c:pt>
                <c:pt idx="17">
                  <c:v>0.3</c:v>
                </c:pt>
                <c:pt idx="18">
                  <c:v>0</c:v>
                </c:pt>
                <c:pt idx="19">
                  <c:v>0</c:v>
                </c:pt>
                <c:pt idx="20">
                  <c:v>2.5</c:v>
                </c:pt>
                <c:pt idx="21">
                  <c:v>0.3</c:v>
                </c:pt>
                <c:pt idx="22">
                  <c:v>0.6</c:v>
                </c:pt>
                <c:pt idx="23">
                  <c:v>0.6</c:v>
                </c:pt>
                <c:pt idx="24">
                  <c:v>0.7</c:v>
                </c:pt>
                <c:pt idx="25">
                  <c:v>0.5</c:v>
                </c:pt>
                <c:pt idx="26">
                  <c:v>0.6</c:v>
                </c:pt>
                <c:pt idx="27">
                  <c:v>0.1</c:v>
                </c:pt>
                <c:pt idx="28">
                  <c:v>0.5</c:v>
                </c:pt>
                <c:pt idx="29">
                  <c:v>0.4</c:v>
                </c:pt>
                <c:pt idx="30">
                  <c:v>0.4</c:v>
                </c:pt>
                <c:pt idx="31">
                  <c:v>1.2</c:v>
                </c:pt>
                <c:pt idx="32">
                  <c:v>0.9</c:v>
                </c:pt>
                <c:pt idx="33">
                  <c:v>0.4</c:v>
                </c:pt>
                <c:pt idx="34">
                  <c:v>0.3</c:v>
                </c:pt>
                <c:pt idx="35">
                  <c:v>0.6</c:v>
                </c:pt>
                <c:pt idx="36">
                  <c:v>0.7</c:v>
                </c:pt>
                <c:pt idx="37">
                  <c:v>1.3</c:v>
                </c:pt>
                <c:pt idx="38">
                  <c:v>0.6</c:v>
                </c:pt>
                <c:pt idx="39">
                  <c:v>0.5</c:v>
                </c:pt>
                <c:pt idx="40">
                  <c:v>0.9</c:v>
                </c:pt>
                <c:pt idx="41">
                  <c:v>0.4</c:v>
                </c:pt>
                <c:pt idx="42">
                  <c:v>0.6</c:v>
                </c:pt>
                <c:pt idx="43">
                  <c:v>1.2</c:v>
                </c:pt>
                <c:pt idx="44">
                  <c:v>0.6</c:v>
                </c:pt>
                <c:pt idx="45">
                  <c:v>1.2</c:v>
                </c:pt>
                <c:pt idx="46">
                  <c:v>1.2</c:v>
                </c:pt>
                <c:pt idx="47">
                  <c:v>0.8</c:v>
                </c:pt>
                <c:pt idx="48">
                  <c:v>0.1</c:v>
                </c:pt>
                <c:pt idx="49">
                  <c:v>0.3</c:v>
                </c:pt>
                <c:pt idx="50">
                  <c:v>1.4</c:v>
                </c:pt>
                <c:pt idx="51">
                  <c:v>0.3</c:v>
                </c:pt>
                <c:pt idx="52">
                  <c:v>1.1000000000000001</c:v>
                </c:pt>
                <c:pt idx="53">
                  <c:v>1</c:v>
                </c:pt>
                <c:pt idx="54">
                  <c:v>0.7</c:v>
                </c:pt>
                <c:pt idx="55">
                  <c:v>0.4</c:v>
                </c:pt>
                <c:pt idx="56">
                  <c:v>0.9</c:v>
                </c:pt>
                <c:pt idx="57">
                  <c:v>0.6</c:v>
                </c:pt>
                <c:pt idx="58">
                  <c:v>0.3</c:v>
                </c:pt>
                <c:pt idx="59">
                  <c:v>0.5</c:v>
                </c:pt>
                <c:pt idx="60">
                  <c:v>0.3</c:v>
                </c:pt>
                <c:pt idx="61">
                  <c:v>0.4</c:v>
                </c:pt>
                <c:pt idx="62">
                  <c:v>1.1000000000000001</c:v>
                </c:pt>
                <c:pt idx="63">
                  <c:v>0.5</c:v>
                </c:pt>
                <c:pt idx="64">
                  <c:v>0.2</c:v>
                </c:pt>
                <c:pt idx="65">
                  <c:v>1.7</c:v>
                </c:pt>
                <c:pt idx="66">
                  <c:v>0.6</c:v>
                </c:pt>
                <c:pt idx="67">
                  <c:v>2.1</c:v>
                </c:pt>
                <c:pt idx="68">
                  <c:v>1.6</c:v>
                </c:pt>
                <c:pt idx="69">
                  <c:v>2</c:v>
                </c:pt>
                <c:pt idx="70">
                  <c:v>1.1000000000000001</c:v>
                </c:pt>
                <c:pt idx="71">
                  <c:v>1</c:v>
                </c:pt>
                <c:pt idx="72">
                  <c:v>1.6</c:v>
                </c:pt>
                <c:pt idx="73">
                  <c:v>0.8</c:v>
                </c:pt>
                <c:pt idx="74">
                  <c:v>2.7</c:v>
                </c:pt>
                <c:pt idx="75">
                  <c:v>1.5</c:v>
                </c:pt>
                <c:pt idx="76">
                  <c:v>0.4</c:v>
                </c:pt>
                <c:pt idx="77">
                  <c:v>0.7</c:v>
                </c:pt>
                <c:pt idx="78">
                  <c:v>0.5</c:v>
                </c:pt>
                <c:pt idx="79">
                  <c:v>0</c:v>
                </c:pt>
                <c:pt idx="80">
                  <c:v>0.8</c:v>
                </c:pt>
                <c:pt idx="81">
                  <c:v>2.2000000000000002</c:v>
                </c:pt>
                <c:pt idx="82">
                  <c:v>1.7</c:v>
                </c:pt>
                <c:pt idx="83">
                  <c:v>0.6</c:v>
                </c:pt>
                <c:pt idx="84">
                  <c:v>1</c:v>
                </c:pt>
                <c:pt idx="85">
                  <c:v>0.7</c:v>
                </c:pt>
                <c:pt idx="86">
                  <c:v>0.7</c:v>
                </c:pt>
                <c:pt idx="87">
                  <c:v>0.1</c:v>
                </c:pt>
                <c:pt idx="88">
                  <c:v>0.8</c:v>
                </c:pt>
                <c:pt idx="89">
                  <c:v>1.2</c:v>
                </c:pt>
                <c:pt idx="90">
                  <c:v>1.1000000000000001</c:v>
                </c:pt>
                <c:pt idx="91">
                  <c:v>0.1</c:v>
                </c:pt>
                <c:pt idx="92">
                  <c:v>0.5</c:v>
                </c:pt>
                <c:pt idx="93">
                  <c:v>2</c:v>
                </c:pt>
                <c:pt idx="94">
                  <c:v>0.3</c:v>
                </c:pt>
                <c:pt idx="95">
                  <c:v>0.9</c:v>
                </c:pt>
                <c:pt idx="96">
                  <c:v>1</c:v>
                </c:pt>
                <c:pt idx="97">
                  <c:v>1.2</c:v>
                </c:pt>
                <c:pt idx="98">
                  <c:v>1.7</c:v>
                </c:pt>
                <c:pt idx="99">
                  <c:v>0.8</c:v>
                </c:pt>
                <c:pt idx="100">
                  <c:v>0.5</c:v>
                </c:pt>
                <c:pt idx="101">
                  <c:v>1</c:v>
                </c:pt>
                <c:pt idx="102">
                  <c:v>0.2</c:v>
                </c:pt>
                <c:pt idx="103">
                  <c:v>1.1000000000000001</c:v>
                </c:pt>
                <c:pt idx="104">
                  <c:v>1.5</c:v>
                </c:pt>
                <c:pt idx="105">
                  <c:v>1.3</c:v>
                </c:pt>
                <c:pt idx="106">
                  <c:v>0.8</c:v>
                </c:pt>
                <c:pt idx="107">
                  <c:v>0</c:v>
                </c:pt>
                <c:pt idx="108">
                  <c:v>0.4</c:v>
                </c:pt>
                <c:pt idx="109">
                  <c:v>0.4</c:v>
                </c:pt>
                <c:pt idx="110">
                  <c:v>0.8</c:v>
                </c:pt>
                <c:pt idx="111">
                  <c:v>0.2</c:v>
                </c:pt>
                <c:pt idx="112">
                  <c:v>1.7</c:v>
                </c:pt>
                <c:pt idx="113">
                  <c:v>0.9</c:v>
                </c:pt>
                <c:pt idx="114">
                  <c:v>1.3</c:v>
                </c:pt>
                <c:pt idx="115">
                  <c:v>0.3</c:v>
                </c:pt>
                <c:pt idx="116">
                  <c:v>1.3</c:v>
                </c:pt>
                <c:pt idx="117">
                  <c:v>1.3</c:v>
                </c:pt>
                <c:pt idx="118">
                  <c:v>0.5</c:v>
                </c:pt>
                <c:pt idx="119">
                  <c:v>1</c:v>
                </c:pt>
                <c:pt idx="120">
                  <c:v>0.9</c:v>
                </c:pt>
                <c:pt idx="121">
                  <c:v>0.7</c:v>
                </c:pt>
                <c:pt idx="122">
                  <c:v>1.5</c:v>
                </c:pt>
                <c:pt idx="123">
                  <c:v>1.1000000000000001</c:v>
                </c:pt>
                <c:pt idx="124">
                  <c:v>2.1</c:v>
                </c:pt>
                <c:pt idx="125">
                  <c:v>1.5</c:v>
                </c:pt>
                <c:pt idx="126">
                  <c:v>1.6</c:v>
                </c:pt>
                <c:pt idx="127">
                  <c:v>2.2000000000000002</c:v>
                </c:pt>
                <c:pt idx="128">
                  <c:v>1.5</c:v>
                </c:pt>
                <c:pt idx="129">
                  <c:v>2.1</c:v>
                </c:pt>
                <c:pt idx="130">
                  <c:v>0.2</c:v>
                </c:pt>
                <c:pt idx="131">
                  <c:v>0.4</c:v>
                </c:pt>
                <c:pt idx="132">
                  <c:v>0.7</c:v>
                </c:pt>
                <c:pt idx="133">
                  <c:v>1.8</c:v>
                </c:pt>
                <c:pt idx="134">
                  <c:v>0.7</c:v>
                </c:pt>
                <c:pt idx="135">
                  <c:v>1.9</c:v>
                </c:pt>
                <c:pt idx="136">
                  <c:v>1.7</c:v>
                </c:pt>
                <c:pt idx="137">
                  <c:v>0.4</c:v>
                </c:pt>
                <c:pt idx="138">
                  <c:v>0.6</c:v>
                </c:pt>
                <c:pt idx="139">
                  <c:v>0.7</c:v>
                </c:pt>
                <c:pt idx="140">
                  <c:v>0.5</c:v>
                </c:pt>
                <c:pt idx="141">
                  <c:v>1</c:v>
                </c:pt>
                <c:pt idx="142">
                  <c:v>1.2</c:v>
                </c:pt>
                <c:pt idx="143">
                  <c:v>0.9</c:v>
                </c:pt>
                <c:pt idx="144">
                  <c:v>2.2000000000000002</c:v>
                </c:pt>
                <c:pt idx="145">
                  <c:v>2.1</c:v>
                </c:pt>
                <c:pt idx="146">
                  <c:v>2</c:v>
                </c:pt>
                <c:pt idx="147">
                  <c:v>0.9</c:v>
                </c:pt>
                <c:pt idx="148">
                  <c:v>0.9</c:v>
                </c:pt>
                <c:pt idx="149">
                  <c:v>1.4</c:v>
                </c:pt>
                <c:pt idx="150">
                  <c:v>2.9</c:v>
                </c:pt>
                <c:pt idx="151">
                  <c:v>1.6</c:v>
                </c:pt>
                <c:pt idx="152">
                  <c:v>2.1</c:v>
                </c:pt>
                <c:pt idx="153">
                  <c:v>0.9</c:v>
                </c:pt>
                <c:pt idx="154">
                  <c:v>1.7</c:v>
                </c:pt>
                <c:pt idx="155">
                  <c:v>2.1</c:v>
                </c:pt>
                <c:pt idx="156">
                  <c:v>0.3</c:v>
                </c:pt>
                <c:pt idx="157">
                  <c:v>0.3</c:v>
                </c:pt>
                <c:pt idx="158">
                  <c:v>0.7</c:v>
                </c:pt>
                <c:pt idx="159">
                  <c:v>0</c:v>
                </c:pt>
                <c:pt idx="160">
                  <c:v>1.1000000000000001</c:v>
                </c:pt>
                <c:pt idx="161">
                  <c:v>1</c:v>
                </c:pt>
                <c:pt idx="162">
                  <c:v>2.1</c:v>
                </c:pt>
                <c:pt idx="163">
                  <c:v>2.2000000000000002</c:v>
                </c:pt>
                <c:pt idx="164">
                  <c:v>0.9</c:v>
                </c:pt>
                <c:pt idx="165">
                  <c:v>0.6</c:v>
                </c:pt>
                <c:pt idx="166">
                  <c:v>1.2</c:v>
                </c:pt>
                <c:pt idx="167">
                  <c:v>1.8</c:v>
                </c:pt>
                <c:pt idx="168">
                  <c:v>0.6</c:v>
                </c:pt>
                <c:pt idx="169">
                  <c:v>0.8</c:v>
                </c:pt>
                <c:pt idx="170">
                  <c:v>2.5</c:v>
                </c:pt>
                <c:pt idx="171">
                  <c:v>1.8</c:v>
                </c:pt>
                <c:pt idx="172">
                  <c:v>0.8</c:v>
                </c:pt>
                <c:pt idx="173">
                  <c:v>0.7</c:v>
                </c:pt>
                <c:pt idx="174">
                  <c:v>0.4</c:v>
                </c:pt>
                <c:pt idx="175">
                  <c:v>1.4</c:v>
                </c:pt>
                <c:pt idx="176">
                  <c:v>1.4</c:v>
                </c:pt>
                <c:pt idx="177">
                  <c:v>0.9</c:v>
                </c:pt>
                <c:pt idx="178">
                  <c:v>0.7</c:v>
                </c:pt>
                <c:pt idx="179">
                  <c:v>1</c:v>
                </c:pt>
                <c:pt idx="180">
                  <c:v>1.3</c:v>
                </c:pt>
                <c:pt idx="181">
                  <c:v>1.6</c:v>
                </c:pt>
                <c:pt idx="182">
                  <c:v>1.6</c:v>
                </c:pt>
                <c:pt idx="183">
                  <c:v>0.2</c:v>
                </c:pt>
                <c:pt idx="184">
                  <c:v>1.8</c:v>
                </c:pt>
                <c:pt idx="185">
                  <c:v>1.1000000000000001</c:v>
                </c:pt>
                <c:pt idx="186">
                  <c:v>1.5</c:v>
                </c:pt>
                <c:pt idx="187">
                  <c:v>0.9</c:v>
                </c:pt>
                <c:pt idx="188">
                  <c:v>1.8</c:v>
                </c:pt>
                <c:pt idx="189">
                  <c:v>0.6</c:v>
                </c:pt>
                <c:pt idx="190">
                  <c:v>1.9</c:v>
                </c:pt>
                <c:pt idx="191">
                  <c:v>1</c:v>
                </c:pt>
                <c:pt idx="192">
                  <c:v>1.1000000000000001</c:v>
                </c:pt>
                <c:pt idx="193">
                  <c:v>1.9</c:v>
                </c:pt>
                <c:pt idx="194">
                  <c:v>2</c:v>
                </c:pt>
                <c:pt idx="195">
                  <c:v>1.3</c:v>
                </c:pt>
                <c:pt idx="196">
                  <c:v>1.5</c:v>
                </c:pt>
                <c:pt idx="197">
                  <c:v>1.6</c:v>
                </c:pt>
                <c:pt idx="198">
                  <c:v>0.9</c:v>
                </c:pt>
                <c:pt idx="199">
                  <c:v>1.2</c:v>
                </c:pt>
                <c:pt idx="200">
                  <c:v>1.6</c:v>
                </c:pt>
                <c:pt idx="201">
                  <c:v>1.7</c:v>
                </c:pt>
                <c:pt idx="202">
                  <c:v>1.3</c:v>
                </c:pt>
                <c:pt idx="203">
                  <c:v>2</c:v>
                </c:pt>
                <c:pt idx="204">
                  <c:v>1.3</c:v>
                </c:pt>
                <c:pt idx="205">
                  <c:v>1.8</c:v>
                </c:pt>
                <c:pt idx="206">
                  <c:v>1</c:v>
                </c:pt>
                <c:pt idx="207">
                  <c:v>1</c:v>
                </c:pt>
                <c:pt idx="208">
                  <c:v>1.2</c:v>
                </c:pt>
                <c:pt idx="209">
                  <c:v>1.5</c:v>
                </c:pt>
                <c:pt idx="210">
                  <c:v>0.7</c:v>
                </c:pt>
                <c:pt idx="211">
                  <c:v>1.8</c:v>
                </c:pt>
                <c:pt idx="212">
                  <c:v>0.8</c:v>
                </c:pt>
                <c:pt idx="213">
                  <c:v>1.4</c:v>
                </c:pt>
                <c:pt idx="214">
                  <c:v>1.6</c:v>
                </c:pt>
                <c:pt idx="215">
                  <c:v>0.9</c:v>
                </c:pt>
                <c:pt idx="216">
                  <c:v>1.6</c:v>
                </c:pt>
                <c:pt idx="217">
                  <c:v>2.1</c:v>
                </c:pt>
                <c:pt idx="218">
                  <c:v>1.5</c:v>
                </c:pt>
                <c:pt idx="219">
                  <c:v>0.5</c:v>
                </c:pt>
                <c:pt idx="220">
                  <c:v>1.7</c:v>
                </c:pt>
                <c:pt idx="221">
                  <c:v>1.3</c:v>
                </c:pt>
                <c:pt idx="222">
                  <c:v>1.3</c:v>
                </c:pt>
                <c:pt idx="223">
                  <c:v>0.7</c:v>
                </c:pt>
                <c:pt idx="224">
                  <c:v>0.9</c:v>
                </c:pt>
                <c:pt idx="225">
                  <c:v>1.1000000000000001</c:v>
                </c:pt>
                <c:pt idx="226">
                  <c:v>1.9</c:v>
                </c:pt>
                <c:pt idx="227">
                  <c:v>1.7</c:v>
                </c:pt>
                <c:pt idx="228">
                  <c:v>1.4</c:v>
                </c:pt>
                <c:pt idx="229">
                  <c:v>1.3</c:v>
                </c:pt>
                <c:pt idx="230">
                  <c:v>2.1</c:v>
                </c:pt>
                <c:pt idx="231">
                  <c:v>1.6</c:v>
                </c:pt>
                <c:pt idx="232">
                  <c:v>1.9</c:v>
                </c:pt>
                <c:pt idx="233">
                  <c:v>2.4</c:v>
                </c:pt>
                <c:pt idx="234">
                  <c:v>0.6</c:v>
                </c:pt>
                <c:pt idx="235">
                  <c:v>0.7</c:v>
                </c:pt>
                <c:pt idx="236">
                  <c:v>0.8</c:v>
                </c:pt>
                <c:pt idx="237">
                  <c:v>1.4</c:v>
                </c:pt>
                <c:pt idx="238">
                  <c:v>1</c:v>
                </c:pt>
                <c:pt idx="239">
                  <c:v>0.9</c:v>
                </c:pt>
                <c:pt idx="240">
                  <c:v>1.8</c:v>
                </c:pt>
                <c:pt idx="241">
                  <c:v>1.9</c:v>
                </c:pt>
                <c:pt idx="242">
                  <c:v>1.8</c:v>
                </c:pt>
                <c:pt idx="243">
                  <c:v>1.2</c:v>
                </c:pt>
                <c:pt idx="244">
                  <c:v>1.2</c:v>
                </c:pt>
                <c:pt idx="245">
                  <c:v>1.4</c:v>
                </c:pt>
                <c:pt idx="246">
                  <c:v>0.9</c:v>
                </c:pt>
                <c:pt idx="247">
                  <c:v>1.2</c:v>
                </c:pt>
                <c:pt idx="248">
                  <c:v>0</c:v>
                </c:pt>
                <c:pt idx="249">
                  <c:v>1.3</c:v>
                </c:pt>
                <c:pt idx="250">
                  <c:v>1.7</c:v>
                </c:pt>
                <c:pt idx="251">
                  <c:v>1.6</c:v>
                </c:pt>
                <c:pt idx="252">
                  <c:v>1.9</c:v>
                </c:pt>
                <c:pt idx="253">
                  <c:v>1.1000000000000001</c:v>
                </c:pt>
                <c:pt idx="254">
                  <c:v>1.9</c:v>
                </c:pt>
                <c:pt idx="255">
                  <c:v>1.6</c:v>
                </c:pt>
                <c:pt idx="256">
                  <c:v>1.7</c:v>
                </c:pt>
                <c:pt idx="257">
                  <c:v>2.5</c:v>
                </c:pt>
                <c:pt idx="258">
                  <c:v>2.2999999999999998</c:v>
                </c:pt>
                <c:pt idx="259">
                  <c:v>2.2000000000000002</c:v>
                </c:pt>
                <c:pt idx="260">
                  <c:v>1.1000000000000001</c:v>
                </c:pt>
                <c:pt idx="261">
                  <c:v>2.5</c:v>
                </c:pt>
                <c:pt idx="262">
                  <c:v>1.5</c:v>
                </c:pt>
                <c:pt idx="263">
                  <c:v>1.7</c:v>
                </c:pt>
                <c:pt idx="264">
                  <c:v>1</c:v>
                </c:pt>
                <c:pt idx="265">
                  <c:v>1.2</c:v>
                </c:pt>
                <c:pt idx="266">
                  <c:v>2.2000000000000002</c:v>
                </c:pt>
                <c:pt idx="267">
                  <c:v>0.9</c:v>
                </c:pt>
                <c:pt idx="268">
                  <c:v>1.3</c:v>
                </c:pt>
                <c:pt idx="269">
                  <c:v>1.7</c:v>
                </c:pt>
                <c:pt idx="270">
                  <c:v>1.4</c:v>
                </c:pt>
                <c:pt idx="271">
                  <c:v>0.8</c:v>
                </c:pt>
                <c:pt idx="272">
                  <c:v>1.4</c:v>
                </c:pt>
                <c:pt idx="273">
                  <c:v>1.3</c:v>
                </c:pt>
                <c:pt idx="274">
                  <c:v>2.4</c:v>
                </c:pt>
                <c:pt idx="275">
                  <c:v>1.8</c:v>
                </c:pt>
                <c:pt idx="276">
                  <c:v>0.6</c:v>
                </c:pt>
                <c:pt idx="277">
                  <c:v>1.2</c:v>
                </c:pt>
                <c:pt idx="278">
                  <c:v>1.5</c:v>
                </c:pt>
                <c:pt idx="279">
                  <c:v>1.5</c:v>
                </c:pt>
                <c:pt idx="280">
                  <c:v>2.2999999999999998</c:v>
                </c:pt>
                <c:pt idx="281">
                  <c:v>2.5</c:v>
                </c:pt>
                <c:pt idx="282">
                  <c:v>1.3</c:v>
                </c:pt>
                <c:pt idx="283">
                  <c:v>0.7</c:v>
                </c:pt>
                <c:pt idx="284">
                  <c:v>0.4</c:v>
                </c:pt>
                <c:pt idx="285">
                  <c:v>0.8</c:v>
                </c:pt>
                <c:pt idx="286">
                  <c:v>1.1000000000000001</c:v>
                </c:pt>
                <c:pt idx="287">
                  <c:v>1.2</c:v>
                </c:pt>
                <c:pt idx="288">
                  <c:v>1.5</c:v>
                </c:pt>
                <c:pt idx="289">
                  <c:v>1.8</c:v>
                </c:pt>
                <c:pt idx="290">
                  <c:v>1.7</c:v>
                </c:pt>
                <c:pt idx="291">
                  <c:v>1</c:v>
                </c:pt>
                <c:pt idx="292">
                  <c:v>2.1</c:v>
                </c:pt>
                <c:pt idx="293">
                  <c:v>1.8</c:v>
                </c:pt>
                <c:pt idx="294">
                  <c:v>1.8</c:v>
                </c:pt>
                <c:pt idx="295">
                  <c:v>2.5</c:v>
                </c:pt>
                <c:pt idx="296">
                  <c:v>2.4</c:v>
                </c:pt>
                <c:pt idx="297">
                  <c:v>1.6</c:v>
                </c:pt>
                <c:pt idx="298">
                  <c:v>1.4</c:v>
                </c:pt>
                <c:pt idx="299">
                  <c:v>1.3</c:v>
                </c:pt>
                <c:pt idx="300">
                  <c:v>2.7</c:v>
                </c:pt>
                <c:pt idx="301">
                  <c:v>1.6</c:v>
                </c:pt>
                <c:pt idx="302">
                  <c:v>1.7</c:v>
                </c:pt>
                <c:pt idx="303">
                  <c:v>3</c:v>
                </c:pt>
                <c:pt idx="304">
                  <c:v>2.2999999999999998</c:v>
                </c:pt>
                <c:pt idx="305">
                  <c:v>2</c:v>
                </c:pt>
                <c:pt idx="306">
                  <c:v>1.6</c:v>
                </c:pt>
                <c:pt idx="307">
                  <c:v>1.6</c:v>
                </c:pt>
                <c:pt idx="308">
                  <c:v>1.4</c:v>
                </c:pt>
                <c:pt idx="309">
                  <c:v>1.7</c:v>
                </c:pt>
                <c:pt idx="310">
                  <c:v>2.2000000000000002</c:v>
                </c:pt>
                <c:pt idx="311">
                  <c:v>2.4</c:v>
                </c:pt>
                <c:pt idx="312">
                  <c:v>1.2</c:v>
                </c:pt>
                <c:pt idx="313">
                  <c:v>3</c:v>
                </c:pt>
                <c:pt idx="314">
                  <c:v>1.5</c:v>
                </c:pt>
                <c:pt idx="315">
                  <c:v>1.5</c:v>
                </c:pt>
                <c:pt idx="316">
                  <c:v>1.7</c:v>
                </c:pt>
                <c:pt idx="317">
                  <c:v>2.2999999999999998</c:v>
                </c:pt>
                <c:pt idx="318">
                  <c:v>1.7</c:v>
                </c:pt>
                <c:pt idx="319">
                  <c:v>1.6</c:v>
                </c:pt>
                <c:pt idx="320">
                  <c:v>1</c:v>
                </c:pt>
                <c:pt idx="321">
                  <c:v>1.4</c:v>
                </c:pt>
                <c:pt idx="322">
                  <c:v>1.6</c:v>
                </c:pt>
                <c:pt idx="323">
                  <c:v>0.9</c:v>
                </c:pt>
                <c:pt idx="324">
                  <c:v>1.6</c:v>
                </c:pt>
                <c:pt idx="325">
                  <c:v>1.2</c:v>
                </c:pt>
                <c:pt idx="326">
                  <c:v>2.2999999999999998</c:v>
                </c:pt>
                <c:pt idx="327">
                  <c:v>1.1000000000000001</c:v>
                </c:pt>
                <c:pt idx="328">
                  <c:v>1.5</c:v>
                </c:pt>
                <c:pt idx="329">
                  <c:v>1</c:v>
                </c:pt>
                <c:pt idx="330">
                  <c:v>0.5</c:v>
                </c:pt>
                <c:pt idx="331">
                  <c:v>1.3</c:v>
                </c:pt>
                <c:pt idx="332">
                  <c:v>2</c:v>
                </c:pt>
                <c:pt idx="333">
                  <c:v>1.7</c:v>
                </c:pt>
                <c:pt idx="334">
                  <c:v>1.6</c:v>
                </c:pt>
                <c:pt idx="335">
                  <c:v>1.2</c:v>
                </c:pt>
                <c:pt idx="336">
                  <c:v>1.4</c:v>
                </c:pt>
                <c:pt idx="337">
                  <c:v>1.6</c:v>
                </c:pt>
                <c:pt idx="338">
                  <c:v>2</c:v>
                </c:pt>
                <c:pt idx="339">
                  <c:v>1.5</c:v>
                </c:pt>
                <c:pt idx="340">
                  <c:v>2.2999999999999998</c:v>
                </c:pt>
                <c:pt idx="341">
                  <c:v>1.9</c:v>
                </c:pt>
                <c:pt idx="342">
                  <c:v>2.2000000000000002</c:v>
                </c:pt>
                <c:pt idx="343">
                  <c:v>1.4</c:v>
                </c:pt>
                <c:pt idx="344">
                  <c:v>1</c:v>
                </c:pt>
                <c:pt idx="345">
                  <c:v>1.5</c:v>
                </c:pt>
                <c:pt idx="346">
                  <c:v>1.8</c:v>
                </c:pt>
                <c:pt idx="347">
                  <c:v>1.7</c:v>
                </c:pt>
                <c:pt idx="348">
                  <c:v>2.8</c:v>
                </c:pt>
                <c:pt idx="349">
                  <c:v>2.9</c:v>
                </c:pt>
                <c:pt idx="350">
                  <c:v>1.2</c:v>
                </c:pt>
                <c:pt idx="351">
                  <c:v>2.2999999999999998</c:v>
                </c:pt>
                <c:pt idx="352">
                  <c:v>1.7</c:v>
                </c:pt>
                <c:pt idx="353">
                  <c:v>3.2</c:v>
                </c:pt>
                <c:pt idx="354">
                  <c:v>2.7</c:v>
                </c:pt>
                <c:pt idx="355">
                  <c:v>1.8</c:v>
                </c:pt>
                <c:pt idx="356">
                  <c:v>1.7</c:v>
                </c:pt>
                <c:pt idx="357">
                  <c:v>2.2999999999999998</c:v>
                </c:pt>
                <c:pt idx="358">
                  <c:v>2.1</c:v>
                </c:pt>
                <c:pt idx="359">
                  <c:v>1</c:v>
                </c:pt>
                <c:pt idx="360">
                  <c:v>2</c:v>
                </c:pt>
                <c:pt idx="361">
                  <c:v>2.2000000000000002</c:v>
                </c:pt>
                <c:pt idx="362">
                  <c:v>1.4</c:v>
                </c:pt>
                <c:pt idx="363">
                  <c:v>1.1000000000000001</c:v>
                </c:pt>
                <c:pt idx="364">
                  <c:v>1.8</c:v>
                </c:pt>
                <c:pt idx="365">
                  <c:v>1.5</c:v>
                </c:pt>
                <c:pt idx="366">
                  <c:v>2.2999999999999998</c:v>
                </c:pt>
                <c:pt idx="367">
                  <c:v>2.1</c:v>
                </c:pt>
                <c:pt idx="368">
                  <c:v>1.1000000000000001</c:v>
                </c:pt>
                <c:pt idx="369">
                  <c:v>2.2999999999999998</c:v>
                </c:pt>
                <c:pt idx="370">
                  <c:v>1.5</c:v>
                </c:pt>
                <c:pt idx="371">
                  <c:v>0.9</c:v>
                </c:pt>
                <c:pt idx="372">
                  <c:v>1.6</c:v>
                </c:pt>
                <c:pt idx="373">
                  <c:v>1.4</c:v>
                </c:pt>
                <c:pt idx="374">
                  <c:v>1.7</c:v>
                </c:pt>
                <c:pt idx="375">
                  <c:v>2.4</c:v>
                </c:pt>
                <c:pt idx="376">
                  <c:v>0.9</c:v>
                </c:pt>
                <c:pt idx="377">
                  <c:v>2.5</c:v>
                </c:pt>
                <c:pt idx="378">
                  <c:v>2.6</c:v>
                </c:pt>
                <c:pt idx="379">
                  <c:v>2.4</c:v>
                </c:pt>
                <c:pt idx="380">
                  <c:v>2.4</c:v>
                </c:pt>
                <c:pt idx="381">
                  <c:v>1.9</c:v>
                </c:pt>
                <c:pt idx="382">
                  <c:v>2.2999999999999998</c:v>
                </c:pt>
                <c:pt idx="383">
                  <c:v>2.2999999999999998</c:v>
                </c:pt>
                <c:pt idx="384">
                  <c:v>1.2</c:v>
                </c:pt>
                <c:pt idx="385">
                  <c:v>1.5</c:v>
                </c:pt>
                <c:pt idx="386">
                  <c:v>1.8</c:v>
                </c:pt>
                <c:pt idx="387">
                  <c:v>1.6</c:v>
                </c:pt>
                <c:pt idx="388">
                  <c:v>0.9</c:v>
                </c:pt>
                <c:pt idx="389">
                  <c:v>1.6</c:v>
                </c:pt>
                <c:pt idx="390">
                  <c:v>2.1</c:v>
                </c:pt>
                <c:pt idx="391">
                  <c:v>1.8</c:v>
                </c:pt>
                <c:pt idx="392">
                  <c:v>2.8</c:v>
                </c:pt>
                <c:pt idx="393">
                  <c:v>1.7</c:v>
                </c:pt>
                <c:pt idx="394">
                  <c:v>0</c:v>
                </c:pt>
                <c:pt idx="395">
                  <c:v>0</c:v>
                </c:pt>
                <c:pt idx="396">
                  <c:v>0</c:v>
                </c:pt>
                <c:pt idx="397">
                  <c:v>2.4</c:v>
                </c:pt>
                <c:pt idx="398">
                  <c:v>2.2000000000000002</c:v>
                </c:pt>
                <c:pt idx="399">
                  <c:v>1</c:v>
                </c:pt>
                <c:pt idx="400">
                  <c:v>3</c:v>
                </c:pt>
                <c:pt idx="401">
                  <c:v>2.4</c:v>
                </c:pt>
                <c:pt idx="402">
                  <c:v>2.2999999999999998</c:v>
                </c:pt>
                <c:pt idx="403">
                  <c:v>1.8</c:v>
                </c:pt>
                <c:pt idx="404">
                  <c:v>3.3</c:v>
                </c:pt>
                <c:pt idx="405">
                  <c:v>2.8</c:v>
                </c:pt>
                <c:pt idx="406">
                  <c:v>1.7</c:v>
                </c:pt>
                <c:pt idx="407">
                  <c:v>2</c:v>
                </c:pt>
                <c:pt idx="408">
                  <c:v>2.2000000000000002</c:v>
                </c:pt>
                <c:pt idx="409">
                  <c:v>2.2000000000000002</c:v>
                </c:pt>
                <c:pt idx="410">
                  <c:v>1.2</c:v>
                </c:pt>
                <c:pt idx="411">
                  <c:v>2.1</c:v>
                </c:pt>
                <c:pt idx="412">
                  <c:v>0.9</c:v>
                </c:pt>
                <c:pt idx="413">
                  <c:v>1.6</c:v>
                </c:pt>
                <c:pt idx="414">
                  <c:v>1.8</c:v>
                </c:pt>
                <c:pt idx="415">
                  <c:v>2.1</c:v>
                </c:pt>
                <c:pt idx="416">
                  <c:v>1.5</c:v>
                </c:pt>
                <c:pt idx="417">
                  <c:v>2.2999999999999998</c:v>
                </c:pt>
                <c:pt idx="418">
                  <c:v>3</c:v>
                </c:pt>
                <c:pt idx="419">
                  <c:v>3.2</c:v>
                </c:pt>
                <c:pt idx="420">
                  <c:v>1.8</c:v>
                </c:pt>
                <c:pt idx="421">
                  <c:v>1.9</c:v>
                </c:pt>
                <c:pt idx="422">
                  <c:v>2.6</c:v>
                </c:pt>
                <c:pt idx="423">
                  <c:v>1.7</c:v>
                </c:pt>
                <c:pt idx="424">
                  <c:v>2.2000000000000002</c:v>
                </c:pt>
                <c:pt idx="425">
                  <c:v>1.2</c:v>
                </c:pt>
                <c:pt idx="426">
                  <c:v>2.1</c:v>
                </c:pt>
                <c:pt idx="427">
                  <c:v>2.1</c:v>
                </c:pt>
                <c:pt idx="428">
                  <c:v>2.9</c:v>
                </c:pt>
                <c:pt idx="429">
                  <c:v>2.2999999999999998</c:v>
                </c:pt>
                <c:pt idx="430">
                  <c:v>2.2999999999999998</c:v>
                </c:pt>
                <c:pt idx="431">
                  <c:v>2.4</c:v>
                </c:pt>
                <c:pt idx="432">
                  <c:v>2</c:v>
                </c:pt>
                <c:pt idx="433">
                  <c:v>1.6</c:v>
                </c:pt>
                <c:pt idx="434">
                  <c:v>2.4</c:v>
                </c:pt>
                <c:pt idx="435">
                  <c:v>1.6</c:v>
                </c:pt>
                <c:pt idx="436">
                  <c:v>1.9</c:v>
                </c:pt>
                <c:pt idx="437">
                  <c:v>1.7</c:v>
                </c:pt>
                <c:pt idx="438">
                  <c:v>0.9</c:v>
                </c:pt>
                <c:pt idx="439">
                  <c:v>1.5</c:v>
                </c:pt>
                <c:pt idx="440">
                  <c:v>1.6</c:v>
                </c:pt>
                <c:pt idx="441">
                  <c:v>2.8</c:v>
                </c:pt>
                <c:pt idx="442">
                  <c:v>2.5</c:v>
                </c:pt>
                <c:pt idx="443">
                  <c:v>1.7</c:v>
                </c:pt>
                <c:pt idx="444">
                  <c:v>2.8</c:v>
                </c:pt>
                <c:pt idx="445">
                  <c:v>2.5</c:v>
                </c:pt>
                <c:pt idx="446">
                  <c:v>2</c:v>
                </c:pt>
                <c:pt idx="447">
                  <c:v>2.1</c:v>
                </c:pt>
                <c:pt idx="448">
                  <c:v>1.5</c:v>
                </c:pt>
                <c:pt idx="449">
                  <c:v>2.2000000000000002</c:v>
                </c:pt>
                <c:pt idx="450">
                  <c:v>2</c:v>
                </c:pt>
                <c:pt idx="451">
                  <c:v>3.1</c:v>
                </c:pt>
                <c:pt idx="452">
                  <c:v>2.9</c:v>
                </c:pt>
                <c:pt idx="453">
                  <c:v>2</c:v>
                </c:pt>
                <c:pt idx="454">
                  <c:v>2.2000000000000002</c:v>
                </c:pt>
                <c:pt idx="455">
                  <c:v>2.6</c:v>
                </c:pt>
                <c:pt idx="456">
                  <c:v>2.6</c:v>
                </c:pt>
                <c:pt idx="457">
                  <c:v>2.2000000000000002</c:v>
                </c:pt>
                <c:pt idx="458">
                  <c:v>2.4</c:v>
                </c:pt>
                <c:pt idx="459">
                  <c:v>2.8</c:v>
                </c:pt>
                <c:pt idx="460">
                  <c:v>2.2000000000000002</c:v>
                </c:pt>
                <c:pt idx="461">
                  <c:v>2.5</c:v>
                </c:pt>
                <c:pt idx="462">
                  <c:v>2</c:v>
                </c:pt>
                <c:pt idx="463">
                  <c:v>1.7</c:v>
                </c:pt>
                <c:pt idx="464">
                  <c:v>1.8</c:v>
                </c:pt>
                <c:pt idx="465">
                  <c:v>2.2000000000000002</c:v>
                </c:pt>
                <c:pt idx="466">
                  <c:v>2.4</c:v>
                </c:pt>
                <c:pt idx="467">
                  <c:v>2.6</c:v>
                </c:pt>
                <c:pt idx="468">
                  <c:v>2.7</c:v>
                </c:pt>
                <c:pt idx="469">
                  <c:v>2.4</c:v>
                </c:pt>
                <c:pt idx="470">
                  <c:v>1.3</c:v>
                </c:pt>
                <c:pt idx="471">
                  <c:v>3</c:v>
                </c:pt>
                <c:pt idx="472">
                  <c:v>2.1</c:v>
                </c:pt>
                <c:pt idx="473">
                  <c:v>1.5</c:v>
                </c:pt>
                <c:pt idx="474">
                  <c:v>2.7</c:v>
                </c:pt>
                <c:pt idx="475">
                  <c:v>2.4</c:v>
                </c:pt>
                <c:pt idx="476">
                  <c:v>2.8</c:v>
                </c:pt>
                <c:pt idx="477">
                  <c:v>3.2</c:v>
                </c:pt>
                <c:pt idx="478">
                  <c:v>2.5</c:v>
                </c:pt>
                <c:pt idx="479">
                  <c:v>2.2999999999999998</c:v>
                </c:pt>
                <c:pt idx="480">
                  <c:v>1.8</c:v>
                </c:pt>
                <c:pt idx="481">
                  <c:v>3</c:v>
                </c:pt>
                <c:pt idx="482">
                  <c:v>2.2000000000000002</c:v>
                </c:pt>
                <c:pt idx="483">
                  <c:v>2.5</c:v>
                </c:pt>
                <c:pt idx="484">
                  <c:v>1.7</c:v>
                </c:pt>
                <c:pt idx="485">
                  <c:v>2.5</c:v>
                </c:pt>
                <c:pt idx="486">
                  <c:v>1.5</c:v>
                </c:pt>
                <c:pt idx="487">
                  <c:v>2.7</c:v>
                </c:pt>
                <c:pt idx="488">
                  <c:v>1.5</c:v>
                </c:pt>
                <c:pt idx="489">
                  <c:v>1.9</c:v>
                </c:pt>
                <c:pt idx="490">
                  <c:v>1.7</c:v>
                </c:pt>
                <c:pt idx="491">
                  <c:v>2.2999999999999998</c:v>
                </c:pt>
                <c:pt idx="492">
                  <c:v>1.6</c:v>
                </c:pt>
                <c:pt idx="493">
                  <c:v>2.2999999999999998</c:v>
                </c:pt>
                <c:pt idx="494">
                  <c:v>1.9</c:v>
                </c:pt>
                <c:pt idx="495">
                  <c:v>2.4</c:v>
                </c:pt>
                <c:pt idx="496">
                  <c:v>1.8</c:v>
                </c:pt>
                <c:pt idx="497">
                  <c:v>2.4</c:v>
                </c:pt>
                <c:pt idx="498">
                  <c:v>1.9</c:v>
                </c:pt>
                <c:pt idx="499">
                  <c:v>2.5</c:v>
                </c:pt>
                <c:pt idx="500">
                  <c:v>1.3</c:v>
                </c:pt>
                <c:pt idx="501">
                  <c:v>1.8</c:v>
                </c:pt>
                <c:pt idx="502">
                  <c:v>1.7</c:v>
                </c:pt>
                <c:pt idx="503">
                  <c:v>1.8</c:v>
                </c:pt>
                <c:pt idx="504">
                  <c:v>1.4</c:v>
                </c:pt>
                <c:pt idx="505">
                  <c:v>2.2000000000000002</c:v>
                </c:pt>
                <c:pt idx="506">
                  <c:v>1.6</c:v>
                </c:pt>
                <c:pt idx="507">
                  <c:v>2.4</c:v>
                </c:pt>
                <c:pt idx="508">
                  <c:v>2.4</c:v>
                </c:pt>
                <c:pt idx="509">
                  <c:v>3</c:v>
                </c:pt>
                <c:pt idx="510">
                  <c:v>2.2999999999999998</c:v>
                </c:pt>
                <c:pt idx="511">
                  <c:v>1.5</c:v>
                </c:pt>
                <c:pt idx="512">
                  <c:v>2</c:v>
                </c:pt>
                <c:pt idx="513">
                  <c:v>2.1</c:v>
                </c:pt>
                <c:pt idx="514">
                  <c:v>1.5</c:v>
                </c:pt>
                <c:pt idx="515">
                  <c:v>2.9</c:v>
                </c:pt>
                <c:pt idx="516">
                  <c:v>2.2999999999999998</c:v>
                </c:pt>
                <c:pt idx="517">
                  <c:v>3.3</c:v>
                </c:pt>
                <c:pt idx="518">
                  <c:v>2.2999999999999998</c:v>
                </c:pt>
                <c:pt idx="519">
                  <c:v>2</c:v>
                </c:pt>
                <c:pt idx="520">
                  <c:v>1.1000000000000001</c:v>
                </c:pt>
                <c:pt idx="521">
                  <c:v>2.1</c:v>
                </c:pt>
                <c:pt idx="522">
                  <c:v>1.7</c:v>
                </c:pt>
                <c:pt idx="523">
                  <c:v>1.4</c:v>
                </c:pt>
                <c:pt idx="524">
                  <c:v>2.1</c:v>
                </c:pt>
                <c:pt idx="525">
                  <c:v>1.7</c:v>
                </c:pt>
                <c:pt idx="526">
                  <c:v>2</c:v>
                </c:pt>
                <c:pt idx="527">
                  <c:v>2</c:v>
                </c:pt>
                <c:pt idx="528">
                  <c:v>2.2999999999999998</c:v>
                </c:pt>
                <c:pt idx="529">
                  <c:v>1.9</c:v>
                </c:pt>
                <c:pt idx="530">
                  <c:v>2.2999999999999998</c:v>
                </c:pt>
                <c:pt idx="531">
                  <c:v>1.7</c:v>
                </c:pt>
                <c:pt idx="532">
                  <c:v>2.8</c:v>
                </c:pt>
                <c:pt idx="533">
                  <c:v>1.4</c:v>
                </c:pt>
                <c:pt idx="534">
                  <c:v>2.5</c:v>
                </c:pt>
                <c:pt idx="535">
                  <c:v>3.3</c:v>
                </c:pt>
                <c:pt idx="536">
                  <c:v>2.1</c:v>
                </c:pt>
                <c:pt idx="537">
                  <c:v>1.9</c:v>
                </c:pt>
                <c:pt idx="538">
                  <c:v>2</c:v>
                </c:pt>
                <c:pt idx="539">
                  <c:v>2.4</c:v>
                </c:pt>
                <c:pt idx="540">
                  <c:v>2.6</c:v>
                </c:pt>
                <c:pt idx="541">
                  <c:v>2.4</c:v>
                </c:pt>
                <c:pt idx="542">
                  <c:v>2.5</c:v>
                </c:pt>
                <c:pt idx="543">
                  <c:v>2.8</c:v>
                </c:pt>
                <c:pt idx="544">
                  <c:v>3.5</c:v>
                </c:pt>
                <c:pt idx="545">
                  <c:v>2.4</c:v>
                </c:pt>
                <c:pt idx="546">
                  <c:v>2.2000000000000002</c:v>
                </c:pt>
                <c:pt idx="547">
                  <c:v>2.8</c:v>
                </c:pt>
                <c:pt idx="548">
                  <c:v>3.5</c:v>
                </c:pt>
                <c:pt idx="549">
                  <c:v>1.9</c:v>
                </c:pt>
                <c:pt idx="550">
                  <c:v>1.7</c:v>
                </c:pt>
                <c:pt idx="551">
                  <c:v>1.8</c:v>
                </c:pt>
                <c:pt idx="552">
                  <c:v>2.2000000000000002</c:v>
                </c:pt>
                <c:pt idx="553">
                  <c:v>1.9</c:v>
                </c:pt>
                <c:pt idx="554">
                  <c:v>2.6</c:v>
                </c:pt>
                <c:pt idx="555">
                  <c:v>2.2999999999999998</c:v>
                </c:pt>
                <c:pt idx="556">
                  <c:v>2.2999999999999998</c:v>
                </c:pt>
                <c:pt idx="557">
                  <c:v>1.7</c:v>
                </c:pt>
                <c:pt idx="558">
                  <c:v>2.1</c:v>
                </c:pt>
                <c:pt idx="559">
                  <c:v>0.9</c:v>
                </c:pt>
                <c:pt idx="560">
                  <c:v>1.9</c:v>
                </c:pt>
                <c:pt idx="561">
                  <c:v>2.1</c:v>
                </c:pt>
                <c:pt idx="562">
                  <c:v>1.9</c:v>
                </c:pt>
                <c:pt idx="563">
                  <c:v>2.5</c:v>
                </c:pt>
                <c:pt idx="564">
                  <c:v>2.7</c:v>
                </c:pt>
                <c:pt idx="565">
                  <c:v>2.1</c:v>
                </c:pt>
                <c:pt idx="566">
                  <c:v>2.2000000000000002</c:v>
                </c:pt>
                <c:pt idx="567">
                  <c:v>2.2000000000000002</c:v>
                </c:pt>
                <c:pt idx="568">
                  <c:v>2.2999999999999998</c:v>
                </c:pt>
              </c:numCache>
            </c:numRef>
          </c:xVal>
          <c:yVal>
            <c:numRef>
              <c:f>'Cleaned Data'!$F$2:$F$570</c:f>
              <c:numCache>
                <c:formatCode>General</c:formatCode>
                <c:ptCount val="569"/>
                <c:pt idx="0">
                  <c:v>0</c:v>
                </c:pt>
                <c:pt idx="1">
                  <c:v>0</c:v>
                </c:pt>
                <c:pt idx="2">
                  <c:v>0</c:v>
                </c:pt>
                <c:pt idx="3">
                  <c:v>0</c:v>
                </c:pt>
                <c:pt idx="4">
                  <c:v>0</c:v>
                </c:pt>
                <c:pt idx="5">
                  <c:v>0</c:v>
                </c:pt>
                <c:pt idx="6">
                  <c:v>0</c:v>
                </c:pt>
                <c:pt idx="7">
                  <c:v>0</c:v>
                </c:pt>
                <c:pt idx="8">
                  <c:v>-0.1</c:v>
                </c:pt>
                <c:pt idx="9">
                  <c:v>-0.1</c:v>
                </c:pt>
                <c:pt idx="10">
                  <c:v>-0.1</c:v>
                </c:pt>
                <c:pt idx="11">
                  <c:v>0</c:v>
                </c:pt>
                <c:pt idx="12">
                  <c:v>0</c:v>
                </c:pt>
                <c:pt idx="13">
                  <c:v>0</c:v>
                </c:pt>
                <c:pt idx="14">
                  <c:v>0</c:v>
                </c:pt>
                <c:pt idx="15">
                  <c:v>-0.2</c:v>
                </c:pt>
                <c:pt idx="16">
                  <c:v>0</c:v>
                </c:pt>
                <c:pt idx="17">
                  <c:v>0</c:v>
                </c:pt>
                <c:pt idx="18">
                  <c:v>0</c:v>
                </c:pt>
                <c:pt idx="19">
                  <c:v>0</c:v>
                </c:pt>
                <c:pt idx="20">
                  <c:v>0</c:v>
                </c:pt>
                <c:pt idx="21">
                  <c:v>0</c:v>
                </c:pt>
                <c:pt idx="22">
                  <c:v>-0.1</c:v>
                </c:pt>
                <c:pt idx="23">
                  <c:v>0</c:v>
                </c:pt>
                <c:pt idx="24">
                  <c:v>-0.1</c:v>
                </c:pt>
                <c:pt idx="25">
                  <c:v>-0.1</c:v>
                </c:pt>
                <c:pt idx="26">
                  <c:v>-0.1</c:v>
                </c:pt>
                <c:pt idx="27">
                  <c:v>-0.1</c:v>
                </c:pt>
                <c:pt idx="28">
                  <c:v>-0.4</c:v>
                </c:pt>
                <c:pt idx="29">
                  <c:v>-0.4</c:v>
                </c:pt>
                <c:pt idx="30">
                  <c:v>-0.1</c:v>
                </c:pt>
                <c:pt idx="31">
                  <c:v>-0.2</c:v>
                </c:pt>
                <c:pt idx="32">
                  <c:v>0</c:v>
                </c:pt>
                <c:pt idx="33">
                  <c:v>-0.1</c:v>
                </c:pt>
                <c:pt idx="34">
                  <c:v>0.1</c:v>
                </c:pt>
                <c:pt idx="35">
                  <c:v>-0.2</c:v>
                </c:pt>
                <c:pt idx="36">
                  <c:v>0.5</c:v>
                </c:pt>
                <c:pt idx="37">
                  <c:v>-0.1</c:v>
                </c:pt>
                <c:pt idx="38">
                  <c:v>0</c:v>
                </c:pt>
                <c:pt idx="39">
                  <c:v>-0.2</c:v>
                </c:pt>
                <c:pt idx="40">
                  <c:v>-0.2</c:v>
                </c:pt>
                <c:pt idx="41">
                  <c:v>-0.2</c:v>
                </c:pt>
                <c:pt idx="42">
                  <c:v>0</c:v>
                </c:pt>
                <c:pt idx="43">
                  <c:v>1.1000000000000001</c:v>
                </c:pt>
                <c:pt idx="44">
                  <c:v>0</c:v>
                </c:pt>
                <c:pt idx="45">
                  <c:v>-0.2</c:v>
                </c:pt>
                <c:pt idx="46">
                  <c:v>-0.2</c:v>
                </c:pt>
                <c:pt idx="47">
                  <c:v>0.1</c:v>
                </c:pt>
                <c:pt idx="48">
                  <c:v>0</c:v>
                </c:pt>
                <c:pt idx="49">
                  <c:v>-0.1</c:v>
                </c:pt>
                <c:pt idx="50">
                  <c:v>1</c:v>
                </c:pt>
                <c:pt idx="51">
                  <c:v>0</c:v>
                </c:pt>
                <c:pt idx="52">
                  <c:v>0</c:v>
                </c:pt>
                <c:pt idx="53">
                  <c:v>0</c:v>
                </c:pt>
                <c:pt idx="54">
                  <c:v>0</c:v>
                </c:pt>
                <c:pt idx="55">
                  <c:v>-0.1</c:v>
                </c:pt>
                <c:pt idx="56">
                  <c:v>-0.1</c:v>
                </c:pt>
                <c:pt idx="57">
                  <c:v>-0.1</c:v>
                </c:pt>
                <c:pt idx="58">
                  <c:v>0</c:v>
                </c:pt>
                <c:pt idx="59">
                  <c:v>0</c:v>
                </c:pt>
                <c:pt idx="60">
                  <c:v>-0.1</c:v>
                </c:pt>
                <c:pt idx="61">
                  <c:v>0</c:v>
                </c:pt>
                <c:pt idx="62">
                  <c:v>-0.1</c:v>
                </c:pt>
                <c:pt idx="63">
                  <c:v>0</c:v>
                </c:pt>
                <c:pt idx="64">
                  <c:v>0</c:v>
                </c:pt>
                <c:pt idx="65">
                  <c:v>0</c:v>
                </c:pt>
                <c:pt idx="66">
                  <c:v>0.1</c:v>
                </c:pt>
                <c:pt idx="67">
                  <c:v>-0.8</c:v>
                </c:pt>
                <c:pt idx="68">
                  <c:v>-0.1</c:v>
                </c:pt>
                <c:pt idx="69">
                  <c:v>1</c:v>
                </c:pt>
                <c:pt idx="70">
                  <c:v>-0.2</c:v>
                </c:pt>
                <c:pt idx="71">
                  <c:v>0.1</c:v>
                </c:pt>
                <c:pt idx="72">
                  <c:v>0.1</c:v>
                </c:pt>
                <c:pt idx="73">
                  <c:v>-0.3</c:v>
                </c:pt>
                <c:pt idx="74">
                  <c:v>1.2</c:v>
                </c:pt>
                <c:pt idx="75">
                  <c:v>-0.6</c:v>
                </c:pt>
                <c:pt idx="76">
                  <c:v>0</c:v>
                </c:pt>
                <c:pt idx="77">
                  <c:v>0.1</c:v>
                </c:pt>
                <c:pt idx="78">
                  <c:v>-0.1</c:v>
                </c:pt>
                <c:pt idx="79">
                  <c:v>-0.1</c:v>
                </c:pt>
                <c:pt idx="80">
                  <c:v>0</c:v>
                </c:pt>
                <c:pt idx="81">
                  <c:v>-0.1</c:v>
                </c:pt>
                <c:pt idx="82">
                  <c:v>0.8</c:v>
                </c:pt>
                <c:pt idx="83">
                  <c:v>-0.1</c:v>
                </c:pt>
                <c:pt idx="84">
                  <c:v>0.2</c:v>
                </c:pt>
                <c:pt idx="85">
                  <c:v>0</c:v>
                </c:pt>
                <c:pt idx="86">
                  <c:v>0.3</c:v>
                </c:pt>
                <c:pt idx="87">
                  <c:v>-0.1</c:v>
                </c:pt>
                <c:pt idx="88">
                  <c:v>-0.1</c:v>
                </c:pt>
                <c:pt idx="89">
                  <c:v>-0.1</c:v>
                </c:pt>
                <c:pt idx="90">
                  <c:v>-0.6</c:v>
                </c:pt>
                <c:pt idx="91">
                  <c:v>-0.1</c:v>
                </c:pt>
                <c:pt idx="92">
                  <c:v>0</c:v>
                </c:pt>
                <c:pt idx="93">
                  <c:v>0</c:v>
                </c:pt>
                <c:pt idx="94">
                  <c:v>-0.2</c:v>
                </c:pt>
                <c:pt idx="95">
                  <c:v>0.1</c:v>
                </c:pt>
                <c:pt idx="96">
                  <c:v>-0.1</c:v>
                </c:pt>
                <c:pt idx="97">
                  <c:v>-0.1</c:v>
                </c:pt>
                <c:pt idx="98">
                  <c:v>-0.3</c:v>
                </c:pt>
                <c:pt idx="99">
                  <c:v>-0.1</c:v>
                </c:pt>
                <c:pt idx="100">
                  <c:v>0</c:v>
                </c:pt>
                <c:pt idx="101">
                  <c:v>-0.2</c:v>
                </c:pt>
                <c:pt idx="102">
                  <c:v>-0.2</c:v>
                </c:pt>
                <c:pt idx="103">
                  <c:v>-0.2</c:v>
                </c:pt>
                <c:pt idx="104">
                  <c:v>0.2</c:v>
                </c:pt>
                <c:pt idx="105">
                  <c:v>0</c:v>
                </c:pt>
                <c:pt idx="106">
                  <c:v>0.1</c:v>
                </c:pt>
                <c:pt idx="107">
                  <c:v>-0.1</c:v>
                </c:pt>
                <c:pt idx="108">
                  <c:v>0.1</c:v>
                </c:pt>
                <c:pt idx="109">
                  <c:v>0</c:v>
                </c:pt>
                <c:pt idx="110">
                  <c:v>-0.1</c:v>
                </c:pt>
                <c:pt idx="111">
                  <c:v>-0.1</c:v>
                </c:pt>
                <c:pt idx="112">
                  <c:v>0.7</c:v>
                </c:pt>
                <c:pt idx="113">
                  <c:v>-0.3</c:v>
                </c:pt>
                <c:pt idx="114">
                  <c:v>0.1</c:v>
                </c:pt>
                <c:pt idx="115">
                  <c:v>0.1</c:v>
                </c:pt>
                <c:pt idx="116">
                  <c:v>-0.3</c:v>
                </c:pt>
                <c:pt idx="117">
                  <c:v>-0.2</c:v>
                </c:pt>
                <c:pt idx="118">
                  <c:v>-0.2</c:v>
                </c:pt>
                <c:pt idx="119">
                  <c:v>-0.3</c:v>
                </c:pt>
                <c:pt idx="120">
                  <c:v>0.2</c:v>
                </c:pt>
                <c:pt idx="121">
                  <c:v>0</c:v>
                </c:pt>
                <c:pt idx="122">
                  <c:v>0</c:v>
                </c:pt>
                <c:pt idx="123">
                  <c:v>-0.1</c:v>
                </c:pt>
                <c:pt idx="124">
                  <c:v>-0.2</c:v>
                </c:pt>
                <c:pt idx="125">
                  <c:v>-0.3</c:v>
                </c:pt>
                <c:pt idx="126">
                  <c:v>0.1</c:v>
                </c:pt>
                <c:pt idx="127">
                  <c:v>-0.7</c:v>
                </c:pt>
                <c:pt idx="128">
                  <c:v>0.4</c:v>
                </c:pt>
                <c:pt idx="129">
                  <c:v>1.5</c:v>
                </c:pt>
                <c:pt idx="130">
                  <c:v>0</c:v>
                </c:pt>
                <c:pt idx="131">
                  <c:v>-0.1</c:v>
                </c:pt>
                <c:pt idx="132">
                  <c:v>0.2</c:v>
                </c:pt>
                <c:pt idx="133">
                  <c:v>-0.1</c:v>
                </c:pt>
                <c:pt idx="134">
                  <c:v>0</c:v>
                </c:pt>
                <c:pt idx="135">
                  <c:v>-0.3</c:v>
                </c:pt>
                <c:pt idx="136">
                  <c:v>1.2</c:v>
                </c:pt>
                <c:pt idx="137">
                  <c:v>0</c:v>
                </c:pt>
                <c:pt idx="138">
                  <c:v>0.1</c:v>
                </c:pt>
                <c:pt idx="139">
                  <c:v>-0.3</c:v>
                </c:pt>
                <c:pt idx="140">
                  <c:v>0.4</c:v>
                </c:pt>
                <c:pt idx="141">
                  <c:v>-0.4</c:v>
                </c:pt>
                <c:pt idx="142">
                  <c:v>-0.1</c:v>
                </c:pt>
                <c:pt idx="143">
                  <c:v>-0.1</c:v>
                </c:pt>
                <c:pt idx="144">
                  <c:v>0.1</c:v>
                </c:pt>
                <c:pt idx="145">
                  <c:v>0.1</c:v>
                </c:pt>
                <c:pt idx="146">
                  <c:v>0.4</c:v>
                </c:pt>
                <c:pt idx="147">
                  <c:v>-0.1</c:v>
                </c:pt>
                <c:pt idx="148">
                  <c:v>0.1</c:v>
                </c:pt>
                <c:pt idx="149">
                  <c:v>1.3</c:v>
                </c:pt>
                <c:pt idx="150">
                  <c:v>1.2</c:v>
                </c:pt>
                <c:pt idx="151">
                  <c:v>0.7</c:v>
                </c:pt>
                <c:pt idx="152">
                  <c:v>-0.7</c:v>
                </c:pt>
                <c:pt idx="153">
                  <c:v>-0.3</c:v>
                </c:pt>
                <c:pt idx="154">
                  <c:v>0.8</c:v>
                </c:pt>
                <c:pt idx="155">
                  <c:v>0.4</c:v>
                </c:pt>
                <c:pt idx="156">
                  <c:v>0</c:v>
                </c:pt>
                <c:pt idx="157">
                  <c:v>0</c:v>
                </c:pt>
                <c:pt idx="158">
                  <c:v>-0.1</c:v>
                </c:pt>
                <c:pt idx="159">
                  <c:v>0</c:v>
                </c:pt>
                <c:pt idx="160">
                  <c:v>-0.1</c:v>
                </c:pt>
                <c:pt idx="161">
                  <c:v>0.3</c:v>
                </c:pt>
                <c:pt idx="162">
                  <c:v>1.1000000000000001</c:v>
                </c:pt>
                <c:pt idx="163">
                  <c:v>0.5</c:v>
                </c:pt>
                <c:pt idx="164">
                  <c:v>0.5</c:v>
                </c:pt>
                <c:pt idx="165">
                  <c:v>-0.1</c:v>
                </c:pt>
                <c:pt idx="166">
                  <c:v>0.2</c:v>
                </c:pt>
                <c:pt idx="167">
                  <c:v>0.1</c:v>
                </c:pt>
                <c:pt idx="168">
                  <c:v>0.3</c:v>
                </c:pt>
                <c:pt idx="169">
                  <c:v>0</c:v>
                </c:pt>
                <c:pt idx="170">
                  <c:v>-0.1</c:v>
                </c:pt>
                <c:pt idx="171">
                  <c:v>0</c:v>
                </c:pt>
                <c:pt idx="172">
                  <c:v>1.1000000000000001</c:v>
                </c:pt>
                <c:pt idx="173">
                  <c:v>-0.1</c:v>
                </c:pt>
                <c:pt idx="174">
                  <c:v>-0.1</c:v>
                </c:pt>
                <c:pt idx="175">
                  <c:v>0</c:v>
                </c:pt>
                <c:pt idx="176">
                  <c:v>0.3</c:v>
                </c:pt>
                <c:pt idx="177">
                  <c:v>0.2</c:v>
                </c:pt>
                <c:pt idx="178">
                  <c:v>-0.1</c:v>
                </c:pt>
                <c:pt idx="179">
                  <c:v>0.2</c:v>
                </c:pt>
                <c:pt idx="180">
                  <c:v>-0.1</c:v>
                </c:pt>
                <c:pt idx="181">
                  <c:v>0.1</c:v>
                </c:pt>
                <c:pt idx="182">
                  <c:v>0.4</c:v>
                </c:pt>
                <c:pt idx="183">
                  <c:v>-0.1</c:v>
                </c:pt>
                <c:pt idx="184">
                  <c:v>0.8</c:v>
                </c:pt>
                <c:pt idx="185">
                  <c:v>0.1</c:v>
                </c:pt>
                <c:pt idx="186">
                  <c:v>1.4</c:v>
                </c:pt>
                <c:pt idx="187">
                  <c:v>-0.2</c:v>
                </c:pt>
                <c:pt idx="188">
                  <c:v>0.1</c:v>
                </c:pt>
                <c:pt idx="189">
                  <c:v>0.1</c:v>
                </c:pt>
                <c:pt idx="190">
                  <c:v>0.4</c:v>
                </c:pt>
                <c:pt idx="191">
                  <c:v>-0.3</c:v>
                </c:pt>
                <c:pt idx="192">
                  <c:v>0</c:v>
                </c:pt>
                <c:pt idx="193">
                  <c:v>-1.4</c:v>
                </c:pt>
                <c:pt idx="194">
                  <c:v>-0.1</c:v>
                </c:pt>
                <c:pt idx="195">
                  <c:v>0.6</c:v>
                </c:pt>
                <c:pt idx="196">
                  <c:v>0.5</c:v>
                </c:pt>
                <c:pt idx="197">
                  <c:v>0.3</c:v>
                </c:pt>
                <c:pt idx="198">
                  <c:v>-0.2</c:v>
                </c:pt>
                <c:pt idx="199">
                  <c:v>-0.2</c:v>
                </c:pt>
                <c:pt idx="200">
                  <c:v>0.5</c:v>
                </c:pt>
                <c:pt idx="201">
                  <c:v>-0.2</c:v>
                </c:pt>
                <c:pt idx="202">
                  <c:v>0.1</c:v>
                </c:pt>
                <c:pt idx="203">
                  <c:v>0.5</c:v>
                </c:pt>
                <c:pt idx="204">
                  <c:v>-1.3</c:v>
                </c:pt>
                <c:pt idx="205">
                  <c:v>0.1</c:v>
                </c:pt>
                <c:pt idx="206">
                  <c:v>-0.1</c:v>
                </c:pt>
                <c:pt idx="207">
                  <c:v>-0.2</c:v>
                </c:pt>
                <c:pt idx="208">
                  <c:v>1.1000000000000001</c:v>
                </c:pt>
                <c:pt idx="209">
                  <c:v>0.2</c:v>
                </c:pt>
                <c:pt idx="210">
                  <c:v>0</c:v>
                </c:pt>
                <c:pt idx="211">
                  <c:v>-0.5</c:v>
                </c:pt>
                <c:pt idx="212">
                  <c:v>0</c:v>
                </c:pt>
                <c:pt idx="213">
                  <c:v>-0.1</c:v>
                </c:pt>
                <c:pt idx="214">
                  <c:v>0.2</c:v>
                </c:pt>
                <c:pt idx="215">
                  <c:v>-0.1</c:v>
                </c:pt>
                <c:pt idx="216">
                  <c:v>-0.5</c:v>
                </c:pt>
                <c:pt idx="217">
                  <c:v>0.3</c:v>
                </c:pt>
                <c:pt idx="218">
                  <c:v>0.3</c:v>
                </c:pt>
                <c:pt idx="219">
                  <c:v>0</c:v>
                </c:pt>
                <c:pt idx="220">
                  <c:v>0.5</c:v>
                </c:pt>
                <c:pt idx="221">
                  <c:v>0</c:v>
                </c:pt>
                <c:pt idx="222">
                  <c:v>0.3</c:v>
                </c:pt>
                <c:pt idx="223">
                  <c:v>-0.1</c:v>
                </c:pt>
                <c:pt idx="224">
                  <c:v>1.2</c:v>
                </c:pt>
                <c:pt idx="225">
                  <c:v>-0.3</c:v>
                </c:pt>
                <c:pt idx="226">
                  <c:v>1.6</c:v>
                </c:pt>
                <c:pt idx="227">
                  <c:v>-0.1</c:v>
                </c:pt>
                <c:pt idx="228">
                  <c:v>0.1</c:v>
                </c:pt>
                <c:pt idx="229">
                  <c:v>-0.3</c:v>
                </c:pt>
                <c:pt idx="230">
                  <c:v>-0.8</c:v>
                </c:pt>
                <c:pt idx="231">
                  <c:v>0.4</c:v>
                </c:pt>
                <c:pt idx="232">
                  <c:v>-0.2</c:v>
                </c:pt>
                <c:pt idx="233">
                  <c:v>0.2</c:v>
                </c:pt>
                <c:pt idx="234">
                  <c:v>-0.3</c:v>
                </c:pt>
                <c:pt idx="235">
                  <c:v>0</c:v>
                </c:pt>
                <c:pt idx="236">
                  <c:v>0.5</c:v>
                </c:pt>
                <c:pt idx="237">
                  <c:v>-0.3</c:v>
                </c:pt>
                <c:pt idx="238">
                  <c:v>0.7</c:v>
                </c:pt>
                <c:pt idx="239">
                  <c:v>0.2</c:v>
                </c:pt>
                <c:pt idx="240">
                  <c:v>-0.2</c:v>
                </c:pt>
                <c:pt idx="241">
                  <c:v>0.2</c:v>
                </c:pt>
                <c:pt idx="242">
                  <c:v>1.6</c:v>
                </c:pt>
                <c:pt idx="243">
                  <c:v>0</c:v>
                </c:pt>
                <c:pt idx="244">
                  <c:v>0.6</c:v>
                </c:pt>
                <c:pt idx="245">
                  <c:v>-0.2</c:v>
                </c:pt>
                <c:pt idx="246">
                  <c:v>0.6</c:v>
                </c:pt>
                <c:pt idx="247">
                  <c:v>0.3</c:v>
                </c:pt>
                <c:pt idx="248">
                  <c:v>0</c:v>
                </c:pt>
                <c:pt idx="249">
                  <c:v>-0.2</c:v>
                </c:pt>
                <c:pt idx="250">
                  <c:v>0.3</c:v>
                </c:pt>
                <c:pt idx="251">
                  <c:v>0.3</c:v>
                </c:pt>
                <c:pt idx="252">
                  <c:v>0.1</c:v>
                </c:pt>
                <c:pt idx="253">
                  <c:v>-1</c:v>
                </c:pt>
                <c:pt idx="254">
                  <c:v>0.2</c:v>
                </c:pt>
                <c:pt idx="255">
                  <c:v>-0.1</c:v>
                </c:pt>
                <c:pt idx="256">
                  <c:v>0.8</c:v>
                </c:pt>
                <c:pt idx="257">
                  <c:v>0</c:v>
                </c:pt>
                <c:pt idx="258">
                  <c:v>-1.6</c:v>
                </c:pt>
                <c:pt idx="259">
                  <c:v>-0.5</c:v>
                </c:pt>
                <c:pt idx="260">
                  <c:v>0.5</c:v>
                </c:pt>
                <c:pt idx="261">
                  <c:v>-0.1</c:v>
                </c:pt>
                <c:pt idx="262">
                  <c:v>-0.5</c:v>
                </c:pt>
                <c:pt idx="263">
                  <c:v>0.7</c:v>
                </c:pt>
                <c:pt idx="264">
                  <c:v>1.2</c:v>
                </c:pt>
                <c:pt idx="265">
                  <c:v>0.3</c:v>
                </c:pt>
                <c:pt idx="266">
                  <c:v>1.9</c:v>
                </c:pt>
                <c:pt idx="267">
                  <c:v>-0.2</c:v>
                </c:pt>
                <c:pt idx="268">
                  <c:v>-0.3</c:v>
                </c:pt>
                <c:pt idx="269">
                  <c:v>-0.2</c:v>
                </c:pt>
                <c:pt idx="270">
                  <c:v>-0.1</c:v>
                </c:pt>
                <c:pt idx="271">
                  <c:v>-0.4</c:v>
                </c:pt>
                <c:pt idx="272">
                  <c:v>0.4</c:v>
                </c:pt>
                <c:pt idx="273">
                  <c:v>0.2</c:v>
                </c:pt>
                <c:pt idx="274">
                  <c:v>-1.1000000000000001</c:v>
                </c:pt>
                <c:pt idx="275">
                  <c:v>1.6</c:v>
                </c:pt>
                <c:pt idx="276">
                  <c:v>0.1</c:v>
                </c:pt>
                <c:pt idx="277">
                  <c:v>0.1</c:v>
                </c:pt>
                <c:pt idx="278">
                  <c:v>3.2</c:v>
                </c:pt>
                <c:pt idx="279">
                  <c:v>0.4</c:v>
                </c:pt>
                <c:pt idx="280">
                  <c:v>-0.4</c:v>
                </c:pt>
                <c:pt idx="281">
                  <c:v>-0.3</c:v>
                </c:pt>
                <c:pt idx="282">
                  <c:v>0.9</c:v>
                </c:pt>
                <c:pt idx="283">
                  <c:v>0.3</c:v>
                </c:pt>
                <c:pt idx="284">
                  <c:v>0</c:v>
                </c:pt>
                <c:pt idx="285">
                  <c:v>0.1</c:v>
                </c:pt>
                <c:pt idx="286">
                  <c:v>-0.1</c:v>
                </c:pt>
                <c:pt idx="287">
                  <c:v>0.4</c:v>
                </c:pt>
                <c:pt idx="288">
                  <c:v>0.2</c:v>
                </c:pt>
                <c:pt idx="289">
                  <c:v>0.3</c:v>
                </c:pt>
                <c:pt idx="290">
                  <c:v>0.2</c:v>
                </c:pt>
                <c:pt idx="291">
                  <c:v>0.3</c:v>
                </c:pt>
                <c:pt idx="292">
                  <c:v>0.5</c:v>
                </c:pt>
                <c:pt idx="293">
                  <c:v>0.1</c:v>
                </c:pt>
                <c:pt idx="294">
                  <c:v>0.5</c:v>
                </c:pt>
                <c:pt idx="295">
                  <c:v>0.9</c:v>
                </c:pt>
                <c:pt idx="296">
                  <c:v>0</c:v>
                </c:pt>
                <c:pt idx="297">
                  <c:v>1.3</c:v>
                </c:pt>
                <c:pt idx="298">
                  <c:v>0</c:v>
                </c:pt>
                <c:pt idx="299">
                  <c:v>1.4</c:v>
                </c:pt>
                <c:pt idx="300">
                  <c:v>0</c:v>
                </c:pt>
                <c:pt idx="301">
                  <c:v>1.4</c:v>
                </c:pt>
                <c:pt idx="302">
                  <c:v>0.2</c:v>
                </c:pt>
                <c:pt idx="303">
                  <c:v>0</c:v>
                </c:pt>
                <c:pt idx="304">
                  <c:v>0.1</c:v>
                </c:pt>
                <c:pt idx="305">
                  <c:v>0.7</c:v>
                </c:pt>
                <c:pt idx="306">
                  <c:v>1.8</c:v>
                </c:pt>
                <c:pt idx="307">
                  <c:v>0.2</c:v>
                </c:pt>
                <c:pt idx="308">
                  <c:v>-0.7</c:v>
                </c:pt>
                <c:pt idx="309">
                  <c:v>-1</c:v>
                </c:pt>
                <c:pt idx="310">
                  <c:v>0</c:v>
                </c:pt>
                <c:pt idx="311">
                  <c:v>-0.3</c:v>
                </c:pt>
                <c:pt idx="312">
                  <c:v>-0.2</c:v>
                </c:pt>
                <c:pt idx="313">
                  <c:v>-0.9</c:v>
                </c:pt>
                <c:pt idx="314">
                  <c:v>0.2</c:v>
                </c:pt>
                <c:pt idx="315">
                  <c:v>0.7</c:v>
                </c:pt>
                <c:pt idx="316">
                  <c:v>0.8</c:v>
                </c:pt>
                <c:pt idx="317">
                  <c:v>-0.9</c:v>
                </c:pt>
                <c:pt idx="318">
                  <c:v>-0.4</c:v>
                </c:pt>
                <c:pt idx="319">
                  <c:v>-0.2</c:v>
                </c:pt>
                <c:pt idx="320">
                  <c:v>-0.4</c:v>
                </c:pt>
                <c:pt idx="321">
                  <c:v>1.4</c:v>
                </c:pt>
                <c:pt idx="322">
                  <c:v>-0.7</c:v>
                </c:pt>
                <c:pt idx="323">
                  <c:v>0.5</c:v>
                </c:pt>
                <c:pt idx="324">
                  <c:v>-0.7</c:v>
                </c:pt>
                <c:pt idx="325">
                  <c:v>2.2000000000000002</c:v>
                </c:pt>
                <c:pt idx="326">
                  <c:v>0.9</c:v>
                </c:pt>
                <c:pt idx="327">
                  <c:v>-0.2</c:v>
                </c:pt>
                <c:pt idx="328">
                  <c:v>1.2</c:v>
                </c:pt>
                <c:pt idx="329">
                  <c:v>0</c:v>
                </c:pt>
                <c:pt idx="330">
                  <c:v>0</c:v>
                </c:pt>
                <c:pt idx="331">
                  <c:v>0.7</c:v>
                </c:pt>
                <c:pt idx="332">
                  <c:v>-0.3</c:v>
                </c:pt>
                <c:pt idx="333">
                  <c:v>-0.3</c:v>
                </c:pt>
                <c:pt idx="334">
                  <c:v>-0.6</c:v>
                </c:pt>
                <c:pt idx="335">
                  <c:v>0.8</c:v>
                </c:pt>
                <c:pt idx="336">
                  <c:v>0</c:v>
                </c:pt>
                <c:pt idx="337">
                  <c:v>0.3</c:v>
                </c:pt>
                <c:pt idx="338">
                  <c:v>0.8</c:v>
                </c:pt>
                <c:pt idx="339">
                  <c:v>1.2</c:v>
                </c:pt>
                <c:pt idx="340">
                  <c:v>0.7</c:v>
                </c:pt>
                <c:pt idx="341">
                  <c:v>0.7</c:v>
                </c:pt>
                <c:pt idx="342">
                  <c:v>0.4</c:v>
                </c:pt>
                <c:pt idx="343">
                  <c:v>-1</c:v>
                </c:pt>
                <c:pt idx="344">
                  <c:v>0.5</c:v>
                </c:pt>
                <c:pt idx="345">
                  <c:v>0</c:v>
                </c:pt>
                <c:pt idx="346">
                  <c:v>-0.3</c:v>
                </c:pt>
                <c:pt idx="347">
                  <c:v>0</c:v>
                </c:pt>
                <c:pt idx="348">
                  <c:v>0.6</c:v>
                </c:pt>
                <c:pt idx="349">
                  <c:v>1.2</c:v>
                </c:pt>
                <c:pt idx="350">
                  <c:v>0.8</c:v>
                </c:pt>
                <c:pt idx="351">
                  <c:v>-0.3</c:v>
                </c:pt>
                <c:pt idx="352">
                  <c:v>-0.4</c:v>
                </c:pt>
                <c:pt idx="353">
                  <c:v>0.4</c:v>
                </c:pt>
                <c:pt idx="354">
                  <c:v>1.4</c:v>
                </c:pt>
                <c:pt idx="355">
                  <c:v>0</c:v>
                </c:pt>
                <c:pt idx="356">
                  <c:v>0.1</c:v>
                </c:pt>
                <c:pt idx="357">
                  <c:v>-0.5</c:v>
                </c:pt>
                <c:pt idx="358">
                  <c:v>0.5</c:v>
                </c:pt>
                <c:pt idx="359">
                  <c:v>-0.1</c:v>
                </c:pt>
                <c:pt idx="360">
                  <c:v>0.8</c:v>
                </c:pt>
                <c:pt idx="361">
                  <c:v>-0.2</c:v>
                </c:pt>
                <c:pt idx="362">
                  <c:v>0.9</c:v>
                </c:pt>
                <c:pt idx="363">
                  <c:v>-0.1</c:v>
                </c:pt>
                <c:pt idx="364">
                  <c:v>-0.1</c:v>
                </c:pt>
                <c:pt idx="365">
                  <c:v>1.6</c:v>
                </c:pt>
                <c:pt idx="366">
                  <c:v>0.7</c:v>
                </c:pt>
                <c:pt idx="367">
                  <c:v>1.8</c:v>
                </c:pt>
                <c:pt idx="368">
                  <c:v>-0.7</c:v>
                </c:pt>
                <c:pt idx="369">
                  <c:v>0.1</c:v>
                </c:pt>
                <c:pt idx="370">
                  <c:v>0.7</c:v>
                </c:pt>
                <c:pt idx="371">
                  <c:v>-0.1</c:v>
                </c:pt>
                <c:pt idx="372">
                  <c:v>0.5</c:v>
                </c:pt>
                <c:pt idx="373">
                  <c:v>0.1</c:v>
                </c:pt>
                <c:pt idx="374">
                  <c:v>0.1</c:v>
                </c:pt>
                <c:pt idx="375">
                  <c:v>0.5</c:v>
                </c:pt>
                <c:pt idx="376">
                  <c:v>-1.2</c:v>
                </c:pt>
                <c:pt idx="377">
                  <c:v>0.4</c:v>
                </c:pt>
                <c:pt idx="378">
                  <c:v>-0.6</c:v>
                </c:pt>
                <c:pt idx="379">
                  <c:v>2</c:v>
                </c:pt>
                <c:pt idx="380">
                  <c:v>2</c:v>
                </c:pt>
                <c:pt idx="381">
                  <c:v>0.3</c:v>
                </c:pt>
                <c:pt idx="382">
                  <c:v>-0.3</c:v>
                </c:pt>
                <c:pt idx="383">
                  <c:v>2.2999999999999998</c:v>
                </c:pt>
                <c:pt idx="384">
                  <c:v>0</c:v>
                </c:pt>
                <c:pt idx="385">
                  <c:v>-0.3</c:v>
                </c:pt>
                <c:pt idx="386">
                  <c:v>0.7</c:v>
                </c:pt>
                <c:pt idx="387">
                  <c:v>0.2</c:v>
                </c:pt>
                <c:pt idx="388">
                  <c:v>0.3</c:v>
                </c:pt>
                <c:pt idx="389">
                  <c:v>0.4</c:v>
                </c:pt>
                <c:pt idx="390">
                  <c:v>1.6</c:v>
                </c:pt>
                <c:pt idx="391">
                  <c:v>0.6</c:v>
                </c:pt>
                <c:pt idx="392">
                  <c:v>0.7</c:v>
                </c:pt>
                <c:pt idx="393">
                  <c:v>0.4</c:v>
                </c:pt>
                <c:pt idx="394">
                  <c:v>0</c:v>
                </c:pt>
                <c:pt idx="395">
                  <c:v>0</c:v>
                </c:pt>
                <c:pt idx="396">
                  <c:v>0</c:v>
                </c:pt>
                <c:pt idx="397">
                  <c:v>-0.1</c:v>
                </c:pt>
                <c:pt idx="398">
                  <c:v>0.1</c:v>
                </c:pt>
                <c:pt idx="399">
                  <c:v>0.4</c:v>
                </c:pt>
                <c:pt idx="400">
                  <c:v>0</c:v>
                </c:pt>
                <c:pt idx="401">
                  <c:v>0.4</c:v>
                </c:pt>
                <c:pt idx="402">
                  <c:v>0.5</c:v>
                </c:pt>
                <c:pt idx="403">
                  <c:v>0.1</c:v>
                </c:pt>
                <c:pt idx="404">
                  <c:v>-0.3</c:v>
                </c:pt>
                <c:pt idx="405">
                  <c:v>1.1000000000000001</c:v>
                </c:pt>
                <c:pt idx="406">
                  <c:v>-0.1</c:v>
                </c:pt>
                <c:pt idx="407">
                  <c:v>-0.7</c:v>
                </c:pt>
                <c:pt idx="408">
                  <c:v>1</c:v>
                </c:pt>
                <c:pt idx="409">
                  <c:v>2.7</c:v>
                </c:pt>
                <c:pt idx="410">
                  <c:v>0.6</c:v>
                </c:pt>
                <c:pt idx="411">
                  <c:v>-1</c:v>
                </c:pt>
                <c:pt idx="412">
                  <c:v>-0.7</c:v>
                </c:pt>
                <c:pt idx="413">
                  <c:v>0.1</c:v>
                </c:pt>
                <c:pt idx="414">
                  <c:v>3.6</c:v>
                </c:pt>
                <c:pt idx="415">
                  <c:v>-0.1</c:v>
                </c:pt>
                <c:pt idx="416">
                  <c:v>2.2000000000000002</c:v>
                </c:pt>
                <c:pt idx="417">
                  <c:v>-0.1</c:v>
                </c:pt>
                <c:pt idx="418">
                  <c:v>2.1</c:v>
                </c:pt>
                <c:pt idx="419">
                  <c:v>1.3</c:v>
                </c:pt>
                <c:pt idx="420">
                  <c:v>-0.1</c:v>
                </c:pt>
                <c:pt idx="421">
                  <c:v>-0.4</c:v>
                </c:pt>
                <c:pt idx="422">
                  <c:v>1.7</c:v>
                </c:pt>
                <c:pt idx="423">
                  <c:v>0</c:v>
                </c:pt>
                <c:pt idx="424">
                  <c:v>0.6</c:v>
                </c:pt>
                <c:pt idx="425">
                  <c:v>0.4</c:v>
                </c:pt>
                <c:pt idx="426">
                  <c:v>-1.6</c:v>
                </c:pt>
                <c:pt idx="427">
                  <c:v>1.1000000000000001</c:v>
                </c:pt>
                <c:pt idx="428">
                  <c:v>0.1</c:v>
                </c:pt>
                <c:pt idx="429">
                  <c:v>-0.1</c:v>
                </c:pt>
                <c:pt idx="430">
                  <c:v>1.5</c:v>
                </c:pt>
                <c:pt idx="431">
                  <c:v>-0.2</c:v>
                </c:pt>
                <c:pt idx="432">
                  <c:v>0.6</c:v>
                </c:pt>
                <c:pt idx="433">
                  <c:v>0.5</c:v>
                </c:pt>
                <c:pt idx="434">
                  <c:v>0.3</c:v>
                </c:pt>
                <c:pt idx="435">
                  <c:v>0.6</c:v>
                </c:pt>
                <c:pt idx="436">
                  <c:v>1.2</c:v>
                </c:pt>
                <c:pt idx="437">
                  <c:v>-0.1</c:v>
                </c:pt>
                <c:pt idx="438">
                  <c:v>1.2</c:v>
                </c:pt>
                <c:pt idx="439">
                  <c:v>1.2</c:v>
                </c:pt>
                <c:pt idx="440">
                  <c:v>0.3</c:v>
                </c:pt>
                <c:pt idx="441">
                  <c:v>1.2</c:v>
                </c:pt>
                <c:pt idx="442">
                  <c:v>0.5</c:v>
                </c:pt>
                <c:pt idx="443">
                  <c:v>-0.1</c:v>
                </c:pt>
                <c:pt idx="444">
                  <c:v>0.3</c:v>
                </c:pt>
                <c:pt idx="445">
                  <c:v>0.2</c:v>
                </c:pt>
                <c:pt idx="446">
                  <c:v>0.6</c:v>
                </c:pt>
                <c:pt idx="447">
                  <c:v>0</c:v>
                </c:pt>
                <c:pt idx="448">
                  <c:v>0.2</c:v>
                </c:pt>
                <c:pt idx="449">
                  <c:v>-0.6</c:v>
                </c:pt>
                <c:pt idx="450">
                  <c:v>1.2</c:v>
                </c:pt>
                <c:pt idx="451">
                  <c:v>1.7</c:v>
                </c:pt>
                <c:pt idx="452">
                  <c:v>0.3</c:v>
                </c:pt>
                <c:pt idx="453">
                  <c:v>-0.2</c:v>
                </c:pt>
                <c:pt idx="454">
                  <c:v>1.7</c:v>
                </c:pt>
                <c:pt idx="455">
                  <c:v>0.4</c:v>
                </c:pt>
                <c:pt idx="456">
                  <c:v>3.6</c:v>
                </c:pt>
                <c:pt idx="457">
                  <c:v>1.6</c:v>
                </c:pt>
                <c:pt idx="458">
                  <c:v>0.6</c:v>
                </c:pt>
                <c:pt idx="459">
                  <c:v>0.1</c:v>
                </c:pt>
                <c:pt idx="460">
                  <c:v>-0.3</c:v>
                </c:pt>
                <c:pt idx="461">
                  <c:v>-0.4</c:v>
                </c:pt>
                <c:pt idx="462">
                  <c:v>-0.5</c:v>
                </c:pt>
                <c:pt idx="463">
                  <c:v>1.1000000000000001</c:v>
                </c:pt>
                <c:pt idx="464">
                  <c:v>1.2</c:v>
                </c:pt>
                <c:pt idx="465">
                  <c:v>-0.5</c:v>
                </c:pt>
                <c:pt idx="466">
                  <c:v>-0.1</c:v>
                </c:pt>
                <c:pt idx="467">
                  <c:v>1.7</c:v>
                </c:pt>
                <c:pt idx="468">
                  <c:v>0.4</c:v>
                </c:pt>
                <c:pt idx="469">
                  <c:v>2.9</c:v>
                </c:pt>
                <c:pt idx="470">
                  <c:v>4.9000000000000004</c:v>
                </c:pt>
                <c:pt idx="471">
                  <c:v>0</c:v>
                </c:pt>
                <c:pt idx="472">
                  <c:v>3.4</c:v>
                </c:pt>
                <c:pt idx="473">
                  <c:v>0.2</c:v>
                </c:pt>
                <c:pt idx="474">
                  <c:v>-0.1</c:v>
                </c:pt>
                <c:pt idx="475">
                  <c:v>-0.8</c:v>
                </c:pt>
                <c:pt idx="476">
                  <c:v>0.6</c:v>
                </c:pt>
                <c:pt idx="477">
                  <c:v>2.7</c:v>
                </c:pt>
                <c:pt idx="478">
                  <c:v>0.5</c:v>
                </c:pt>
                <c:pt idx="479">
                  <c:v>1.9</c:v>
                </c:pt>
                <c:pt idx="480">
                  <c:v>-1.4</c:v>
                </c:pt>
                <c:pt idx="481">
                  <c:v>-0.1</c:v>
                </c:pt>
                <c:pt idx="482">
                  <c:v>0.3</c:v>
                </c:pt>
                <c:pt idx="483">
                  <c:v>0.3</c:v>
                </c:pt>
                <c:pt idx="484">
                  <c:v>2.7</c:v>
                </c:pt>
                <c:pt idx="485">
                  <c:v>1.3</c:v>
                </c:pt>
                <c:pt idx="486">
                  <c:v>1.5</c:v>
                </c:pt>
                <c:pt idx="487">
                  <c:v>1.8</c:v>
                </c:pt>
                <c:pt idx="488">
                  <c:v>3.6</c:v>
                </c:pt>
                <c:pt idx="489">
                  <c:v>3</c:v>
                </c:pt>
                <c:pt idx="490">
                  <c:v>0.4</c:v>
                </c:pt>
                <c:pt idx="491">
                  <c:v>0.1</c:v>
                </c:pt>
                <c:pt idx="492">
                  <c:v>1.2</c:v>
                </c:pt>
                <c:pt idx="493">
                  <c:v>0.5</c:v>
                </c:pt>
                <c:pt idx="494">
                  <c:v>1.2</c:v>
                </c:pt>
                <c:pt idx="495">
                  <c:v>3.4</c:v>
                </c:pt>
                <c:pt idx="496">
                  <c:v>0.9</c:v>
                </c:pt>
                <c:pt idx="497">
                  <c:v>1.6</c:v>
                </c:pt>
                <c:pt idx="498">
                  <c:v>1.7</c:v>
                </c:pt>
                <c:pt idx="499">
                  <c:v>2.4</c:v>
                </c:pt>
                <c:pt idx="500">
                  <c:v>0.1</c:v>
                </c:pt>
                <c:pt idx="501">
                  <c:v>2.2999999999999998</c:v>
                </c:pt>
                <c:pt idx="502">
                  <c:v>0.7</c:v>
                </c:pt>
                <c:pt idx="503">
                  <c:v>1</c:v>
                </c:pt>
                <c:pt idx="504">
                  <c:v>0.1</c:v>
                </c:pt>
                <c:pt idx="505">
                  <c:v>0.5</c:v>
                </c:pt>
                <c:pt idx="506">
                  <c:v>1.8</c:v>
                </c:pt>
                <c:pt idx="507">
                  <c:v>2.4</c:v>
                </c:pt>
                <c:pt idx="508">
                  <c:v>1</c:v>
                </c:pt>
                <c:pt idx="509">
                  <c:v>1.2</c:v>
                </c:pt>
                <c:pt idx="510">
                  <c:v>0.6</c:v>
                </c:pt>
                <c:pt idx="511">
                  <c:v>2</c:v>
                </c:pt>
                <c:pt idx="512">
                  <c:v>0.1</c:v>
                </c:pt>
                <c:pt idx="513">
                  <c:v>0.7</c:v>
                </c:pt>
                <c:pt idx="514">
                  <c:v>1.7</c:v>
                </c:pt>
                <c:pt idx="515">
                  <c:v>0.9</c:v>
                </c:pt>
                <c:pt idx="516">
                  <c:v>3.3</c:v>
                </c:pt>
                <c:pt idx="517">
                  <c:v>4.4000000000000004</c:v>
                </c:pt>
                <c:pt idx="518">
                  <c:v>1</c:v>
                </c:pt>
                <c:pt idx="519">
                  <c:v>-0.6</c:v>
                </c:pt>
                <c:pt idx="520">
                  <c:v>3.5</c:v>
                </c:pt>
                <c:pt idx="521">
                  <c:v>2.7</c:v>
                </c:pt>
                <c:pt idx="522">
                  <c:v>-0.3</c:v>
                </c:pt>
                <c:pt idx="523">
                  <c:v>4.8</c:v>
                </c:pt>
                <c:pt idx="524">
                  <c:v>1.3</c:v>
                </c:pt>
                <c:pt idx="525">
                  <c:v>1.4</c:v>
                </c:pt>
                <c:pt idx="526">
                  <c:v>3.6</c:v>
                </c:pt>
                <c:pt idx="527">
                  <c:v>2.5</c:v>
                </c:pt>
                <c:pt idx="528">
                  <c:v>3.4</c:v>
                </c:pt>
                <c:pt idx="529">
                  <c:v>1.8</c:v>
                </c:pt>
                <c:pt idx="530">
                  <c:v>-0.5</c:v>
                </c:pt>
                <c:pt idx="531">
                  <c:v>2.2999999999999998</c:v>
                </c:pt>
                <c:pt idx="532">
                  <c:v>2.1</c:v>
                </c:pt>
                <c:pt idx="533">
                  <c:v>4.7</c:v>
                </c:pt>
                <c:pt idx="534">
                  <c:v>1.8</c:v>
                </c:pt>
                <c:pt idx="535">
                  <c:v>2</c:v>
                </c:pt>
                <c:pt idx="536">
                  <c:v>2.6</c:v>
                </c:pt>
                <c:pt idx="537">
                  <c:v>0.4</c:v>
                </c:pt>
                <c:pt idx="538">
                  <c:v>3.2</c:v>
                </c:pt>
                <c:pt idx="539">
                  <c:v>1.1000000000000001</c:v>
                </c:pt>
                <c:pt idx="540">
                  <c:v>1.3</c:v>
                </c:pt>
                <c:pt idx="541">
                  <c:v>2.2000000000000002</c:v>
                </c:pt>
                <c:pt idx="542">
                  <c:v>2.6</c:v>
                </c:pt>
                <c:pt idx="543">
                  <c:v>3.7</c:v>
                </c:pt>
                <c:pt idx="544">
                  <c:v>2.4</c:v>
                </c:pt>
                <c:pt idx="545">
                  <c:v>1.2</c:v>
                </c:pt>
                <c:pt idx="546">
                  <c:v>2</c:v>
                </c:pt>
                <c:pt idx="547">
                  <c:v>3.9</c:v>
                </c:pt>
                <c:pt idx="548">
                  <c:v>3.5</c:v>
                </c:pt>
                <c:pt idx="549">
                  <c:v>1.3</c:v>
                </c:pt>
                <c:pt idx="550">
                  <c:v>3</c:v>
                </c:pt>
                <c:pt idx="551">
                  <c:v>0.5</c:v>
                </c:pt>
                <c:pt idx="552">
                  <c:v>4.8</c:v>
                </c:pt>
                <c:pt idx="553">
                  <c:v>4.5999999999999996</c:v>
                </c:pt>
                <c:pt idx="554">
                  <c:v>1.7</c:v>
                </c:pt>
                <c:pt idx="555">
                  <c:v>1.7</c:v>
                </c:pt>
                <c:pt idx="556">
                  <c:v>9.8000000000000007</c:v>
                </c:pt>
                <c:pt idx="557">
                  <c:v>3.2</c:v>
                </c:pt>
                <c:pt idx="558">
                  <c:v>3.1</c:v>
                </c:pt>
                <c:pt idx="559">
                  <c:v>3</c:v>
                </c:pt>
                <c:pt idx="560">
                  <c:v>3.2</c:v>
                </c:pt>
                <c:pt idx="561">
                  <c:v>4.4000000000000004</c:v>
                </c:pt>
                <c:pt idx="562">
                  <c:v>1.7</c:v>
                </c:pt>
                <c:pt idx="563">
                  <c:v>3.9</c:v>
                </c:pt>
                <c:pt idx="564">
                  <c:v>1.9</c:v>
                </c:pt>
                <c:pt idx="565">
                  <c:v>2.2000000000000002</c:v>
                </c:pt>
                <c:pt idx="566">
                  <c:v>8.9</c:v>
                </c:pt>
                <c:pt idx="567">
                  <c:v>0.8</c:v>
                </c:pt>
                <c:pt idx="568">
                  <c:v>6.6</c:v>
                </c:pt>
              </c:numCache>
            </c:numRef>
          </c:yVal>
          <c:smooth val="0"/>
          <c:extLst>
            <c:ext xmlns:c16="http://schemas.microsoft.com/office/drawing/2014/chart" uri="{C3380CC4-5D6E-409C-BE32-E72D297353CC}">
              <c16:uniqueId val="{00000000-BD41-4AE6-AD50-42613B772DA5}"/>
            </c:ext>
          </c:extLst>
        </c:ser>
        <c:dLbls>
          <c:showLegendKey val="0"/>
          <c:showVal val="0"/>
          <c:showCatName val="0"/>
          <c:showSerName val="0"/>
          <c:showPercent val="0"/>
          <c:showBubbleSize val="0"/>
        </c:dLbls>
        <c:axId val="1219089599"/>
        <c:axId val="1219089119"/>
      </c:scatterChart>
      <c:valAx>
        <c:axId val="12190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Fouls Per Game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119"/>
        <c:crosses val="autoZero"/>
        <c:crossBetween val="midCat"/>
      </c:valAx>
      <c:valAx>
        <c:axId val="1219089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Effect of Turnovers Per Game on VORP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Data'!$Y$1</c:f>
              <c:strCache>
                <c:ptCount val="1"/>
                <c:pt idx="0">
                  <c:v>Points</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Data'!$W$2:$W$570</c:f>
              <c:numCache>
                <c:formatCode>General</c:formatCode>
                <c:ptCount val="569"/>
                <c:pt idx="0">
                  <c:v>0</c:v>
                </c:pt>
                <c:pt idx="1">
                  <c:v>0</c:v>
                </c:pt>
                <c:pt idx="2">
                  <c:v>0</c:v>
                </c:pt>
                <c:pt idx="3">
                  <c:v>0</c:v>
                </c:pt>
                <c:pt idx="4">
                  <c:v>0.5</c:v>
                </c:pt>
                <c:pt idx="5">
                  <c:v>0</c:v>
                </c:pt>
                <c:pt idx="6">
                  <c:v>0</c:v>
                </c:pt>
                <c:pt idx="7">
                  <c:v>0</c:v>
                </c:pt>
                <c:pt idx="8">
                  <c:v>0.3</c:v>
                </c:pt>
                <c:pt idx="9">
                  <c:v>0.5</c:v>
                </c:pt>
                <c:pt idx="10">
                  <c:v>0.2</c:v>
                </c:pt>
                <c:pt idx="11">
                  <c:v>0</c:v>
                </c:pt>
                <c:pt idx="12">
                  <c:v>0.2</c:v>
                </c:pt>
                <c:pt idx="13">
                  <c:v>0.2</c:v>
                </c:pt>
                <c:pt idx="14">
                  <c:v>0</c:v>
                </c:pt>
                <c:pt idx="15">
                  <c:v>0.8</c:v>
                </c:pt>
                <c:pt idx="16">
                  <c:v>0.2</c:v>
                </c:pt>
                <c:pt idx="17">
                  <c:v>0.2</c:v>
                </c:pt>
                <c:pt idx="18">
                  <c:v>0</c:v>
                </c:pt>
                <c:pt idx="19">
                  <c:v>0</c:v>
                </c:pt>
                <c:pt idx="20">
                  <c:v>0</c:v>
                </c:pt>
                <c:pt idx="21">
                  <c:v>0.3</c:v>
                </c:pt>
                <c:pt idx="22">
                  <c:v>0.7</c:v>
                </c:pt>
                <c:pt idx="23">
                  <c:v>0.2</c:v>
                </c:pt>
                <c:pt idx="24">
                  <c:v>0.1</c:v>
                </c:pt>
                <c:pt idx="25">
                  <c:v>0.3</c:v>
                </c:pt>
                <c:pt idx="26">
                  <c:v>0.3</c:v>
                </c:pt>
                <c:pt idx="27">
                  <c:v>0.2</c:v>
                </c:pt>
                <c:pt idx="28">
                  <c:v>0.4</c:v>
                </c:pt>
                <c:pt idx="29">
                  <c:v>0.1</c:v>
                </c:pt>
                <c:pt idx="30">
                  <c:v>0.3</c:v>
                </c:pt>
                <c:pt idx="31">
                  <c:v>0.4</c:v>
                </c:pt>
                <c:pt idx="32">
                  <c:v>0.2</c:v>
                </c:pt>
                <c:pt idx="33">
                  <c:v>0.1</c:v>
                </c:pt>
                <c:pt idx="34">
                  <c:v>0.2</c:v>
                </c:pt>
                <c:pt idx="35">
                  <c:v>0.3</c:v>
                </c:pt>
                <c:pt idx="36">
                  <c:v>0.3</c:v>
                </c:pt>
                <c:pt idx="37">
                  <c:v>0.3</c:v>
                </c:pt>
                <c:pt idx="38">
                  <c:v>0.1</c:v>
                </c:pt>
                <c:pt idx="39">
                  <c:v>0.7</c:v>
                </c:pt>
                <c:pt idx="40">
                  <c:v>0.3</c:v>
                </c:pt>
                <c:pt idx="41">
                  <c:v>0.2</c:v>
                </c:pt>
                <c:pt idx="42">
                  <c:v>0.5</c:v>
                </c:pt>
                <c:pt idx="43">
                  <c:v>0.3</c:v>
                </c:pt>
                <c:pt idx="44">
                  <c:v>0.3</c:v>
                </c:pt>
                <c:pt idx="45">
                  <c:v>0.4</c:v>
                </c:pt>
                <c:pt idx="46">
                  <c:v>0.6</c:v>
                </c:pt>
                <c:pt idx="47">
                  <c:v>0.5</c:v>
                </c:pt>
                <c:pt idx="48">
                  <c:v>0.1</c:v>
                </c:pt>
                <c:pt idx="49">
                  <c:v>0.1</c:v>
                </c:pt>
                <c:pt idx="50">
                  <c:v>0.4</c:v>
                </c:pt>
                <c:pt idx="51">
                  <c:v>0.2</c:v>
                </c:pt>
                <c:pt idx="52">
                  <c:v>0.2</c:v>
                </c:pt>
                <c:pt idx="53">
                  <c:v>0.1</c:v>
                </c:pt>
                <c:pt idx="54">
                  <c:v>0.3</c:v>
                </c:pt>
                <c:pt idx="55">
                  <c:v>0.2</c:v>
                </c:pt>
                <c:pt idx="56">
                  <c:v>0.4</c:v>
                </c:pt>
                <c:pt idx="57">
                  <c:v>0.3</c:v>
                </c:pt>
                <c:pt idx="58">
                  <c:v>0.2</c:v>
                </c:pt>
                <c:pt idx="59">
                  <c:v>0.3</c:v>
                </c:pt>
                <c:pt idx="60">
                  <c:v>1</c:v>
                </c:pt>
                <c:pt idx="61">
                  <c:v>0.3</c:v>
                </c:pt>
                <c:pt idx="62">
                  <c:v>0.8</c:v>
                </c:pt>
                <c:pt idx="63">
                  <c:v>0</c:v>
                </c:pt>
                <c:pt idx="64">
                  <c:v>0.3</c:v>
                </c:pt>
                <c:pt idx="65">
                  <c:v>0.7</c:v>
                </c:pt>
                <c:pt idx="66">
                  <c:v>0.3</c:v>
                </c:pt>
                <c:pt idx="67">
                  <c:v>0.6</c:v>
                </c:pt>
                <c:pt idx="68">
                  <c:v>0.5</c:v>
                </c:pt>
                <c:pt idx="69">
                  <c:v>0.9</c:v>
                </c:pt>
                <c:pt idx="70">
                  <c:v>0.5</c:v>
                </c:pt>
                <c:pt idx="71">
                  <c:v>0.7</c:v>
                </c:pt>
                <c:pt idx="72">
                  <c:v>0.4</c:v>
                </c:pt>
                <c:pt idx="73">
                  <c:v>1.1000000000000001</c:v>
                </c:pt>
                <c:pt idx="74">
                  <c:v>1</c:v>
                </c:pt>
                <c:pt idx="75">
                  <c:v>2.5</c:v>
                </c:pt>
                <c:pt idx="76">
                  <c:v>0.2</c:v>
                </c:pt>
                <c:pt idx="77">
                  <c:v>0.3</c:v>
                </c:pt>
                <c:pt idx="78">
                  <c:v>0.5</c:v>
                </c:pt>
                <c:pt idx="79">
                  <c:v>0</c:v>
                </c:pt>
                <c:pt idx="80">
                  <c:v>0.2</c:v>
                </c:pt>
                <c:pt idx="81">
                  <c:v>0.5</c:v>
                </c:pt>
                <c:pt idx="82">
                  <c:v>0.5</c:v>
                </c:pt>
                <c:pt idx="83">
                  <c:v>0.4</c:v>
                </c:pt>
                <c:pt idx="84">
                  <c:v>0.4</c:v>
                </c:pt>
                <c:pt idx="85">
                  <c:v>0.4</c:v>
                </c:pt>
                <c:pt idx="86">
                  <c:v>0.2</c:v>
                </c:pt>
                <c:pt idx="87">
                  <c:v>0.8</c:v>
                </c:pt>
                <c:pt idx="88">
                  <c:v>0.4</c:v>
                </c:pt>
                <c:pt idx="89">
                  <c:v>0.4</c:v>
                </c:pt>
                <c:pt idx="90">
                  <c:v>0.6</c:v>
                </c:pt>
                <c:pt idx="91">
                  <c:v>0.4</c:v>
                </c:pt>
                <c:pt idx="92">
                  <c:v>0.2</c:v>
                </c:pt>
                <c:pt idx="93">
                  <c:v>0.3</c:v>
                </c:pt>
                <c:pt idx="94">
                  <c:v>0.2</c:v>
                </c:pt>
                <c:pt idx="95">
                  <c:v>0.5</c:v>
                </c:pt>
                <c:pt idx="96">
                  <c:v>0.4</c:v>
                </c:pt>
                <c:pt idx="97">
                  <c:v>0.3</c:v>
                </c:pt>
                <c:pt idx="98">
                  <c:v>0.9</c:v>
                </c:pt>
                <c:pt idx="99">
                  <c:v>0.7</c:v>
                </c:pt>
                <c:pt idx="100">
                  <c:v>0.5</c:v>
                </c:pt>
                <c:pt idx="101">
                  <c:v>0.5</c:v>
                </c:pt>
                <c:pt idx="102">
                  <c:v>0.2</c:v>
                </c:pt>
                <c:pt idx="103">
                  <c:v>0.3</c:v>
                </c:pt>
                <c:pt idx="104">
                  <c:v>0.9</c:v>
                </c:pt>
                <c:pt idx="105">
                  <c:v>1.1000000000000001</c:v>
                </c:pt>
                <c:pt idx="106">
                  <c:v>0.4</c:v>
                </c:pt>
                <c:pt idx="107">
                  <c:v>0.5</c:v>
                </c:pt>
                <c:pt idx="108">
                  <c:v>0.1</c:v>
                </c:pt>
                <c:pt idx="109">
                  <c:v>0.3</c:v>
                </c:pt>
                <c:pt idx="110">
                  <c:v>0.6</c:v>
                </c:pt>
                <c:pt idx="111">
                  <c:v>0.3</c:v>
                </c:pt>
                <c:pt idx="112">
                  <c:v>0.4</c:v>
                </c:pt>
                <c:pt idx="113">
                  <c:v>0.3</c:v>
                </c:pt>
                <c:pt idx="114">
                  <c:v>0.3</c:v>
                </c:pt>
                <c:pt idx="115">
                  <c:v>0.1</c:v>
                </c:pt>
                <c:pt idx="116">
                  <c:v>0.8</c:v>
                </c:pt>
                <c:pt idx="117">
                  <c:v>0.8</c:v>
                </c:pt>
                <c:pt idx="118">
                  <c:v>0.5</c:v>
                </c:pt>
                <c:pt idx="119">
                  <c:v>0.5</c:v>
                </c:pt>
                <c:pt idx="120">
                  <c:v>0.3</c:v>
                </c:pt>
                <c:pt idx="121">
                  <c:v>0.2</c:v>
                </c:pt>
                <c:pt idx="122">
                  <c:v>0</c:v>
                </c:pt>
                <c:pt idx="123">
                  <c:v>0.6</c:v>
                </c:pt>
                <c:pt idx="124">
                  <c:v>1</c:v>
                </c:pt>
                <c:pt idx="125">
                  <c:v>0.7</c:v>
                </c:pt>
                <c:pt idx="126">
                  <c:v>0.8</c:v>
                </c:pt>
                <c:pt idx="127">
                  <c:v>0.5</c:v>
                </c:pt>
                <c:pt idx="128">
                  <c:v>0.7</c:v>
                </c:pt>
                <c:pt idx="129">
                  <c:v>0.9</c:v>
                </c:pt>
                <c:pt idx="130">
                  <c:v>0.2</c:v>
                </c:pt>
                <c:pt idx="131">
                  <c:v>0.4</c:v>
                </c:pt>
                <c:pt idx="132">
                  <c:v>0.2</c:v>
                </c:pt>
                <c:pt idx="133">
                  <c:v>0.3</c:v>
                </c:pt>
                <c:pt idx="134">
                  <c:v>0.3</c:v>
                </c:pt>
                <c:pt idx="135">
                  <c:v>0.7</c:v>
                </c:pt>
                <c:pt idx="136">
                  <c:v>0.7</c:v>
                </c:pt>
                <c:pt idx="137">
                  <c:v>0.3</c:v>
                </c:pt>
                <c:pt idx="138">
                  <c:v>0.6</c:v>
                </c:pt>
                <c:pt idx="139">
                  <c:v>0.6</c:v>
                </c:pt>
                <c:pt idx="140">
                  <c:v>0.7</c:v>
                </c:pt>
                <c:pt idx="141">
                  <c:v>0.6</c:v>
                </c:pt>
                <c:pt idx="142">
                  <c:v>0.9</c:v>
                </c:pt>
                <c:pt idx="143">
                  <c:v>0.6</c:v>
                </c:pt>
                <c:pt idx="144">
                  <c:v>0.7</c:v>
                </c:pt>
                <c:pt idx="145">
                  <c:v>1</c:v>
                </c:pt>
                <c:pt idx="146">
                  <c:v>0.8</c:v>
                </c:pt>
                <c:pt idx="147">
                  <c:v>0.8</c:v>
                </c:pt>
                <c:pt idx="148">
                  <c:v>0.5</c:v>
                </c:pt>
                <c:pt idx="149">
                  <c:v>0.8</c:v>
                </c:pt>
                <c:pt idx="150">
                  <c:v>0.7</c:v>
                </c:pt>
                <c:pt idx="151">
                  <c:v>0.6</c:v>
                </c:pt>
                <c:pt idx="152">
                  <c:v>0.7</c:v>
                </c:pt>
                <c:pt idx="153">
                  <c:v>0.8</c:v>
                </c:pt>
                <c:pt idx="154">
                  <c:v>0.6</c:v>
                </c:pt>
                <c:pt idx="155">
                  <c:v>2</c:v>
                </c:pt>
                <c:pt idx="156">
                  <c:v>0.1</c:v>
                </c:pt>
                <c:pt idx="157">
                  <c:v>1.3</c:v>
                </c:pt>
                <c:pt idx="158">
                  <c:v>0.2</c:v>
                </c:pt>
                <c:pt idx="159">
                  <c:v>0</c:v>
                </c:pt>
                <c:pt idx="160">
                  <c:v>0.4</c:v>
                </c:pt>
                <c:pt idx="161">
                  <c:v>0.6</c:v>
                </c:pt>
                <c:pt idx="162">
                  <c:v>1.1000000000000001</c:v>
                </c:pt>
                <c:pt idx="163">
                  <c:v>0.9</c:v>
                </c:pt>
                <c:pt idx="164">
                  <c:v>0.5</c:v>
                </c:pt>
                <c:pt idx="165">
                  <c:v>0.7</c:v>
                </c:pt>
                <c:pt idx="166">
                  <c:v>0.7</c:v>
                </c:pt>
                <c:pt idx="167">
                  <c:v>1.2</c:v>
                </c:pt>
                <c:pt idx="168">
                  <c:v>0.6</c:v>
                </c:pt>
                <c:pt idx="169">
                  <c:v>0.5</c:v>
                </c:pt>
                <c:pt idx="170">
                  <c:v>1</c:v>
                </c:pt>
                <c:pt idx="171">
                  <c:v>1</c:v>
                </c:pt>
                <c:pt idx="172">
                  <c:v>1.1000000000000001</c:v>
                </c:pt>
                <c:pt idx="173">
                  <c:v>0.5</c:v>
                </c:pt>
                <c:pt idx="174">
                  <c:v>0.3</c:v>
                </c:pt>
                <c:pt idx="175">
                  <c:v>0.4</c:v>
                </c:pt>
                <c:pt idx="176">
                  <c:v>0.3</c:v>
                </c:pt>
                <c:pt idx="177">
                  <c:v>0.2</c:v>
                </c:pt>
                <c:pt idx="178">
                  <c:v>0.3</c:v>
                </c:pt>
                <c:pt idx="179">
                  <c:v>0.3</c:v>
                </c:pt>
                <c:pt idx="180">
                  <c:v>0.4</c:v>
                </c:pt>
                <c:pt idx="181">
                  <c:v>0.8</c:v>
                </c:pt>
                <c:pt idx="182">
                  <c:v>1.2</c:v>
                </c:pt>
                <c:pt idx="183">
                  <c:v>0.4</c:v>
                </c:pt>
                <c:pt idx="184">
                  <c:v>0.9</c:v>
                </c:pt>
                <c:pt idx="185">
                  <c:v>0.2</c:v>
                </c:pt>
                <c:pt idx="186">
                  <c:v>0.5</c:v>
                </c:pt>
                <c:pt idx="187">
                  <c:v>0.4</c:v>
                </c:pt>
                <c:pt idx="188">
                  <c:v>0.6</c:v>
                </c:pt>
                <c:pt idx="189">
                  <c:v>0.7</c:v>
                </c:pt>
                <c:pt idx="190">
                  <c:v>0.4</c:v>
                </c:pt>
                <c:pt idx="191">
                  <c:v>0.6</c:v>
                </c:pt>
                <c:pt idx="192">
                  <c:v>0.6</c:v>
                </c:pt>
                <c:pt idx="193">
                  <c:v>0.9</c:v>
                </c:pt>
                <c:pt idx="194">
                  <c:v>0.6</c:v>
                </c:pt>
                <c:pt idx="195">
                  <c:v>0.5</c:v>
                </c:pt>
                <c:pt idx="196">
                  <c:v>0.7</c:v>
                </c:pt>
                <c:pt idx="197">
                  <c:v>0.9</c:v>
                </c:pt>
                <c:pt idx="198">
                  <c:v>0.7</c:v>
                </c:pt>
                <c:pt idx="199">
                  <c:v>0.8</c:v>
                </c:pt>
                <c:pt idx="200">
                  <c:v>1.1000000000000001</c:v>
                </c:pt>
                <c:pt idx="201">
                  <c:v>0.6</c:v>
                </c:pt>
                <c:pt idx="202">
                  <c:v>0.8</c:v>
                </c:pt>
                <c:pt idx="203">
                  <c:v>0.8</c:v>
                </c:pt>
                <c:pt idx="204">
                  <c:v>1.4</c:v>
                </c:pt>
                <c:pt idx="205">
                  <c:v>0.6</c:v>
                </c:pt>
                <c:pt idx="206">
                  <c:v>0.4</c:v>
                </c:pt>
                <c:pt idx="207">
                  <c:v>0.3</c:v>
                </c:pt>
                <c:pt idx="208">
                  <c:v>0.5</c:v>
                </c:pt>
                <c:pt idx="209">
                  <c:v>0.2</c:v>
                </c:pt>
                <c:pt idx="210">
                  <c:v>0.3</c:v>
                </c:pt>
                <c:pt idx="211">
                  <c:v>0.6</c:v>
                </c:pt>
                <c:pt idx="212">
                  <c:v>0.4</c:v>
                </c:pt>
                <c:pt idx="213">
                  <c:v>0.4</c:v>
                </c:pt>
                <c:pt idx="214">
                  <c:v>0.4</c:v>
                </c:pt>
                <c:pt idx="215">
                  <c:v>0.6</c:v>
                </c:pt>
                <c:pt idx="216">
                  <c:v>0.7</c:v>
                </c:pt>
                <c:pt idx="217">
                  <c:v>1.2</c:v>
                </c:pt>
                <c:pt idx="218">
                  <c:v>1</c:v>
                </c:pt>
                <c:pt idx="219">
                  <c:v>0.5</c:v>
                </c:pt>
                <c:pt idx="220">
                  <c:v>0.6</c:v>
                </c:pt>
                <c:pt idx="221">
                  <c:v>0.1</c:v>
                </c:pt>
                <c:pt idx="222">
                  <c:v>0.9</c:v>
                </c:pt>
                <c:pt idx="223">
                  <c:v>0.7</c:v>
                </c:pt>
                <c:pt idx="224">
                  <c:v>1.1000000000000001</c:v>
                </c:pt>
                <c:pt idx="225">
                  <c:v>1.4</c:v>
                </c:pt>
                <c:pt idx="226">
                  <c:v>0.7</c:v>
                </c:pt>
                <c:pt idx="227">
                  <c:v>1.2</c:v>
                </c:pt>
                <c:pt idx="228">
                  <c:v>0.6</c:v>
                </c:pt>
                <c:pt idx="229">
                  <c:v>0.8</c:v>
                </c:pt>
                <c:pt idx="230">
                  <c:v>1.6</c:v>
                </c:pt>
                <c:pt idx="231">
                  <c:v>0.9</c:v>
                </c:pt>
                <c:pt idx="232">
                  <c:v>1</c:v>
                </c:pt>
                <c:pt idx="233">
                  <c:v>0.8</c:v>
                </c:pt>
                <c:pt idx="234">
                  <c:v>0.2</c:v>
                </c:pt>
                <c:pt idx="235">
                  <c:v>0.2</c:v>
                </c:pt>
                <c:pt idx="236">
                  <c:v>0.6</c:v>
                </c:pt>
                <c:pt idx="237">
                  <c:v>0.3</c:v>
                </c:pt>
                <c:pt idx="238">
                  <c:v>0.4</c:v>
                </c:pt>
                <c:pt idx="239">
                  <c:v>0.6</c:v>
                </c:pt>
                <c:pt idx="240">
                  <c:v>0.7</c:v>
                </c:pt>
                <c:pt idx="241">
                  <c:v>0.8</c:v>
                </c:pt>
                <c:pt idx="242">
                  <c:v>1.6</c:v>
                </c:pt>
                <c:pt idx="243">
                  <c:v>0.7</c:v>
                </c:pt>
                <c:pt idx="244">
                  <c:v>0.5</c:v>
                </c:pt>
                <c:pt idx="245">
                  <c:v>1.1000000000000001</c:v>
                </c:pt>
                <c:pt idx="246">
                  <c:v>0.9</c:v>
                </c:pt>
                <c:pt idx="247">
                  <c:v>0.5</c:v>
                </c:pt>
                <c:pt idx="248">
                  <c:v>1</c:v>
                </c:pt>
                <c:pt idx="249">
                  <c:v>1.2</c:v>
                </c:pt>
                <c:pt idx="250">
                  <c:v>0.6</c:v>
                </c:pt>
                <c:pt idx="251">
                  <c:v>1.5</c:v>
                </c:pt>
                <c:pt idx="252">
                  <c:v>0.8</c:v>
                </c:pt>
                <c:pt idx="253">
                  <c:v>1.9</c:v>
                </c:pt>
                <c:pt idx="254">
                  <c:v>0.7</c:v>
                </c:pt>
                <c:pt idx="255">
                  <c:v>0.7</c:v>
                </c:pt>
                <c:pt idx="256">
                  <c:v>0.6</c:v>
                </c:pt>
                <c:pt idx="257">
                  <c:v>1</c:v>
                </c:pt>
                <c:pt idx="258">
                  <c:v>1.7</c:v>
                </c:pt>
                <c:pt idx="259">
                  <c:v>1.1000000000000001</c:v>
                </c:pt>
                <c:pt idx="260">
                  <c:v>1.2</c:v>
                </c:pt>
                <c:pt idx="261">
                  <c:v>1.5</c:v>
                </c:pt>
                <c:pt idx="262">
                  <c:v>2.1</c:v>
                </c:pt>
                <c:pt idx="263">
                  <c:v>0.9</c:v>
                </c:pt>
                <c:pt idx="264">
                  <c:v>1.4</c:v>
                </c:pt>
                <c:pt idx="265">
                  <c:v>1</c:v>
                </c:pt>
                <c:pt idx="266">
                  <c:v>0.9</c:v>
                </c:pt>
                <c:pt idx="267">
                  <c:v>0.5</c:v>
                </c:pt>
                <c:pt idx="268">
                  <c:v>0.7</c:v>
                </c:pt>
                <c:pt idx="269">
                  <c:v>0.4</c:v>
                </c:pt>
                <c:pt idx="270">
                  <c:v>0.5</c:v>
                </c:pt>
                <c:pt idx="271">
                  <c:v>0.9</c:v>
                </c:pt>
                <c:pt idx="272">
                  <c:v>0.9</c:v>
                </c:pt>
                <c:pt idx="273">
                  <c:v>0.7</c:v>
                </c:pt>
                <c:pt idx="274">
                  <c:v>1</c:v>
                </c:pt>
                <c:pt idx="275">
                  <c:v>1.6</c:v>
                </c:pt>
                <c:pt idx="276">
                  <c:v>0.4</c:v>
                </c:pt>
                <c:pt idx="277">
                  <c:v>0.5</c:v>
                </c:pt>
                <c:pt idx="278">
                  <c:v>1</c:v>
                </c:pt>
                <c:pt idx="279">
                  <c:v>0.6</c:v>
                </c:pt>
                <c:pt idx="280">
                  <c:v>0.6</c:v>
                </c:pt>
                <c:pt idx="281">
                  <c:v>1.7</c:v>
                </c:pt>
                <c:pt idx="282">
                  <c:v>0.6</c:v>
                </c:pt>
                <c:pt idx="283">
                  <c:v>0.4</c:v>
                </c:pt>
                <c:pt idx="284">
                  <c:v>1.6</c:v>
                </c:pt>
                <c:pt idx="285">
                  <c:v>0.7</c:v>
                </c:pt>
                <c:pt idx="286">
                  <c:v>0.5</c:v>
                </c:pt>
                <c:pt idx="287">
                  <c:v>0.6</c:v>
                </c:pt>
                <c:pt idx="288">
                  <c:v>0.6</c:v>
                </c:pt>
                <c:pt idx="289">
                  <c:v>0.8</c:v>
                </c:pt>
                <c:pt idx="290">
                  <c:v>0.6</c:v>
                </c:pt>
                <c:pt idx="291">
                  <c:v>0.7</c:v>
                </c:pt>
                <c:pt idx="292">
                  <c:v>0.9</c:v>
                </c:pt>
                <c:pt idx="293">
                  <c:v>1</c:v>
                </c:pt>
                <c:pt idx="294">
                  <c:v>0.9</c:v>
                </c:pt>
                <c:pt idx="295">
                  <c:v>0.9</c:v>
                </c:pt>
                <c:pt idx="296">
                  <c:v>1.4</c:v>
                </c:pt>
                <c:pt idx="297">
                  <c:v>1.2</c:v>
                </c:pt>
                <c:pt idx="298">
                  <c:v>0.8</c:v>
                </c:pt>
                <c:pt idx="299">
                  <c:v>0.9</c:v>
                </c:pt>
                <c:pt idx="300">
                  <c:v>0.7</c:v>
                </c:pt>
                <c:pt idx="301">
                  <c:v>1.1000000000000001</c:v>
                </c:pt>
                <c:pt idx="302">
                  <c:v>0.5</c:v>
                </c:pt>
                <c:pt idx="303">
                  <c:v>1.7</c:v>
                </c:pt>
                <c:pt idx="304">
                  <c:v>0.5</c:v>
                </c:pt>
                <c:pt idx="305">
                  <c:v>0.5</c:v>
                </c:pt>
                <c:pt idx="306">
                  <c:v>0.4</c:v>
                </c:pt>
                <c:pt idx="307">
                  <c:v>1.5</c:v>
                </c:pt>
                <c:pt idx="308">
                  <c:v>1.4</c:v>
                </c:pt>
                <c:pt idx="309">
                  <c:v>1.2</c:v>
                </c:pt>
                <c:pt idx="310">
                  <c:v>1.1000000000000001</c:v>
                </c:pt>
                <c:pt idx="311">
                  <c:v>1.1000000000000001</c:v>
                </c:pt>
                <c:pt idx="312">
                  <c:v>0.6</c:v>
                </c:pt>
                <c:pt idx="313">
                  <c:v>1.4</c:v>
                </c:pt>
                <c:pt idx="314">
                  <c:v>0.6</c:v>
                </c:pt>
                <c:pt idx="315">
                  <c:v>0.6</c:v>
                </c:pt>
                <c:pt idx="316">
                  <c:v>1.2</c:v>
                </c:pt>
                <c:pt idx="317">
                  <c:v>0.9</c:v>
                </c:pt>
                <c:pt idx="318">
                  <c:v>1.2</c:v>
                </c:pt>
                <c:pt idx="319">
                  <c:v>0.9</c:v>
                </c:pt>
                <c:pt idx="320">
                  <c:v>1.1000000000000001</c:v>
                </c:pt>
                <c:pt idx="321">
                  <c:v>0.9</c:v>
                </c:pt>
                <c:pt idx="322">
                  <c:v>1</c:v>
                </c:pt>
                <c:pt idx="323">
                  <c:v>0.9</c:v>
                </c:pt>
                <c:pt idx="324">
                  <c:v>1.6</c:v>
                </c:pt>
                <c:pt idx="325">
                  <c:v>1.1000000000000001</c:v>
                </c:pt>
                <c:pt idx="326">
                  <c:v>0.6</c:v>
                </c:pt>
                <c:pt idx="327">
                  <c:v>1</c:v>
                </c:pt>
                <c:pt idx="328">
                  <c:v>1.6</c:v>
                </c:pt>
                <c:pt idx="329">
                  <c:v>1</c:v>
                </c:pt>
                <c:pt idx="330">
                  <c:v>0.3</c:v>
                </c:pt>
                <c:pt idx="331">
                  <c:v>0.5</c:v>
                </c:pt>
                <c:pt idx="332">
                  <c:v>0.9</c:v>
                </c:pt>
                <c:pt idx="333">
                  <c:v>0.9</c:v>
                </c:pt>
                <c:pt idx="334">
                  <c:v>1.4</c:v>
                </c:pt>
                <c:pt idx="335">
                  <c:v>0.8</c:v>
                </c:pt>
                <c:pt idx="336">
                  <c:v>1.3</c:v>
                </c:pt>
                <c:pt idx="337">
                  <c:v>1.3</c:v>
                </c:pt>
                <c:pt idx="338">
                  <c:v>0.9</c:v>
                </c:pt>
                <c:pt idx="339">
                  <c:v>1.2</c:v>
                </c:pt>
                <c:pt idx="340">
                  <c:v>1.3</c:v>
                </c:pt>
                <c:pt idx="341">
                  <c:v>1.2</c:v>
                </c:pt>
                <c:pt idx="342">
                  <c:v>1.7</c:v>
                </c:pt>
                <c:pt idx="343">
                  <c:v>1</c:v>
                </c:pt>
                <c:pt idx="344">
                  <c:v>0.9</c:v>
                </c:pt>
                <c:pt idx="345">
                  <c:v>0.9</c:v>
                </c:pt>
                <c:pt idx="346">
                  <c:v>1</c:v>
                </c:pt>
                <c:pt idx="347">
                  <c:v>1.1000000000000001</c:v>
                </c:pt>
                <c:pt idx="348">
                  <c:v>1.1000000000000001</c:v>
                </c:pt>
                <c:pt idx="349">
                  <c:v>1.4</c:v>
                </c:pt>
                <c:pt idx="350">
                  <c:v>0.7</c:v>
                </c:pt>
                <c:pt idx="351">
                  <c:v>1.1000000000000001</c:v>
                </c:pt>
                <c:pt idx="352">
                  <c:v>1</c:v>
                </c:pt>
                <c:pt idx="353">
                  <c:v>1</c:v>
                </c:pt>
                <c:pt idx="354">
                  <c:v>1.2</c:v>
                </c:pt>
                <c:pt idx="355">
                  <c:v>1.9</c:v>
                </c:pt>
                <c:pt idx="356">
                  <c:v>0.7</c:v>
                </c:pt>
                <c:pt idx="357">
                  <c:v>1</c:v>
                </c:pt>
                <c:pt idx="358">
                  <c:v>0.8</c:v>
                </c:pt>
                <c:pt idx="359">
                  <c:v>0.7</c:v>
                </c:pt>
                <c:pt idx="360">
                  <c:v>1.3</c:v>
                </c:pt>
                <c:pt idx="361">
                  <c:v>1.1000000000000001</c:v>
                </c:pt>
                <c:pt idx="362">
                  <c:v>0.6</c:v>
                </c:pt>
                <c:pt idx="363">
                  <c:v>0.9</c:v>
                </c:pt>
                <c:pt idx="364">
                  <c:v>0.9</c:v>
                </c:pt>
                <c:pt idx="365">
                  <c:v>1</c:v>
                </c:pt>
                <c:pt idx="366">
                  <c:v>1.5</c:v>
                </c:pt>
                <c:pt idx="367">
                  <c:v>1.1000000000000001</c:v>
                </c:pt>
                <c:pt idx="368">
                  <c:v>1.2</c:v>
                </c:pt>
                <c:pt idx="369">
                  <c:v>1.5</c:v>
                </c:pt>
                <c:pt idx="370">
                  <c:v>1.2</c:v>
                </c:pt>
                <c:pt idx="371">
                  <c:v>0.8</c:v>
                </c:pt>
                <c:pt idx="372">
                  <c:v>0.7</c:v>
                </c:pt>
                <c:pt idx="373">
                  <c:v>0.6</c:v>
                </c:pt>
                <c:pt idx="374">
                  <c:v>0.6</c:v>
                </c:pt>
                <c:pt idx="375">
                  <c:v>0.8</c:v>
                </c:pt>
                <c:pt idx="376">
                  <c:v>1</c:v>
                </c:pt>
                <c:pt idx="377">
                  <c:v>0.8</c:v>
                </c:pt>
                <c:pt idx="378">
                  <c:v>1.5</c:v>
                </c:pt>
                <c:pt idx="379">
                  <c:v>1.4</c:v>
                </c:pt>
                <c:pt idx="380">
                  <c:v>1.1000000000000001</c:v>
                </c:pt>
                <c:pt idx="381">
                  <c:v>0.9</c:v>
                </c:pt>
                <c:pt idx="382">
                  <c:v>1.7</c:v>
                </c:pt>
                <c:pt idx="383">
                  <c:v>2</c:v>
                </c:pt>
                <c:pt idx="384">
                  <c:v>0.6</c:v>
                </c:pt>
                <c:pt idx="385">
                  <c:v>1.1000000000000001</c:v>
                </c:pt>
                <c:pt idx="386">
                  <c:v>1.3</c:v>
                </c:pt>
                <c:pt idx="387">
                  <c:v>1.2</c:v>
                </c:pt>
                <c:pt idx="388">
                  <c:v>1.3</c:v>
                </c:pt>
                <c:pt idx="389">
                  <c:v>0.7</c:v>
                </c:pt>
                <c:pt idx="390">
                  <c:v>1</c:v>
                </c:pt>
                <c:pt idx="391">
                  <c:v>0.8</c:v>
                </c:pt>
                <c:pt idx="392">
                  <c:v>1.3</c:v>
                </c:pt>
                <c:pt idx="393">
                  <c:v>1.4</c:v>
                </c:pt>
                <c:pt idx="394">
                  <c:v>0.3</c:v>
                </c:pt>
                <c:pt idx="395">
                  <c:v>0</c:v>
                </c:pt>
                <c:pt idx="396">
                  <c:v>0</c:v>
                </c:pt>
                <c:pt idx="397">
                  <c:v>1.1000000000000001</c:v>
                </c:pt>
                <c:pt idx="398">
                  <c:v>1.5</c:v>
                </c:pt>
                <c:pt idx="399">
                  <c:v>1.2</c:v>
                </c:pt>
                <c:pt idx="400">
                  <c:v>0</c:v>
                </c:pt>
                <c:pt idx="401">
                  <c:v>1.4</c:v>
                </c:pt>
                <c:pt idx="402">
                  <c:v>1.2</c:v>
                </c:pt>
                <c:pt idx="403">
                  <c:v>0.8</c:v>
                </c:pt>
                <c:pt idx="404">
                  <c:v>1.8</c:v>
                </c:pt>
                <c:pt idx="405">
                  <c:v>1.1000000000000001</c:v>
                </c:pt>
                <c:pt idx="406">
                  <c:v>1.2</c:v>
                </c:pt>
                <c:pt idx="407">
                  <c:v>1.2</c:v>
                </c:pt>
                <c:pt idx="408">
                  <c:v>1.5</c:v>
                </c:pt>
                <c:pt idx="409">
                  <c:v>1.6</c:v>
                </c:pt>
                <c:pt idx="410">
                  <c:v>0.8</c:v>
                </c:pt>
                <c:pt idx="411">
                  <c:v>1</c:v>
                </c:pt>
                <c:pt idx="412">
                  <c:v>0.7</c:v>
                </c:pt>
                <c:pt idx="413">
                  <c:v>1.6</c:v>
                </c:pt>
                <c:pt idx="414">
                  <c:v>1.7</c:v>
                </c:pt>
                <c:pt idx="415">
                  <c:v>0.9</c:v>
                </c:pt>
                <c:pt idx="416">
                  <c:v>1.3</c:v>
                </c:pt>
                <c:pt idx="417">
                  <c:v>1.7</c:v>
                </c:pt>
                <c:pt idx="418">
                  <c:v>1.7</c:v>
                </c:pt>
                <c:pt idx="419">
                  <c:v>2.6</c:v>
                </c:pt>
                <c:pt idx="420">
                  <c:v>0.4</c:v>
                </c:pt>
                <c:pt idx="421">
                  <c:v>1.2</c:v>
                </c:pt>
                <c:pt idx="422">
                  <c:v>1.7</c:v>
                </c:pt>
                <c:pt idx="423">
                  <c:v>0.7</c:v>
                </c:pt>
                <c:pt idx="424">
                  <c:v>1.1000000000000001</c:v>
                </c:pt>
                <c:pt idx="425">
                  <c:v>1.5</c:v>
                </c:pt>
                <c:pt idx="426">
                  <c:v>2.9</c:v>
                </c:pt>
                <c:pt idx="427">
                  <c:v>1.2</c:v>
                </c:pt>
                <c:pt idx="428">
                  <c:v>1.8</c:v>
                </c:pt>
                <c:pt idx="429">
                  <c:v>1.3</c:v>
                </c:pt>
                <c:pt idx="430">
                  <c:v>1.5</c:v>
                </c:pt>
                <c:pt idx="431">
                  <c:v>1.4</c:v>
                </c:pt>
                <c:pt idx="432">
                  <c:v>1.5</c:v>
                </c:pt>
                <c:pt idx="433">
                  <c:v>1.8</c:v>
                </c:pt>
                <c:pt idx="434">
                  <c:v>1.6</c:v>
                </c:pt>
                <c:pt idx="435">
                  <c:v>1.6</c:v>
                </c:pt>
                <c:pt idx="436">
                  <c:v>1.2</c:v>
                </c:pt>
                <c:pt idx="437">
                  <c:v>0.6</c:v>
                </c:pt>
                <c:pt idx="438">
                  <c:v>0.6</c:v>
                </c:pt>
                <c:pt idx="439">
                  <c:v>1.2</c:v>
                </c:pt>
                <c:pt idx="440">
                  <c:v>1.6</c:v>
                </c:pt>
                <c:pt idx="441">
                  <c:v>1.4</c:v>
                </c:pt>
                <c:pt idx="442">
                  <c:v>2.6</c:v>
                </c:pt>
                <c:pt idx="443">
                  <c:v>1.3</c:v>
                </c:pt>
                <c:pt idx="444">
                  <c:v>1.7</c:v>
                </c:pt>
                <c:pt idx="445">
                  <c:v>1.9</c:v>
                </c:pt>
                <c:pt idx="446">
                  <c:v>1.9</c:v>
                </c:pt>
                <c:pt idx="447">
                  <c:v>1.8</c:v>
                </c:pt>
                <c:pt idx="448">
                  <c:v>1</c:v>
                </c:pt>
                <c:pt idx="449">
                  <c:v>1.7</c:v>
                </c:pt>
                <c:pt idx="450">
                  <c:v>1.4</c:v>
                </c:pt>
                <c:pt idx="451">
                  <c:v>1.9</c:v>
                </c:pt>
                <c:pt idx="452">
                  <c:v>1.1000000000000001</c:v>
                </c:pt>
                <c:pt idx="453">
                  <c:v>1.4</c:v>
                </c:pt>
                <c:pt idx="454">
                  <c:v>1.5</c:v>
                </c:pt>
                <c:pt idx="455">
                  <c:v>1.9</c:v>
                </c:pt>
                <c:pt idx="456">
                  <c:v>2.1</c:v>
                </c:pt>
                <c:pt idx="457">
                  <c:v>1</c:v>
                </c:pt>
                <c:pt idx="458">
                  <c:v>2.4</c:v>
                </c:pt>
                <c:pt idx="459">
                  <c:v>1</c:v>
                </c:pt>
                <c:pt idx="460">
                  <c:v>1.9</c:v>
                </c:pt>
                <c:pt idx="461">
                  <c:v>1.4</c:v>
                </c:pt>
                <c:pt idx="462">
                  <c:v>1.1000000000000001</c:v>
                </c:pt>
                <c:pt idx="463">
                  <c:v>2</c:v>
                </c:pt>
                <c:pt idx="464">
                  <c:v>1.9</c:v>
                </c:pt>
                <c:pt idx="465">
                  <c:v>1.5</c:v>
                </c:pt>
                <c:pt idx="466">
                  <c:v>1.9</c:v>
                </c:pt>
                <c:pt idx="467">
                  <c:v>1.2</c:v>
                </c:pt>
                <c:pt idx="468">
                  <c:v>2.8</c:v>
                </c:pt>
                <c:pt idx="469">
                  <c:v>2.4</c:v>
                </c:pt>
                <c:pt idx="470">
                  <c:v>1.6</c:v>
                </c:pt>
                <c:pt idx="471">
                  <c:v>2</c:v>
                </c:pt>
                <c:pt idx="472">
                  <c:v>1.6</c:v>
                </c:pt>
                <c:pt idx="473">
                  <c:v>1.3</c:v>
                </c:pt>
                <c:pt idx="474">
                  <c:v>2.7</c:v>
                </c:pt>
                <c:pt idx="475">
                  <c:v>2.1</c:v>
                </c:pt>
                <c:pt idx="476">
                  <c:v>2.9</c:v>
                </c:pt>
                <c:pt idx="477">
                  <c:v>1.7</c:v>
                </c:pt>
                <c:pt idx="478">
                  <c:v>3.2</c:v>
                </c:pt>
                <c:pt idx="479">
                  <c:v>1.4</c:v>
                </c:pt>
                <c:pt idx="480">
                  <c:v>2.2000000000000002</c:v>
                </c:pt>
                <c:pt idx="481">
                  <c:v>1.3</c:v>
                </c:pt>
                <c:pt idx="482">
                  <c:v>1.9</c:v>
                </c:pt>
                <c:pt idx="483">
                  <c:v>3.8</c:v>
                </c:pt>
                <c:pt idx="484">
                  <c:v>2.9</c:v>
                </c:pt>
                <c:pt idx="485">
                  <c:v>1.7</c:v>
                </c:pt>
                <c:pt idx="486">
                  <c:v>1.9</c:v>
                </c:pt>
                <c:pt idx="487">
                  <c:v>1.2</c:v>
                </c:pt>
                <c:pt idx="488">
                  <c:v>1.2</c:v>
                </c:pt>
                <c:pt idx="489">
                  <c:v>2.5</c:v>
                </c:pt>
                <c:pt idx="490">
                  <c:v>2.1</c:v>
                </c:pt>
                <c:pt idx="491">
                  <c:v>1.4</c:v>
                </c:pt>
                <c:pt idx="492">
                  <c:v>1.4</c:v>
                </c:pt>
                <c:pt idx="493">
                  <c:v>2.1</c:v>
                </c:pt>
                <c:pt idx="494">
                  <c:v>2.9</c:v>
                </c:pt>
                <c:pt idx="495">
                  <c:v>2</c:v>
                </c:pt>
                <c:pt idx="496">
                  <c:v>1.6</c:v>
                </c:pt>
                <c:pt idx="497">
                  <c:v>1.6</c:v>
                </c:pt>
                <c:pt idx="498">
                  <c:v>2.1</c:v>
                </c:pt>
                <c:pt idx="499">
                  <c:v>1.2</c:v>
                </c:pt>
                <c:pt idx="500">
                  <c:v>1.6</c:v>
                </c:pt>
                <c:pt idx="501">
                  <c:v>1.7</c:v>
                </c:pt>
                <c:pt idx="502">
                  <c:v>1.4</c:v>
                </c:pt>
                <c:pt idx="503">
                  <c:v>1.8</c:v>
                </c:pt>
                <c:pt idx="504">
                  <c:v>2.2999999999999998</c:v>
                </c:pt>
                <c:pt idx="505">
                  <c:v>3</c:v>
                </c:pt>
                <c:pt idx="506">
                  <c:v>2.8</c:v>
                </c:pt>
                <c:pt idx="507">
                  <c:v>1.4</c:v>
                </c:pt>
                <c:pt idx="508">
                  <c:v>1.3</c:v>
                </c:pt>
                <c:pt idx="509">
                  <c:v>3</c:v>
                </c:pt>
                <c:pt idx="510">
                  <c:v>2.5</c:v>
                </c:pt>
                <c:pt idx="511">
                  <c:v>2.1</c:v>
                </c:pt>
                <c:pt idx="512">
                  <c:v>3.4</c:v>
                </c:pt>
                <c:pt idx="513">
                  <c:v>2.4</c:v>
                </c:pt>
                <c:pt idx="514">
                  <c:v>2.5</c:v>
                </c:pt>
                <c:pt idx="515">
                  <c:v>2.6</c:v>
                </c:pt>
                <c:pt idx="516">
                  <c:v>3.2</c:v>
                </c:pt>
                <c:pt idx="517">
                  <c:v>2.9</c:v>
                </c:pt>
                <c:pt idx="518">
                  <c:v>1.8</c:v>
                </c:pt>
                <c:pt idx="519">
                  <c:v>2.2000000000000002</c:v>
                </c:pt>
                <c:pt idx="520">
                  <c:v>2.6</c:v>
                </c:pt>
                <c:pt idx="521">
                  <c:v>2.1</c:v>
                </c:pt>
                <c:pt idx="522">
                  <c:v>2.7</c:v>
                </c:pt>
                <c:pt idx="523">
                  <c:v>2.9</c:v>
                </c:pt>
                <c:pt idx="524">
                  <c:v>1.9</c:v>
                </c:pt>
                <c:pt idx="525">
                  <c:v>1.7</c:v>
                </c:pt>
                <c:pt idx="526">
                  <c:v>2</c:v>
                </c:pt>
                <c:pt idx="527">
                  <c:v>2.2000000000000002</c:v>
                </c:pt>
                <c:pt idx="528">
                  <c:v>2.2000000000000002</c:v>
                </c:pt>
                <c:pt idx="529">
                  <c:v>1.8</c:v>
                </c:pt>
                <c:pt idx="530">
                  <c:v>1.9</c:v>
                </c:pt>
                <c:pt idx="531">
                  <c:v>2.8</c:v>
                </c:pt>
                <c:pt idx="532">
                  <c:v>1.3</c:v>
                </c:pt>
                <c:pt idx="533">
                  <c:v>3.7</c:v>
                </c:pt>
                <c:pt idx="534">
                  <c:v>2.8</c:v>
                </c:pt>
                <c:pt idx="535">
                  <c:v>3.6</c:v>
                </c:pt>
                <c:pt idx="536">
                  <c:v>2.4</c:v>
                </c:pt>
                <c:pt idx="537">
                  <c:v>1.5</c:v>
                </c:pt>
                <c:pt idx="538">
                  <c:v>2.1</c:v>
                </c:pt>
                <c:pt idx="539">
                  <c:v>2.6</c:v>
                </c:pt>
                <c:pt idx="540">
                  <c:v>2.8</c:v>
                </c:pt>
                <c:pt idx="541">
                  <c:v>2.7</c:v>
                </c:pt>
                <c:pt idx="542">
                  <c:v>2.2999999999999998</c:v>
                </c:pt>
                <c:pt idx="543">
                  <c:v>4.4000000000000004</c:v>
                </c:pt>
                <c:pt idx="544">
                  <c:v>2.1</c:v>
                </c:pt>
                <c:pt idx="545">
                  <c:v>2.8</c:v>
                </c:pt>
                <c:pt idx="546">
                  <c:v>2.4</c:v>
                </c:pt>
                <c:pt idx="547">
                  <c:v>2.6</c:v>
                </c:pt>
                <c:pt idx="548">
                  <c:v>2.7</c:v>
                </c:pt>
                <c:pt idx="549">
                  <c:v>1.4</c:v>
                </c:pt>
                <c:pt idx="550">
                  <c:v>3.1</c:v>
                </c:pt>
                <c:pt idx="551">
                  <c:v>2.5</c:v>
                </c:pt>
                <c:pt idx="552">
                  <c:v>2.9</c:v>
                </c:pt>
                <c:pt idx="553">
                  <c:v>3.2</c:v>
                </c:pt>
                <c:pt idx="554">
                  <c:v>2.9</c:v>
                </c:pt>
                <c:pt idx="555">
                  <c:v>3.7</c:v>
                </c:pt>
                <c:pt idx="556">
                  <c:v>3.3</c:v>
                </c:pt>
                <c:pt idx="557">
                  <c:v>2.8</c:v>
                </c:pt>
                <c:pt idx="558">
                  <c:v>2.5</c:v>
                </c:pt>
                <c:pt idx="559">
                  <c:v>1.3</c:v>
                </c:pt>
                <c:pt idx="560">
                  <c:v>2.2000000000000002</c:v>
                </c:pt>
                <c:pt idx="561">
                  <c:v>4.3</c:v>
                </c:pt>
                <c:pt idx="562">
                  <c:v>4.7</c:v>
                </c:pt>
                <c:pt idx="563">
                  <c:v>3.6</c:v>
                </c:pt>
                <c:pt idx="564">
                  <c:v>3</c:v>
                </c:pt>
                <c:pt idx="565">
                  <c:v>3</c:v>
                </c:pt>
                <c:pt idx="566">
                  <c:v>2.4</c:v>
                </c:pt>
                <c:pt idx="567">
                  <c:v>3.3</c:v>
                </c:pt>
                <c:pt idx="568">
                  <c:v>3.1</c:v>
                </c:pt>
              </c:numCache>
            </c:numRef>
          </c:xVal>
          <c:yVal>
            <c:numRef>
              <c:f>'Cleaned Data'!$F$2:$F$570</c:f>
              <c:numCache>
                <c:formatCode>General</c:formatCode>
                <c:ptCount val="569"/>
                <c:pt idx="0">
                  <c:v>0</c:v>
                </c:pt>
                <c:pt idx="1">
                  <c:v>0</c:v>
                </c:pt>
                <c:pt idx="2">
                  <c:v>0</c:v>
                </c:pt>
                <c:pt idx="3">
                  <c:v>0</c:v>
                </c:pt>
                <c:pt idx="4">
                  <c:v>0</c:v>
                </c:pt>
                <c:pt idx="5">
                  <c:v>0</c:v>
                </c:pt>
                <c:pt idx="6">
                  <c:v>0</c:v>
                </c:pt>
                <c:pt idx="7">
                  <c:v>0</c:v>
                </c:pt>
                <c:pt idx="8">
                  <c:v>-0.1</c:v>
                </c:pt>
                <c:pt idx="9">
                  <c:v>-0.1</c:v>
                </c:pt>
                <c:pt idx="10">
                  <c:v>-0.1</c:v>
                </c:pt>
                <c:pt idx="11">
                  <c:v>0</c:v>
                </c:pt>
                <c:pt idx="12">
                  <c:v>0</c:v>
                </c:pt>
                <c:pt idx="13">
                  <c:v>0</c:v>
                </c:pt>
                <c:pt idx="14">
                  <c:v>0</c:v>
                </c:pt>
                <c:pt idx="15">
                  <c:v>-0.2</c:v>
                </c:pt>
                <c:pt idx="16">
                  <c:v>0</c:v>
                </c:pt>
                <c:pt idx="17">
                  <c:v>0</c:v>
                </c:pt>
                <c:pt idx="18">
                  <c:v>0</c:v>
                </c:pt>
                <c:pt idx="19">
                  <c:v>0</c:v>
                </c:pt>
                <c:pt idx="20">
                  <c:v>0</c:v>
                </c:pt>
                <c:pt idx="21">
                  <c:v>0</c:v>
                </c:pt>
                <c:pt idx="22">
                  <c:v>-0.1</c:v>
                </c:pt>
                <c:pt idx="23">
                  <c:v>0</c:v>
                </c:pt>
                <c:pt idx="24">
                  <c:v>-0.1</c:v>
                </c:pt>
                <c:pt idx="25">
                  <c:v>-0.1</c:v>
                </c:pt>
                <c:pt idx="26">
                  <c:v>-0.1</c:v>
                </c:pt>
                <c:pt idx="27">
                  <c:v>-0.1</c:v>
                </c:pt>
                <c:pt idx="28">
                  <c:v>-0.4</c:v>
                </c:pt>
                <c:pt idx="29">
                  <c:v>-0.4</c:v>
                </c:pt>
                <c:pt idx="30">
                  <c:v>-0.1</c:v>
                </c:pt>
                <c:pt idx="31">
                  <c:v>-0.2</c:v>
                </c:pt>
                <c:pt idx="32">
                  <c:v>0</c:v>
                </c:pt>
                <c:pt idx="33">
                  <c:v>-0.1</c:v>
                </c:pt>
                <c:pt idx="34">
                  <c:v>0.1</c:v>
                </c:pt>
                <c:pt idx="35">
                  <c:v>-0.2</c:v>
                </c:pt>
                <c:pt idx="36">
                  <c:v>0.5</c:v>
                </c:pt>
                <c:pt idx="37">
                  <c:v>-0.1</c:v>
                </c:pt>
                <c:pt idx="38">
                  <c:v>0</c:v>
                </c:pt>
                <c:pt idx="39">
                  <c:v>-0.2</c:v>
                </c:pt>
                <c:pt idx="40">
                  <c:v>-0.2</c:v>
                </c:pt>
                <c:pt idx="41">
                  <c:v>-0.2</c:v>
                </c:pt>
                <c:pt idx="42">
                  <c:v>0</c:v>
                </c:pt>
                <c:pt idx="43">
                  <c:v>1.1000000000000001</c:v>
                </c:pt>
                <c:pt idx="44">
                  <c:v>0</c:v>
                </c:pt>
                <c:pt idx="45">
                  <c:v>-0.2</c:v>
                </c:pt>
                <c:pt idx="46">
                  <c:v>-0.2</c:v>
                </c:pt>
                <c:pt idx="47">
                  <c:v>0.1</c:v>
                </c:pt>
                <c:pt idx="48">
                  <c:v>0</c:v>
                </c:pt>
                <c:pt idx="49">
                  <c:v>-0.1</c:v>
                </c:pt>
                <c:pt idx="50">
                  <c:v>1</c:v>
                </c:pt>
                <c:pt idx="51">
                  <c:v>0</c:v>
                </c:pt>
                <c:pt idx="52">
                  <c:v>0</c:v>
                </c:pt>
                <c:pt idx="53">
                  <c:v>0</c:v>
                </c:pt>
                <c:pt idx="54">
                  <c:v>0</c:v>
                </c:pt>
                <c:pt idx="55">
                  <c:v>-0.1</c:v>
                </c:pt>
                <c:pt idx="56">
                  <c:v>-0.1</c:v>
                </c:pt>
                <c:pt idx="57">
                  <c:v>-0.1</c:v>
                </c:pt>
                <c:pt idx="58">
                  <c:v>0</c:v>
                </c:pt>
                <c:pt idx="59">
                  <c:v>0</c:v>
                </c:pt>
                <c:pt idx="60">
                  <c:v>-0.1</c:v>
                </c:pt>
                <c:pt idx="61">
                  <c:v>0</c:v>
                </c:pt>
                <c:pt idx="62">
                  <c:v>-0.1</c:v>
                </c:pt>
                <c:pt idx="63">
                  <c:v>0</c:v>
                </c:pt>
                <c:pt idx="64">
                  <c:v>0</c:v>
                </c:pt>
                <c:pt idx="65">
                  <c:v>0</c:v>
                </c:pt>
                <c:pt idx="66">
                  <c:v>0.1</c:v>
                </c:pt>
                <c:pt idx="67">
                  <c:v>-0.8</c:v>
                </c:pt>
                <c:pt idx="68">
                  <c:v>-0.1</c:v>
                </c:pt>
                <c:pt idx="69">
                  <c:v>1</c:v>
                </c:pt>
                <c:pt idx="70">
                  <c:v>-0.2</c:v>
                </c:pt>
                <c:pt idx="71">
                  <c:v>0.1</c:v>
                </c:pt>
                <c:pt idx="72">
                  <c:v>0.1</c:v>
                </c:pt>
                <c:pt idx="73">
                  <c:v>-0.3</c:v>
                </c:pt>
                <c:pt idx="74">
                  <c:v>1.2</c:v>
                </c:pt>
                <c:pt idx="75">
                  <c:v>-0.6</c:v>
                </c:pt>
                <c:pt idx="76">
                  <c:v>0</c:v>
                </c:pt>
                <c:pt idx="77">
                  <c:v>0.1</c:v>
                </c:pt>
                <c:pt idx="78">
                  <c:v>-0.1</c:v>
                </c:pt>
                <c:pt idx="79">
                  <c:v>-0.1</c:v>
                </c:pt>
                <c:pt idx="80">
                  <c:v>0</c:v>
                </c:pt>
                <c:pt idx="81">
                  <c:v>-0.1</c:v>
                </c:pt>
                <c:pt idx="82">
                  <c:v>0.8</c:v>
                </c:pt>
                <c:pt idx="83">
                  <c:v>-0.1</c:v>
                </c:pt>
                <c:pt idx="84">
                  <c:v>0.2</c:v>
                </c:pt>
                <c:pt idx="85">
                  <c:v>0</c:v>
                </c:pt>
                <c:pt idx="86">
                  <c:v>0.3</c:v>
                </c:pt>
                <c:pt idx="87">
                  <c:v>-0.1</c:v>
                </c:pt>
                <c:pt idx="88">
                  <c:v>-0.1</c:v>
                </c:pt>
                <c:pt idx="89">
                  <c:v>-0.1</c:v>
                </c:pt>
                <c:pt idx="90">
                  <c:v>-0.6</c:v>
                </c:pt>
                <c:pt idx="91">
                  <c:v>-0.1</c:v>
                </c:pt>
                <c:pt idx="92">
                  <c:v>0</c:v>
                </c:pt>
                <c:pt idx="93">
                  <c:v>0</c:v>
                </c:pt>
                <c:pt idx="94">
                  <c:v>-0.2</c:v>
                </c:pt>
                <c:pt idx="95">
                  <c:v>0.1</c:v>
                </c:pt>
                <c:pt idx="96">
                  <c:v>-0.1</c:v>
                </c:pt>
                <c:pt idx="97">
                  <c:v>-0.1</c:v>
                </c:pt>
                <c:pt idx="98">
                  <c:v>-0.3</c:v>
                </c:pt>
                <c:pt idx="99">
                  <c:v>-0.1</c:v>
                </c:pt>
                <c:pt idx="100">
                  <c:v>0</c:v>
                </c:pt>
                <c:pt idx="101">
                  <c:v>-0.2</c:v>
                </c:pt>
                <c:pt idx="102">
                  <c:v>-0.2</c:v>
                </c:pt>
                <c:pt idx="103">
                  <c:v>-0.2</c:v>
                </c:pt>
                <c:pt idx="104">
                  <c:v>0.2</c:v>
                </c:pt>
                <c:pt idx="105">
                  <c:v>0</c:v>
                </c:pt>
                <c:pt idx="106">
                  <c:v>0.1</c:v>
                </c:pt>
                <c:pt idx="107">
                  <c:v>-0.1</c:v>
                </c:pt>
                <c:pt idx="108">
                  <c:v>0.1</c:v>
                </c:pt>
                <c:pt idx="109">
                  <c:v>0</c:v>
                </c:pt>
                <c:pt idx="110">
                  <c:v>-0.1</c:v>
                </c:pt>
                <c:pt idx="111">
                  <c:v>-0.1</c:v>
                </c:pt>
                <c:pt idx="112">
                  <c:v>0.7</c:v>
                </c:pt>
                <c:pt idx="113">
                  <c:v>-0.3</c:v>
                </c:pt>
                <c:pt idx="114">
                  <c:v>0.1</c:v>
                </c:pt>
                <c:pt idx="115">
                  <c:v>0.1</c:v>
                </c:pt>
                <c:pt idx="116">
                  <c:v>-0.3</c:v>
                </c:pt>
                <c:pt idx="117">
                  <c:v>-0.2</c:v>
                </c:pt>
                <c:pt idx="118">
                  <c:v>-0.2</c:v>
                </c:pt>
                <c:pt idx="119">
                  <c:v>-0.3</c:v>
                </c:pt>
                <c:pt idx="120">
                  <c:v>0.2</c:v>
                </c:pt>
                <c:pt idx="121">
                  <c:v>0</c:v>
                </c:pt>
                <c:pt idx="122">
                  <c:v>0</c:v>
                </c:pt>
                <c:pt idx="123">
                  <c:v>-0.1</c:v>
                </c:pt>
                <c:pt idx="124">
                  <c:v>-0.2</c:v>
                </c:pt>
                <c:pt idx="125">
                  <c:v>-0.3</c:v>
                </c:pt>
                <c:pt idx="126">
                  <c:v>0.1</c:v>
                </c:pt>
                <c:pt idx="127">
                  <c:v>-0.7</c:v>
                </c:pt>
                <c:pt idx="128">
                  <c:v>0.4</c:v>
                </c:pt>
                <c:pt idx="129">
                  <c:v>1.5</c:v>
                </c:pt>
                <c:pt idx="130">
                  <c:v>0</c:v>
                </c:pt>
                <c:pt idx="131">
                  <c:v>-0.1</c:v>
                </c:pt>
                <c:pt idx="132">
                  <c:v>0.2</c:v>
                </c:pt>
                <c:pt idx="133">
                  <c:v>-0.1</c:v>
                </c:pt>
                <c:pt idx="134">
                  <c:v>0</c:v>
                </c:pt>
                <c:pt idx="135">
                  <c:v>-0.3</c:v>
                </c:pt>
                <c:pt idx="136">
                  <c:v>1.2</c:v>
                </c:pt>
                <c:pt idx="137">
                  <c:v>0</c:v>
                </c:pt>
                <c:pt idx="138">
                  <c:v>0.1</c:v>
                </c:pt>
                <c:pt idx="139">
                  <c:v>-0.3</c:v>
                </c:pt>
                <c:pt idx="140">
                  <c:v>0.4</c:v>
                </c:pt>
                <c:pt idx="141">
                  <c:v>-0.4</c:v>
                </c:pt>
                <c:pt idx="142">
                  <c:v>-0.1</c:v>
                </c:pt>
                <c:pt idx="143">
                  <c:v>-0.1</c:v>
                </c:pt>
                <c:pt idx="144">
                  <c:v>0.1</c:v>
                </c:pt>
                <c:pt idx="145">
                  <c:v>0.1</c:v>
                </c:pt>
                <c:pt idx="146">
                  <c:v>0.4</c:v>
                </c:pt>
                <c:pt idx="147">
                  <c:v>-0.1</c:v>
                </c:pt>
                <c:pt idx="148">
                  <c:v>0.1</c:v>
                </c:pt>
                <c:pt idx="149">
                  <c:v>1.3</c:v>
                </c:pt>
                <c:pt idx="150">
                  <c:v>1.2</c:v>
                </c:pt>
                <c:pt idx="151">
                  <c:v>0.7</c:v>
                </c:pt>
                <c:pt idx="152">
                  <c:v>-0.7</c:v>
                </c:pt>
                <c:pt idx="153">
                  <c:v>-0.3</c:v>
                </c:pt>
                <c:pt idx="154">
                  <c:v>0.8</c:v>
                </c:pt>
                <c:pt idx="155">
                  <c:v>0.4</c:v>
                </c:pt>
                <c:pt idx="156">
                  <c:v>0</c:v>
                </c:pt>
                <c:pt idx="157">
                  <c:v>0</c:v>
                </c:pt>
                <c:pt idx="158">
                  <c:v>-0.1</c:v>
                </c:pt>
                <c:pt idx="159">
                  <c:v>0</c:v>
                </c:pt>
                <c:pt idx="160">
                  <c:v>-0.1</c:v>
                </c:pt>
                <c:pt idx="161">
                  <c:v>0.3</c:v>
                </c:pt>
                <c:pt idx="162">
                  <c:v>1.1000000000000001</c:v>
                </c:pt>
                <c:pt idx="163">
                  <c:v>0.5</c:v>
                </c:pt>
                <c:pt idx="164">
                  <c:v>0.5</c:v>
                </c:pt>
                <c:pt idx="165">
                  <c:v>-0.1</c:v>
                </c:pt>
                <c:pt idx="166">
                  <c:v>0.2</c:v>
                </c:pt>
                <c:pt idx="167">
                  <c:v>0.1</c:v>
                </c:pt>
                <c:pt idx="168">
                  <c:v>0.3</c:v>
                </c:pt>
                <c:pt idx="169">
                  <c:v>0</c:v>
                </c:pt>
                <c:pt idx="170">
                  <c:v>-0.1</c:v>
                </c:pt>
                <c:pt idx="171">
                  <c:v>0</c:v>
                </c:pt>
                <c:pt idx="172">
                  <c:v>1.1000000000000001</c:v>
                </c:pt>
                <c:pt idx="173">
                  <c:v>-0.1</c:v>
                </c:pt>
                <c:pt idx="174">
                  <c:v>-0.1</c:v>
                </c:pt>
                <c:pt idx="175">
                  <c:v>0</c:v>
                </c:pt>
                <c:pt idx="176">
                  <c:v>0.3</c:v>
                </c:pt>
                <c:pt idx="177">
                  <c:v>0.2</c:v>
                </c:pt>
                <c:pt idx="178">
                  <c:v>-0.1</c:v>
                </c:pt>
                <c:pt idx="179">
                  <c:v>0.2</c:v>
                </c:pt>
                <c:pt idx="180">
                  <c:v>-0.1</c:v>
                </c:pt>
                <c:pt idx="181">
                  <c:v>0.1</c:v>
                </c:pt>
                <c:pt idx="182">
                  <c:v>0.4</c:v>
                </c:pt>
                <c:pt idx="183">
                  <c:v>-0.1</c:v>
                </c:pt>
                <c:pt idx="184">
                  <c:v>0.8</c:v>
                </c:pt>
                <c:pt idx="185">
                  <c:v>0.1</c:v>
                </c:pt>
                <c:pt idx="186">
                  <c:v>1.4</c:v>
                </c:pt>
                <c:pt idx="187">
                  <c:v>-0.2</c:v>
                </c:pt>
                <c:pt idx="188">
                  <c:v>0.1</c:v>
                </c:pt>
                <c:pt idx="189">
                  <c:v>0.1</c:v>
                </c:pt>
                <c:pt idx="190">
                  <c:v>0.4</c:v>
                </c:pt>
                <c:pt idx="191">
                  <c:v>-0.3</c:v>
                </c:pt>
                <c:pt idx="192">
                  <c:v>0</c:v>
                </c:pt>
                <c:pt idx="193">
                  <c:v>-1.4</c:v>
                </c:pt>
                <c:pt idx="194">
                  <c:v>-0.1</c:v>
                </c:pt>
                <c:pt idx="195">
                  <c:v>0.6</c:v>
                </c:pt>
                <c:pt idx="196">
                  <c:v>0.5</c:v>
                </c:pt>
                <c:pt idx="197">
                  <c:v>0.3</c:v>
                </c:pt>
                <c:pt idx="198">
                  <c:v>-0.2</c:v>
                </c:pt>
                <c:pt idx="199">
                  <c:v>-0.2</c:v>
                </c:pt>
                <c:pt idx="200">
                  <c:v>0.5</c:v>
                </c:pt>
                <c:pt idx="201">
                  <c:v>-0.2</c:v>
                </c:pt>
                <c:pt idx="202">
                  <c:v>0.1</c:v>
                </c:pt>
                <c:pt idx="203">
                  <c:v>0.5</c:v>
                </c:pt>
                <c:pt idx="204">
                  <c:v>-1.3</c:v>
                </c:pt>
                <c:pt idx="205">
                  <c:v>0.1</c:v>
                </c:pt>
                <c:pt idx="206">
                  <c:v>-0.1</c:v>
                </c:pt>
                <c:pt idx="207">
                  <c:v>-0.2</c:v>
                </c:pt>
                <c:pt idx="208">
                  <c:v>1.1000000000000001</c:v>
                </c:pt>
                <c:pt idx="209">
                  <c:v>0.2</c:v>
                </c:pt>
                <c:pt idx="210">
                  <c:v>0</c:v>
                </c:pt>
                <c:pt idx="211">
                  <c:v>-0.5</c:v>
                </c:pt>
                <c:pt idx="212">
                  <c:v>0</c:v>
                </c:pt>
                <c:pt idx="213">
                  <c:v>-0.1</c:v>
                </c:pt>
                <c:pt idx="214">
                  <c:v>0.2</c:v>
                </c:pt>
                <c:pt idx="215">
                  <c:v>-0.1</c:v>
                </c:pt>
                <c:pt idx="216">
                  <c:v>-0.5</c:v>
                </c:pt>
                <c:pt idx="217">
                  <c:v>0.3</c:v>
                </c:pt>
                <c:pt idx="218">
                  <c:v>0.3</c:v>
                </c:pt>
                <c:pt idx="219">
                  <c:v>0</c:v>
                </c:pt>
                <c:pt idx="220">
                  <c:v>0.5</c:v>
                </c:pt>
                <c:pt idx="221">
                  <c:v>0</c:v>
                </c:pt>
                <c:pt idx="222">
                  <c:v>0.3</c:v>
                </c:pt>
                <c:pt idx="223">
                  <c:v>-0.1</c:v>
                </c:pt>
                <c:pt idx="224">
                  <c:v>1.2</c:v>
                </c:pt>
                <c:pt idx="225">
                  <c:v>-0.3</c:v>
                </c:pt>
                <c:pt idx="226">
                  <c:v>1.6</c:v>
                </c:pt>
                <c:pt idx="227">
                  <c:v>-0.1</c:v>
                </c:pt>
                <c:pt idx="228">
                  <c:v>0.1</c:v>
                </c:pt>
                <c:pt idx="229">
                  <c:v>-0.3</c:v>
                </c:pt>
                <c:pt idx="230">
                  <c:v>-0.8</c:v>
                </c:pt>
                <c:pt idx="231">
                  <c:v>0.4</c:v>
                </c:pt>
                <c:pt idx="232">
                  <c:v>-0.2</c:v>
                </c:pt>
                <c:pt idx="233">
                  <c:v>0.2</c:v>
                </c:pt>
                <c:pt idx="234">
                  <c:v>-0.3</c:v>
                </c:pt>
                <c:pt idx="235">
                  <c:v>0</c:v>
                </c:pt>
                <c:pt idx="236">
                  <c:v>0.5</c:v>
                </c:pt>
                <c:pt idx="237">
                  <c:v>-0.3</c:v>
                </c:pt>
                <c:pt idx="238">
                  <c:v>0.7</c:v>
                </c:pt>
                <c:pt idx="239">
                  <c:v>0.2</c:v>
                </c:pt>
                <c:pt idx="240">
                  <c:v>-0.2</c:v>
                </c:pt>
                <c:pt idx="241">
                  <c:v>0.2</c:v>
                </c:pt>
                <c:pt idx="242">
                  <c:v>1.6</c:v>
                </c:pt>
                <c:pt idx="243">
                  <c:v>0</c:v>
                </c:pt>
                <c:pt idx="244">
                  <c:v>0.6</c:v>
                </c:pt>
                <c:pt idx="245">
                  <c:v>-0.2</c:v>
                </c:pt>
                <c:pt idx="246">
                  <c:v>0.6</c:v>
                </c:pt>
                <c:pt idx="247">
                  <c:v>0.3</c:v>
                </c:pt>
                <c:pt idx="248">
                  <c:v>0</c:v>
                </c:pt>
                <c:pt idx="249">
                  <c:v>-0.2</c:v>
                </c:pt>
                <c:pt idx="250">
                  <c:v>0.3</c:v>
                </c:pt>
                <c:pt idx="251">
                  <c:v>0.3</c:v>
                </c:pt>
                <c:pt idx="252">
                  <c:v>0.1</c:v>
                </c:pt>
                <c:pt idx="253">
                  <c:v>-1</c:v>
                </c:pt>
                <c:pt idx="254">
                  <c:v>0.2</c:v>
                </c:pt>
                <c:pt idx="255">
                  <c:v>-0.1</c:v>
                </c:pt>
                <c:pt idx="256">
                  <c:v>0.8</c:v>
                </c:pt>
                <c:pt idx="257">
                  <c:v>0</c:v>
                </c:pt>
                <c:pt idx="258">
                  <c:v>-1.6</c:v>
                </c:pt>
                <c:pt idx="259">
                  <c:v>-0.5</c:v>
                </c:pt>
                <c:pt idx="260">
                  <c:v>0.5</c:v>
                </c:pt>
                <c:pt idx="261">
                  <c:v>-0.1</c:v>
                </c:pt>
                <c:pt idx="262">
                  <c:v>-0.5</c:v>
                </c:pt>
                <c:pt idx="263">
                  <c:v>0.7</c:v>
                </c:pt>
                <c:pt idx="264">
                  <c:v>1.2</c:v>
                </c:pt>
                <c:pt idx="265">
                  <c:v>0.3</c:v>
                </c:pt>
                <c:pt idx="266">
                  <c:v>1.9</c:v>
                </c:pt>
                <c:pt idx="267">
                  <c:v>-0.2</c:v>
                </c:pt>
                <c:pt idx="268">
                  <c:v>-0.3</c:v>
                </c:pt>
                <c:pt idx="269">
                  <c:v>-0.2</c:v>
                </c:pt>
                <c:pt idx="270">
                  <c:v>-0.1</c:v>
                </c:pt>
                <c:pt idx="271">
                  <c:v>-0.4</c:v>
                </c:pt>
                <c:pt idx="272">
                  <c:v>0.4</c:v>
                </c:pt>
                <c:pt idx="273">
                  <c:v>0.2</c:v>
                </c:pt>
                <c:pt idx="274">
                  <c:v>-1.1000000000000001</c:v>
                </c:pt>
                <c:pt idx="275">
                  <c:v>1.6</c:v>
                </c:pt>
                <c:pt idx="276">
                  <c:v>0.1</c:v>
                </c:pt>
                <c:pt idx="277">
                  <c:v>0.1</c:v>
                </c:pt>
                <c:pt idx="278">
                  <c:v>3.2</c:v>
                </c:pt>
                <c:pt idx="279">
                  <c:v>0.4</c:v>
                </c:pt>
                <c:pt idx="280">
                  <c:v>-0.4</c:v>
                </c:pt>
                <c:pt idx="281">
                  <c:v>-0.3</c:v>
                </c:pt>
                <c:pt idx="282">
                  <c:v>0.9</c:v>
                </c:pt>
                <c:pt idx="283">
                  <c:v>0.3</c:v>
                </c:pt>
                <c:pt idx="284">
                  <c:v>0</c:v>
                </c:pt>
                <c:pt idx="285">
                  <c:v>0.1</c:v>
                </c:pt>
                <c:pt idx="286">
                  <c:v>-0.1</c:v>
                </c:pt>
                <c:pt idx="287">
                  <c:v>0.4</c:v>
                </c:pt>
                <c:pt idx="288">
                  <c:v>0.2</c:v>
                </c:pt>
                <c:pt idx="289">
                  <c:v>0.3</c:v>
                </c:pt>
                <c:pt idx="290">
                  <c:v>0.2</c:v>
                </c:pt>
                <c:pt idx="291">
                  <c:v>0.3</c:v>
                </c:pt>
                <c:pt idx="292">
                  <c:v>0.5</c:v>
                </c:pt>
                <c:pt idx="293">
                  <c:v>0.1</c:v>
                </c:pt>
                <c:pt idx="294">
                  <c:v>0.5</c:v>
                </c:pt>
                <c:pt idx="295">
                  <c:v>0.9</c:v>
                </c:pt>
                <c:pt idx="296">
                  <c:v>0</c:v>
                </c:pt>
                <c:pt idx="297">
                  <c:v>1.3</c:v>
                </c:pt>
                <c:pt idx="298">
                  <c:v>0</c:v>
                </c:pt>
                <c:pt idx="299">
                  <c:v>1.4</c:v>
                </c:pt>
                <c:pt idx="300">
                  <c:v>0</c:v>
                </c:pt>
                <c:pt idx="301">
                  <c:v>1.4</c:v>
                </c:pt>
                <c:pt idx="302">
                  <c:v>0.2</c:v>
                </c:pt>
                <c:pt idx="303">
                  <c:v>0</c:v>
                </c:pt>
                <c:pt idx="304">
                  <c:v>0.1</c:v>
                </c:pt>
                <c:pt idx="305">
                  <c:v>0.7</c:v>
                </c:pt>
                <c:pt idx="306">
                  <c:v>1.8</c:v>
                </c:pt>
                <c:pt idx="307">
                  <c:v>0.2</c:v>
                </c:pt>
                <c:pt idx="308">
                  <c:v>-0.7</c:v>
                </c:pt>
                <c:pt idx="309">
                  <c:v>-1</c:v>
                </c:pt>
                <c:pt idx="310">
                  <c:v>0</c:v>
                </c:pt>
                <c:pt idx="311">
                  <c:v>-0.3</c:v>
                </c:pt>
                <c:pt idx="312">
                  <c:v>-0.2</c:v>
                </c:pt>
                <c:pt idx="313">
                  <c:v>-0.9</c:v>
                </c:pt>
                <c:pt idx="314">
                  <c:v>0.2</c:v>
                </c:pt>
                <c:pt idx="315">
                  <c:v>0.7</c:v>
                </c:pt>
                <c:pt idx="316">
                  <c:v>0.8</c:v>
                </c:pt>
                <c:pt idx="317">
                  <c:v>-0.9</c:v>
                </c:pt>
                <c:pt idx="318">
                  <c:v>-0.4</c:v>
                </c:pt>
                <c:pt idx="319">
                  <c:v>-0.2</c:v>
                </c:pt>
                <c:pt idx="320">
                  <c:v>-0.4</c:v>
                </c:pt>
                <c:pt idx="321">
                  <c:v>1.4</c:v>
                </c:pt>
                <c:pt idx="322">
                  <c:v>-0.7</c:v>
                </c:pt>
                <c:pt idx="323">
                  <c:v>0.5</c:v>
                </c:pt>
                <c:pt idx="324">
                  <c:v>-0.7</c:v>
                </c:pt>
                <c:pt idx="325">
                  <c:v>2.2000000000000002</c:v>
                </c:pt>
                <c:pt idx="326">
                  <c:v>0.9</c:v>
                </c:pt>
                <c:pt idx="327">
                  <c:v>-0.2</c:v>
                </c:pt>
                <c:pt idx="328">
                  <c:v>1.2</c:v>
                </c:pt>
                <c:pt idx="329">
                  <c:v>0</c:v>
                </c:pt>
                <c:pt idx="330">
                  <c:v>0</c:v>
                </c:pt>
                <c:pt idx="331">
                  <c:v>0.7</c:v>
                </c:pt>
                <c:pt idx="332">
                  <c:v>-0.3</c:v>
                </c:pt>
                <c:pt idx="333">
                  <c:v>-0.3</c:v>
                </c:pt>
                <c:pt idx="334">
                  <c:v>-0.6</c:v>
                </c:pt>
                <c:pt idx="335">
                  <c:v>0.8</c:v>
                </c:pt>
                <c:pt idx="336">
                  <c:v>0</c:v>
                </c:pt>
                <c:pt idx="337">
                  <c:v>0.3</c:v>
                </c:pt>
                <c:pt idx="338">
                  <c:v>0.8</c:v>
                </c:pt>
                <c:pt idx="339">
                  <c:v>1.2</c:v>
                </c:pt>
                <c:pt idx="340">
                  <c:v>0.7</c:v>
                </c:pt>
                <c:pt idx="341">
                  <c:v>0.7</c:v>
                </c:pt>
                <c:pt idx="342">
                  <c:v>0.4</c:v>
                </c:pt>
                <c:pt idx="343">
                  <c:v>-1</c:v>
                </c:pt>
                <c:pt idx="344">
                  <c:v>0.5</c:v>
                </c:pt>
                <c:pt idx="345">
                  <c:v>0</c:v>
                </c:pt>
                <c:pt idx="346">
                  <c:v>-0.3</c:v>
                </c:pt>
                <c:pt idx="347">
                  <c:v>0</c:v>
                </c:pt>
                <c:pt idx="348">
                  <c:v>0.6</c:v>
                </c:pt>
                <c:pt idx="349">
                  <c:v>1.2</c:v>
                </c:pt>
                <c:pt idx="350">
                  <c:v>0.8</c:v>
                </c:pt>
                <c:pt idx="351">
                  <c:v>-0.3</c:v>
                </c:pt>
                <c:pt idx="352">
                  <c:v>-0.4</c:v>
                </c:pt>
                <c:pt idx="353">
                  <c:v>0.4</c:v>
                </c:pt>
                <c:pt idx="354">
                  <c:v>1.4</c:v>
                </c:pt>
                <c:pt idx="355">
                  <c:v>0</c:v>
                </c:pt>
                <c:pt idx="356">
                  <c:v>0.1</c:v>
                </c:pt>
                <c:pt idx="357">
                  <c:v>-0.5</c:v>
                </c:pt>
                <c:pt idx="358">
                  <c:v>0.5</c:v>
                </c:pt>
                <c:pt idx="359">
                  <c:v>-0.1</c:v>
                </c:pt>
                <c:pt idx="360">
                  <c:v>0.8</c:v>
                </c:pt>
                <c:pt idx="361">
                  <c:v>-0.2</c:v>
                </c:pt>
                <c:pt idx="362">
                  <c:v>0.9</c:v>
                </c:pt>
                <c:pt idx="363">
                  <c:v>-0.1</c:v>
                </c:pt>
                <c:pt idx="364">
                  <c:v>-0.1</c:v>
                </c:pt>
                <c:pt idx="365">
                  <c:v>1.6</c:v>
                </c:pt>
                <c:pt idx="366">
                  <c:v>0.7</c:v>
                </c:pt>
                <c:pt idx="367">
                  <c:v>1.8</c:v>
                </c:pt>
                <c:pt idx="368">
                  <c:v>-0.7</c:v>
                </c:pt>
                <c:pt idx="369">
                  <c:v>0.1</c:v>
                </c:pt>
                <c:pt idx="370">
                  <c:v>0.7</c:v>
                </c:pt>
                <c:pt idx="371">
                  <c:v>-0.1</c:v>
                </c:pt>
                <c:pt idx="372">
                  <c:v>0.5</c:v>
                </c:pt>
                <c:pt idx="373">
                  <c:v>0.1</c:v>
                </c:pt>
                <c:pt idx="374">
                  <c:v>0.1</c:v>
                </c:pt>
                <c:pt idx="375">
                  <c:v>0.5</c:v>
                </c:pt>
                <c:pt idx="376">
                  <c:v>-1.2</c:v>
                </c:pt>
                <c:pt idx="377">
                  <c:v>0.4</c:v>
                </c:pt>
                <c:pt idx="378">
                  <c:v>-0.6</c:v>
                </c:pt>
                <c:pt idx="379">
                  <c:v>2</c:v>
                </c:pt>
                <c:pt idx="380">
                  <c:v>2</c:v>
                </c:pt>
                <c:pt idx="381">
                  <c:v>0.3</c:v>
                </c:pt>
                <c:pt idx="382">
                  <c:v>-0.3</c:v>
                </c:pt>
                <c:pt idx="383">
                  <c:v>2.2999999999999998</c:v>
                </c:pt>
                <c:pt idx="384">
                  <c:v>0</c:v>
                </c:pt>
                <c:pt idx="385">
                  <c:v>-0.3</c:v>
                </c:pt>
                <c:pt idx="386">
                  <c:v>0.7</c:v>
                </c:pt>
                <c:pt idx="387">
                  <c:v>0.2</c:v>
                </c:pt>
                <c:pt idx="388">
                  <c:v>0.3</c:v>
                </c:pt>
                <c:pt idx="389">
                  <c:v>0.4</c:v>
                </c:pt>
                <c:pt idx="390">
                  <c:v>1.6</c:v>
                </c:pt>
                <c:pt idx="391">
                  <c:v>0.6</c:v>
                </c:pt>
                <c:pt idx="392">
                  <c:v>0.7</c:v>
                </c:pt>
                <c:pt idx="393">
                  <c:v>0.4</c:v>
                </c:pt>
                <c:pt idx="394">
                  <c:v>0</c:v>
                </c:pt>
                <c:pt idx="395">
                  <c:v>0</c:v>
                </c:pt>
                <c:pt idx="396">
                  <c:v>0</c:v>
                </c:pt>
                <c:pt idx="397">
                  <c:v>-0.1</c:v>
                </c:pt>
                <c:pt idx="398">
                  <c:v>0.1</c:v>
                </c:pt>
                <c:pt idx="399">
                  <c:v>0.4</c:v>
                </c:pt>
                <c:pt idx="400">
                  <c:v>0</c:v>
                </c:pt>
                <c:pt idx="401">
                  <c:v>0.4</c:v>
                </c:pt>
                <c:pt idx="402">
                  <c:v>0.5</c:v>
                </c:pt>
                <c:pt idx="403">
                  <c:v>0.1</c:v>
                </c:pt>
                <c:pt idx="404">
                  <c:v>-0.3</c:v>
                </c:pt>
                <c:pt idx="405">
                  <c:v>1.1000000000000001</c:v>
                </c:pt>
                <c:pt idx="406">
                  <c:v>-0.1</c:v>
                </c:pt>
                <c:pt idx="407">
                  <c:v>-0.7</c:v>
                </c:pt>
                <c:pt idx="408">
                  <c:v>1</c:v>
                </c:pt>
                <c:pt idx="409">
                  <c:v>2.7</c:v>
                </c:pt>
                <c:pt idx="410">
                  <c:v>0.6</c:v>
                </c:pt>
                <c:pt idx="411">
                  <c:v>-1</c:v>
                </c:pt>
                <c:pt idx="412">
                  <c:v>-0.7</c:v>
                </c:pt>
                <c:pt idx="413">
                  <c:v>0.1</c:v>
                </c:pt>
                <c:pt idx="414">
                  <c:v>3.6</c:v>
                </c:pt>
                <c:pt idx="415">
                  <c:v>-0.1</c:v>
                </c:pt>
                <c:pt idx="416">
                  <c:v>2.2000000000000002</c:v>
                </c:pt>
                <c:pt idx="417">
                  <c:v>-0.1</c:v>
                </c:pt>
                <c:pt idx="418">
                  <c:v>2.1</c:v>
                </c:pt>
                <c:pt idx="419">
                  <c:v>1.3</c:v>
                </c:pt>
                <c:pt idx="420">
                  <c:v>-0.1</c:v>
                </c:pt>
                <c:pt idx="421">
                  <c:v>-0.4</c:v>
                </c:pt>
                <c:pt idx="422">
                  <c:v>1.7</c:v>
                </c:pt>
                <c:pt idx="423">
                  <c:v>0</c:v>
                </c:pt>
                <c:pt idx="424">
                  <c:v>0.6</c:v>
                </c:pt>
                <c:pt idx="425">
                  <c:v>0.4</c:v>
                </c:pt>
                <c:pt idx="426">
                  <c:v>-1.6</c:v>
                </c:pt>
                <c:pt idx="427">
                  <c:v>1.1000000000000001</c:v>
                </c:pt>
                <c:pt idx="428">
                  <c:v>0.1</c:v>
                </c:pt>
                <c:pt idx="429">
                  <c:v>-0.1</c:v>
                </c:pt>
                <c:pt idx="430">
                  <c:v>1.5</c:v>
                </c:pt>
                <c:pt idx="431">
                  <c:v>-0.2</c:v>
                </c:pt>
                <c:pt idx="432">
                  <c:v>0.6</c:v>
                </c:pt>
                <c:pt idx="433">
                  <c:v>0.5</c:v>
                </c:pt>
                <c:pt idx="434">
                  <c:v>0.3</c:v>
                </c:pt>
                <c:pt idx="435">
                  <c:v>0.6</c:v>
                </c:pt>
                <c:pt idx="436">
                  <c:v>1.2</c:v>
                </c:pt>
                <c:pt idx="437">
                  <c:v>-0.1</c:v>
                </c:pt>
                <c:pt idx="438">
                  <c:v>1.2</c:v>
                </c:pt>
                <c:pt idx="439">
                  <c:v>1.2</c:v>
                </c:pt>
                <c:pt idx="440">
                  <c:v>0.3</c:v>
                </c:pt>
                <c:pt idx="441">
                  <c:v>1.2</c:v>
                </c:pt>
                <c:pt idx="442">
                  <c:v>0.5</c:v>
                </c:pt>
                <c:pt idx="443">
                  <c:v>-0.1</c:v>
                </c:pt>
                <c:pt idx="444">
                  <c:v>0.3</c:v>
                </c:pt>
                <c:pt idx="445">
                  <c:v>0.2</c:v>
                </c:pt>
                <c:pt idx="446">
                  <c:v>0.6</c:v>
                </c:pt>
                <c:pt idx="447">
                  <c:v>0</c:v>
                </c:pt>
                <c:pt idx="448">
                  <c:v>0.2</c:v>
                </c:pt>
                <c:pt idx="449">
                  <c:v>-0.6</c:v>
                </c:pt>
                <c:pt idx="450">
                  <c:v>1.2</c:v>
                </c:pt>
                <c:pt idx="451">
                  <c:v>1.7</c:v>
                </c:pt>
                <c:pt idx="452">
                  <c:v>0.3</c:v>
                </c:pt>
                <c:pt idx="453">
                  <c:v>-0.2</c:v>
                </c:pt>
                <c:pt idx="454">
                  <c:v>1.7</c:v>
                </c:pt>
                <c:pt idx="455">
                  <c:v>0.4</c:v>
                </c:pt>
                <c:pt idx="456">
                  <c:v>3.6</c:v>
                </c:pt>
                <c:pt idx="457">
                  <c:v>1.6</c:v>
                </c:pt>
                <c:pt idx="458">
                  <c:v>0.6</c:v>
                </c:pt>
                <c:pt idx="459">
                  <c:v>0.1</c:v>
                </c:pt>
                <c:pt idx="460">
                  <c:v>-0.3</c:v>
                </c:pt>
                <c:pt idx="461">
                  <c:v>-0.4</c:v>
                </c:pt>
                <c:pt idx="462">
                  <c:v>-0.5</c:v>
                </c:pt>
                <c:pt idx="463">
                  <c:v>1.1000000000000001</c:v>
                </c:pt>
                <c:pt idx="464">
                  <c:v>1.2</c:v>
                </c:pt>
                <c:pt idx="465">
                  <c:v>-0.5</c:v>
                </c:pt>
                <c:pt idx="466">
                  <c:v>-0.1</c:v>
                </c:pt>
                <c:pt idx="467">
                  <c:v>1.7</c:v>
                </c:pt>
                <c:pt idx="468">
                  <c:v>0.4</c:v>
                </c:pt>
                <c:pt idx="469">
                  <c:v>2.9</c:v>
                </c:pt>
                <c:pt idx="470">
                  <c:v>4.9000000000000004</c:v>
                </c:pt>
                <c:pt idx="471">
                  <c:v>0</c:v>
                </c:pt>
                <c:pt idx="472">
                  <c:v>3.4</c:v>
                </c:pt>
                <c:pt idx="473">
                  <c:v>0.2</c:v>
                </c:pt>
                <c:pt idx="474">
                  <c:v>-0.1</c:v>
                </c:pt>
                <c:pt idx="475">
                  <c:v>-0.8</c:v>
                </c:pt>
                <c:pt idx="476">
                  <c:v>0.6</c:v>
                </c:pt>
                <c:pt idx="477">
                  <c:v>2.7</c:v>
                </c:pt>
                <c:pt idx="478">
                  <c:v>0.5</c:v>
                </c:pt>
                <c:pt idx="479">
                  <c:v>1.9</c:v>
                </c:pt>
                <c:pt idx="480">
                  <c:v>-1.4</c:v>
                </c:pt>
                <c:pt idx="481">
                  <c:v>-0.1</c:v>
                </c:pt>
                <c:pt idx="482">
                  <c:v>0.3</c:v>
                </c:pt>
                <c:pt idx="483">
                  <c:v>0.3</c:v>
                </c:pt>
                <c:pt idx="484">
                  <c:v>2.7</c:v>
                </c:pt>
                <c:pt idx="485">
                  <c:v>1.3</c:v>
                </c:pt>
                <c:pt idx="486">
                  <c:v>1.5</c:v>
                </c:pt>
                <c:pt idx="487">
                  <c:v>1.8</c:v>
                </c:pt>
                <c:pt idx="488">
                  <c:v>3.6</c:v>
                </c:pt>
                <c:pt idx="489">
                  <c:v>3</c:v>
                </c:pt>
                <c:pt idx="490">
                  <c:v>0.4</c:v>
                </c:pt>
                <c:pt idx="491">
                  <c:v>0.1</c:v>
                </c:pt>
                <c:pt idx="492">
                  <c:v>1.2</c:v>
                </c:pt>
                <c:pt idx="493">
                  <c:v>0.5</c:v>
                </c:pt>
                <c:pt idx="494">
                  <c:v>1.2</c:v>
                </c:pt>
                <c:pt idx="495">
                  <c:v>3.4</c:v>
                </c:pt>
                <c:pt idx="496">
                  <c:v>0.9</c:v>
                </c:pt>
                <c:pt idx="497">
                  <c:v>1.6</c:v>
                </c:pt>
                <c:pt idx="498">
                  <c:v>1.7</c:v>
                </c:pt>
                <c:pt idx="499">
                  <c:v>2.4</c:v>
                </c:pt>
                <c:pt idx="500">
                  <c:v>0.1</c:v>
                </c:pt>
                <c:pt idx="501">
                  <c:v>2.2999999999999998</c:v>
                </c:pt>
                <c:pt idx="502">
                  <c:v>0.7</c:v>
                </c:pt>
                <c:pt idx="503">
                  <c:v>1</c:v>
                </c:pt>
                <c:pt idx="504">
                  <c:v>0.1</c:v>
                </c:pt>
                <c:pt idx="505">
                  <c:v>0.5</c:v>
                </c:pt>
                <c:pt idx="506">
                  <c:v>1.8</c:v>
                </c:pt>
                <c:pt idx="507">
                  <c:v>2.4</c:v>
                </c:pt>
                <c:pt idx="508">
                  <c:v>1</c:v>
                </c:pt>
                <c:pt idx="509">
                  <c:v>1.2</c:v>
                </c:pt>
                <c:pt idx="510">
                  <c:v>0.6</c:v>
                </c:pt>
                <c:pt idx="511">
                  <c:v>2</c:v>
                </c:pt>
                <c:pt idx="512">
                  <c:v>0.1</c:v>
                </c:pt>
                <c:pt idx="513">
                  <c:v>0.7</c:v>
                </c:pt>
                <c:pt idx="514">
                  <c:v>1.7</c:v>
                </c:pt>
                <c:pt idx="515">
                  <c:v>0.9</c:v>
                </c:pt>
                <c:pt idx="516">
                  <c:v>3.3</c:v>
                </c:pt>
                <c:pt idx="517">
                  <c:v>4.4000000000000004</c:v>
                </c:pt>
                <c:pt idx="518">
                  <c:v>1</c:v>
                </c:pt>
                <c:pt idx="519">
                  <c:v>-0.6</c:v>
                </c:pt>
                <c:pt idx="520">
                  <c:v>3.5</c:v>
                </c:pt>
                <c:pt idx="521">
                  <c:v>2.7</c:v>
                </c:pt>
                <c:pt idx="522">
                  <c:v>-0.3</c:v>
                </c:pt>
                <c:pt idx="523">
                  <c:v>4.8</c:v>
                </c:pt>
                <c:pt idx="524">
                  <c:v>1.3</c:v>
                </c:pt>
                <c:pt idx="525">
                  <c:v>1.4</c:v>
                </c:pt>
                <c:pt idx="526">
                  <c:v>3.6</c:v>
                </c:pt>
                <c:pt idx="527">
                  <c:v>2.5</c:v>
                </c:pt>
                <c:pt idx="528">
                  <c:v>3.4</c:v>
                </c:pt>
                <c:pt idx="529">
                  <c:v>1.8</c:v>
                </c:pt>
                <c:pt idx="530">
                  <c:v>-0.5</c:v>
                </c:pt>
                <c:pt idx="531">
                  <c:v>2.2999999999999998</c:v>
                </c:pt>
                <c:pt idx="532">
                  <c:v>2.1</c:v>
                </c:pt>
                <c:pt idx="533">
                  <c:v>4.7</c:v>
                </c:pt>
                <c:pt idx="534">
                  <c:v>1.8</c:v>
                </c:pt>
                <c:pt idx="535">
                  <c:v>2</c:v>
                </c:pt>
                <c:pt idx="536">
                  <c:v>2.6</c:v>
                </c:pt>
                <c:pt idx="537">
                  <c:v>0.4</c:v>
                </c:pt>
                <c:pt idx="538">
                  <c:v>3.2</c:v>
                </c:pt>
                <c:pt idx="539">
                  <c:v>1.1000000000000001</c:v>
                </c:pt>
                <c:pt idx="540">
                  <c:v>1.3</c:v>
                </c:pt>
                <c:pt idx="541">
                  <c:v>2.2000000000000002</c:v>
                </c:pt>
                <c:pt idx="542">
                  <c:v>2.6</c:v>
                </c:pt>
                <c:pt idx="543">
                  <c:v>3.7</c:v>
                </c:pt>
                <c:pt idx="544">
                  <c:v>2.4</c:v>
                </c:pt>
                <c:pt idx="545">
                  <c:v>1.2</c:v>
                </c:pt>
                <c:pt idx="546">
                  <c:v>2</c:v>
                </c:pt>
                <c:pt idx="547">
                  <c:v>3.9</c:v>
                </c:pt>
                <c:pt idx="548">
                  <c:v>3.5</c:v>
                </c:pt>
                <c:pt idx="549">
                  <c:v>1.3</c:v>
                </c:pt>
                <c:pt idx="550">
                  <c:v>3</c:v>
                </c:pt>
                <c:pt idx="551">
                  <c:v>0.5</c:v>
                </c:pt>
                <c:pt idx="552">
                  <c:v>4.8</c:v>
                </c:pt>
                <c:pt idx="553">
                  <c:v>4.5999999999999996</c:v>
                </c:pt>
                <c:pt idx="554">
                  <c:v>1.7</c:v>
                </c:pt>
                <c:pt idx="555">
                  <c:v>1.7</c:v>
                </c:pt>
                <c:pt idx="556">
                  <c:v>9.8000000000000007</c:v>
                </c:pt>
                <c:pt idx="557">
                  <c:v>3.2</c:v>
                </c:pt>
                <c:pt idx="558">
                  <c:v>3.1</c:v>
                </c:pt>
                <c:pt idx="559">
                  <c:v>3</c:v>
                </c:pt>
                <c:pt idx="560">
                  <c:v>3.2</c:v>
                </c:pt>
                <c:pt idx="561">
                  <c:v>4.4000000000000004</c:v>
                </c:pt>
                <c:pt idx="562">
                  <c:v>1.7</c:v>
                </c:pt>
                <c:pt idx="563">
                  <c:v>3.9</c:v>
                </c:pt>
                <c:pt idx="564">
                  <c:v>1.9</c:v>
                </c:pt>
                <c:pt idx="565">
                  <c:v>2.2000000000000002</c:v>
                </c:pt>
                <c:pt idx="566">
                  <c:v>8.9</c:v>
                </c:pt>
                <c:pt idx="567">
                  <c:v>0.8</c:v>
                </c:pt>
                <c:pt idx="568">
                  <c:v>6.6</c:v>
                </c:pt>
              </c:numCache>
            </c:numRef>
          </c:yVal>
          <c:smooth val="0"/>
          <c:extLst>
            <c:ext xmlns:c16="http://schemas.microsoft.com/office/drawing/2014/chart" uri="{C3380CC4-5D6E-409C-BE32-E72D297353CC}">
              <c16:uniqueId val="{00000000-762D-40DB-B066-DC1DF039EDD2}"/>
            </c:ext>
          </c:extLst>
        </c:ser>
        <c:dLbls>
          <c:showLegendKey val="0"/>
          <c:showVal val="0"/>
          <c:showCatName val="0"/>
          <c:showSerName val="0"/>
          <c:showPercent val="0"/>
          <c:showBubbleSize val="0"/>
        </c:dLbls>
        <c:axId val="1219089599"/>
        <c:axId val="1219089119"/>
      </c:scatterChart>
      <c:valAx>
        <c:axId val="12190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Turnovers Per Game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119"/>
        <c:crosses val="autoZero"/>
        <c:crossBetween val="midCat"/>
      </c:valAx>
      <c:valAx>
        <c:axId val="1219089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Effect of Steals Per Game on VORP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Data'!$U$2</c:f>
              <c:strCache>
                <c:ptCount val="1"/>
                <c:pt idx="0">
                  <c:v>0</c:v>
                </c:pt>
              </c:strCache>
            </c:strRef>
          </c:tx>
          <c:spPr>
            <a:ln w="28575" cap="rnd">
              <a:noFill/>
              <a:round/>
            </a:ln>
            <a:effectLst/>
          </c:spPr>
          <c:marker>
            <c:symbol val="circle"/>
            <c:size val="5"/>
            <c:spPr>
              <a:solidFill>
                <a:schemeClr val="accent1"/>
              </a:solidFill>
              <a:ln w="9525">
                <a:solidFill>
                  <a:schemeClr val="accent1"/>
                </a:solidFill>
              </a:ln>
              <a:effectLst/>
            </c:spPr>
          </c:marker>
          <c:xVal>
            <c:numRef>
              <c:f>'Cleaned Data'!$U$2:$U$570</c:f>
              <c:numCache>
                <c:formatCode>General</c:formatCode>
                <c:ptCount val="569"/>
                <c:pt idx="0">
                  <c:v>0</c:v>
                </c:pt>
                <c:pt idx="1">
                  <c:v>0.3</c:v>
                </c:pt>
                <c:pt idx="2">
                  <c:v>0</c:v>
                </c:pt>
                <c:pt idx="3">
                  <c:v>0</c:v>
                </c:pt>
                <c:pt idx="4">
                  <c:v>0</c:v>
                </c:pt>
                <c:pt idx="5">
                  <c:v>0</c:v>
                </c:pt>
                <c:pt idx="6">
                  <c:v>0</c:v>
                </c:pt>
                <c:pt idx="7">
                  <c:v>0.3</c:v>
                </c:pt>
                <c:pt idx="8">
                  <c:v>0.3</c:v>
                </c:pt>
                <c:pt idx="9">
                  <c:v>0.1</c:v>
                </c:pt>
                <c:pt idx="10">
                  <c:v>0</c:v>
                </c:pt>
                <c:pt idx="11">
                  <c:v>0</c:v>
                </c:pt>
                <c:pt idx="12">
                  <c:v>0.6</c:v>
                </c:pt>
                <c:pt idx="13">
                  <c:v>0.1</c:v>
                </c:pt>
                <c:pt idx="14">
                  <c:v>0</c:v>
                </c:pt>
                <c:pt idx="15">
                  <c:v>0.2</c:v>
                </c:pt>
                <c:pt idx="16">
                  <c:v>0.1</c:v>
                </c:pt>
                <c:pt idx="17">
                  <c:v>0.1</c:v>
                </c:pt>
                <c:pt idx="18">
                  <c:v>0</c:v>
                </c:pt>
                <c:pt idx="19">
                  <c:v>0</c:v>
                </c:pt>
                <c:pt idx="20">
                  <c:v>1</c:v>
                </c:pt>
                <c:pt idx="21">
                  <c:v>0</c:v>
                </c:pt>
                <c:pt idx="22">
                  <c:v>0.5</c:v>
                </c:pt>
                <c:pt idx="23">
                  <c:v>0.2</c:v>
                </c:pt>
                <c:pt idx="24">
                  <c:v>0.1</c:v>
                </c:pt>
                <c:pt idx="25">
                  <c:v>0.1</c:v>
                </c:pt>
                <c:pt idx="26">
                  <c:v>0.3</c:v>
                </c:pt>
                <c:pt idx="27">
                  <c:v>0.1</c:v>
                </c:pt>
                <c:pt idx="28">
                  <c:v>0.3</c:v>
                </c:pt>
                <c:pt idx="29">
                  <c:v>0.2</c:v>
                </c:pt>
                <c:pt idx="30">
                  <c:v>0</c:v>
                </c:pt>
                <c:pt idx="31">
                  <c:v>0.4</c:v>
                </c:pt>
                <c:pt idx="32">
                  <c:v>0.1</c:v>
                </c:pt>
                <c:pt idx="33">
                  <c:v>0.1</c:v>
                </c:pt>
                <c:pt idx="34">
                  <c:v>0.1</c:v>
                </c:pt>
                <c:pt idx="35">
                  <c:v>0.2</c:v>
                </c:pt>
                <c:pt idx="36">
                  <c:v>0.7</c:v>
                </c:pt>
                <c:pt idx="37">
                  <c:v>0.2</c:v>
                </c:pt>
                <c:pt idx="38">
                  <c:v>0</c:v>
                </c:pt>
                <c:pt idx="39">
                  <c:v>0.1</c:v>
                </c:pt>
                <c:pt idx="40">
                  <c:v>0.3</c:v>
                </c:pt>
                <c:pt idx="41">
                  <c:v>0.1</c:v>
                </c:pt>
                <c:pt idx="42">
                  <c:v>0.6</c:v>
                </c:pt>
                <c:pt idx="43">
                  <c:v>0.6</c:v>
                </c:pt>
                <c:pt idx="44">
                  <c:v>0.2</c:v>
                </c:pt>
                <c:pt idx="45">
                  <c:v>0.5</c:v>
                </c:pt>
                <c:pt idx="46">
                  <c:v>0.2</c:v>
                </c:pt>
                <c:pt idx="47">
                  <c:v>0.4</c:v>
                </c:pt>
                <c:pt idx="48">
                  <c:v>0.1</c:v>
                </c:pt>
                <c:pt idx="49">
                  <c:v>0</c:v>
                </c:pt>
                <c:pt idx="50">
                  <c:v>0.7</c:v>
                </c:pt>
                <c:pt idx="51">
                  <c:v>0</c:v>
                </c:pt>
                <c:pt idx="52">
                  <c:v>0.4</c:v>
                </c:pt>
                <c:pt idx="53">
                  <c:v>0.3</c:v>
                </c:pt>
                <c:pt idx="54">
                  <c:v>0</c:v>
                </c:pt>
                <c:pt idx="55">
                  <c:v>0.2</c:v>
                </c:pt>
                <c:pt idx="56">
                  <c:v>0.5</c:v>
                </c:pt>
                <c:pt idx="57">
                  <c:v>0.1</c:v>
                </c:pt>
                <c:pt idx="58">
                  <c:v>0.4</c:v>
                </c:pt>
                <c:pt idx="59">
                  <c:v>0.1</c:v>
                </c:pt>
                <c:pt idx="60">
                  <c:v>0.5</c:v>
                </c:pt>
                <c:pt idx="61">
                  <c:v>0.4</c:v>
                </c:pt>
                <c:pt idx="62">
                  <c:v>0.3</c:v>
                </c:pt>
                <c:pt idx="63">
                  <c:v>0.2</c:v>
                </c:pt>
                <c:pt idx="64">
                  <c:v>0.2</c:v>
                </c:pt>
                <c:pt idx="65">
                  <c:v>0</c:v>
                </c:pt>
                <c:pt idx="66">
                  <c:v>0.6</c:v>
                </c:pt>
                <c:pt idx="67">
                  <c:v>0.7</c:v>
                </c:pt>
                <c:pt idx="68">
                  <c:v>0.3</c:v>
                </c:pt>
                <c:pt idx="69">
                  <c:v>0.9</c:v>
                </c:pt>
                <c:pt idx="70">
                  <c:v>0.5</c:v>
                </c:pt>
                <c:pt idx="71">
                  <c:v>0.7</c:v>
                </c:pt>
                <c:pt idx="72">
                  <c:v>0.5</c:v>
                </c:pt>
                <c:pt idx="73">
                  <c:v>0.4</c:v>
                </c:pt>
                <c:pt idx="74">
                  <c:v>1.7</c:v>
                </c:pt>
                <c:pt idx="75">
                  <c:v>1</c:v>
                </c:pt>
                <c:pt idx="76">
                  <c:v>0.1</c:v>
                </c:pt>
                <c:pt idx="77">
                  <c:v>0.2</c:v>
                </c:pt>
                <c:pt idx="78">
                  <c:v>0.1</c:v>
                </c:pt>
                <c:pt idx="79">
                  <c:v>0</c:v>
                </c:pt>
                <c:pt idx="80">
                  <c:v>0.4</c:v>
                </c:pt>
                <c:pt idx="81">
                  <c:v>0.5</c:v>
                </c:pt>
                <c:pt idx="82">
                  <c:v>0.7</c:v>
                </c:pt>
                <c:pt idx="83">
                  <c:v>0.3</c:v>
                </c:pt>
                <c:pt idx="84">
                  <c:v>0.5</c:v>
                </c:pt>
                <c:pt idx="85">
                  <c:v>0.5</c:v>
                </c:pt>
                <c:pt idx="86">
                  <c:v>0.3</c:v>
                </c:pt>
                <c:pt idx="87">
                  <c:v>0.3</c:v>
                </c:pt>
                <c:pt idx="88">
                  <c:v>0.6</c:v>
                </c:pt>
                <c:pt idx="89">
                  <c:v>0.2</c:v>
                </c:pt>
                <c:pt idx="90">
                  <c:v>0.2</c:v>
                </c:pt>
                <c:pt idx="91">
                  <c:v>0.4</c:v>
                </c:pt>
                <c:pt idx="92">
                  <c:v>0.4</c:v>
                </c:pt>
                <c:pt idx="93">
                  <c:v>0.6</c:v>
                </c:pt>
                <c:pt idx="94">
                  <c:v>0.2</c:v>
                </c:pt>
                <c:pt idx="95">
                  <c:v>0.5</c:v>
                </c:pt>
                <c:pt idx="96">
                  <c:v>0.5</c:v>
                </c:pt>
                <c:pt idx="97">
                  <c:v>0.2</c:v>
                </c:pt>
                <c:pt idx="98">
                  <c:v>0.5</c:v>
                </c:pt>
                <c:pt idx="99">
                  <c:v>0.4</c:v>
                </c:pt>
                <c:pt idx="100">
                  <c:v>0.4</c:v>
                </c:pt>
                <c:pt idx="101">
                  <c:v>0.3</c:v>
                </c:pt>
                <c:pt idx="102">
                  <c:v>0.2</c:v>
                </c:pt>
                <c:pt idx="103">
                  <c:v>0.1</c:v>
                </c:pt>
                <c:pt idx="104">
                  <c:v>1</c:v>
                </c:pt>
                <c:pt idx="105">
                  <c:v>0.9</c:v>
                </c:pt>
                <c:pt idx="106">
                  <c:v>0.1</c:v>
                </c:pt>
                <c:pt idx="107">
                  <c:v>0</c:v>
                </c:pt>
                <c:pt idx="108">
                  <c:v>0</c:v>
                </c:pt>
                <c:pt idx="109">
                  <c:v>0.3</c:v>
                </c:pt>
                <c:pt idx="110">
                  <c:v>0.4</c:v>
                </c:pt>
                <c:pt idx="111">
                  <c:v>0.1</c:v>
                </c:pt>
                <c:pt idx="112">
                  <c:v>0.7</c:v>
                </c:pt>
                <c:pt idx="113">
                  <c:v>0.2</c:v>
                </c:pt>
                <c:pt idx="114">
                  <c:v>0.3</c:v>
                </c:pt>
                <c:pt idx="115">
                  <c:v>0</c:v>
                </c:pt>
                <c:pt idx="116">
                  <c:v>0.4</c:v>
                </c:pt>
                <c:pt idx="117">
                  <c:v>0</c:v>
                </c:pt>
                <c:pt idx="118">
                  <c:v>0.3</c:v>
                </c:pt>
                <c:pt idx="119">
                  <c:v>0.3</c:v>
                </c:pt>
                <c:pt idx="120">
                  <c:v>0.3</c:v>
                </c:pt>
                <c:pt idx="121">
                  <c:v>0</c:v>
                </c:pt>
                <c:pt idx="122">
                  <c:v>0.3</c:v>
                </c:pt>
                <c:pt idx="123">
                  <c:v>0.3</c:v>
                </c:pt>
                <c:pt idx="124">
                  <c:v>1</c:v>
                </c:pt>
                <c:pt idx="125">
                  <c:v>0.2</c:v>
                </c:pt>
                <c:pt idx="126">
                  <c:v>0.2</c:v>
                </c:pt>
                <c:pt idx="127">
                  <c:v>0.6</c:v>
                </c:pt>
                <c:pt idx="128">
                  <c:v>0.8</c:v>
                </c:pt>
                <c:pt idx="129">
                  <c:v>1.8</c:v>
                </c:pt>
                <c:pt idx="130">
                  <c:v>0.2</c:v>
                </c:pt>
                <c:pt idx="131">
                  <c:v>0.1</c:v>
                </c:pt>
                <c:pt idx="132">
                  <c:v>0.2</c:v>
                </c:pt>
                <c:pt idx="133">
                  <c:v>1</c:v>
                </c:pt>
                <c:pt idx="134">
                  <c:v>0.3</c:v>
                </c:pt>
                <c:pt idx="135">
                  <c:v>0.3</c:v>
                </c:pt>
                <c:pt idx="136">
                  <c:v>0.5</c:v>
                </c:pt>
                <c:pt idx="137">
                  <c:v>0.1</c:v>
                </c:pt>
                <c:pt idx="138">
                  <c:v>0.9</c:v>
                </c:pt>
                <c:pt idx="139">
                  <c:v>0.3</c:v>
                </c:pt>
                <c:pt idx="140">
                  <c:v>0.3</c:v>
                </c:pt>
                <c:pt idx="141">
                  <c:v>0.9</c:v>
                </c:pt>
                <c:pt idx="142">
                  <c:v>0.4</c:v>
                </c:pt>
                <c:pt idx="143">
                  <c:v>0.3</c:v>
                </c:pt>
                <c:pt idx="144">
                  <c:v>0.9</c:v>
                </c:pt>
                <c:pt idx="145">
                  <c:v>1</c:v>
                </c:pt>
                <c:pt idx="146">
                  <c:v>0.4</c:v>
                </c:pt>
                <c:pt idx="147">
                  <c:v>0.6</c:v>
                </c:pt>
                <c:pt idx="148">
                  <c:v>0.4</c:v>
                </c:pt>
                <c:pt idx="149">
                  <c:v>0.6</c:v>
                </c:pt>
                <c:pt idx="150">
                  <c:v>1.1000000000000001</c:v>
                </c:pt>
                <c:pt idx="151">
                  <c:v>0.6</c:v>
                </c:pt>
                <c:pt idx="152">
                  <c:v>0.6</c:v>
                </c:pt>
                <c:pt idx="153">
                  <c:v>0.6</c:v>
                </c:pt>
                <c:pt idx="154">
                  <c:v>0.8</c:v>
                </c:pt>
                <c:pt idx="155">
                  <c:v>0.7</c:v>
                </c:pt>
                <c:pt idx="156">
                  <c:v>0.1</c:v>
                </c:pt>
                <c:pt idx="157">
                  <c:v>0</c:v>
                </c:pt>
                <c:pt idx="158">
                  <c:v>0</c:v>
                </c:pt>
                <c:pt idx="159">
                  <c:v>0.7</c:v>
                </c:pt>
                <c:pt idx="160">
                  <c:v>0.3</c:v>
                </c:pt>
                <c:pt idx="161">
                  <c:v>0.3</c:v>
                </c:pt>
                <c:pt idx="162">
                  <c:v>0.5</c:v>
                </c:pt>
                <c:pt idx="163">
                  <c:v>0.9</c:v>
                </c:pt>
                <c:pt idx="164">
                  <c:v>0.6</c:v>
                </c:pt>
                <c:pt idx="165">
                  <c:v>0.2</c:v>
                </c:pt>
                <c:pt idx="166">
                  <c:v>1</c:v>
                </c:pt>
                <c:pt idx="167">
                  <c:v>0.5</c:v>
                </c:pt>
                <c:pt idx="168">
                  <c:v>0.3</c:v>
                </c:pt>
                <c:pt idx="169">
                  <c:v>0.2</c:v>
                </c:pt>
                <c:pt idx="170">
                  <c:v>0.4</c:v>
                </c:pt>
                <c:pt idx="171">
                  <c:v>1</c:v>
                </c:pt>
                <c:pt idx="172">
                  <c:v>0.9</c:v>
                </c:pt>
                <c:pt idx="173">
                  <c:v>0.2</c:v>
                </c:pt>
                <c:pt idx="174">
                  <c:v>0.2</c:v>
                </c:pt>
                <c:pt idx="175">
                  <c:v>0.7</c:v>
                </c:pt>
                <c:pt idx="176">
                  <c:v>0.3</c:v>
                </c:pt>
                <c:pt idx="177">
                  <c:v>0.4</c:v>
                </c:pt>
                <c:pt idx="178">
                  <c:v>0.4</c:v>
                </c:pt>
                <c:pt idx="179">
                  <c:v>0.2</c:v>
                </c:pt>
                <c:pt idx="180">
                  <c:v>1</c:v>
                </c:pt>
                <c:pt idx="181">
                  <c:v>0.4</c:v>
                </c:pt>
                <c:pt idx="182">
                  <c:v>1.3</c:v>
                </c:pt>
                <c:pt idx="183">
                  <c:v>0.2</c:v>
                </c:pt>
                <c:pt idx="184">
                  <c:v>0.6</c:v>
                </c:pt>
                <c:pt idx="185">
                  <c:v>0.4</c:v>
                </c:pt>
                <c:pt idx="186">
                  <c:v>0.6</c:v>
                </c:pt>
                <c:pt idx="187">
                  <c:v>0.1</c:v>
                </c:pt>
                <c:pt idx="188">
                  <c:v>0.3</c:v>
                </c:pt>
                <c:pt idx="189">
                  <c:v>0.4</c:v>
                </c:pt>
                <c:pt idx="190">
                  <c:v>0.6</c:v>
                </c:pt>
                <c:pt idx="191">
                  <c:v>0.5</c:v>
                </c:pt>
                <c:pt idx="192">
                  <c:v>0.2</c:v>
                </c:pt>
                <c:pt idx="193">
                  <c:v>0.5</c:v>
                </c:pt>
                <c:pt idx="194">
                  <c:v>0.6</c:v>
                </c:pt>
                <c:pt idx="195">
                  <c:v>0.4</c:v>
                </c:pt>
                <c:pt idx="196">
                  <c:v>0.5</c:v>
                </c:pt>
                <c:pt idx="197">
                  <c:v>0.8</c:v>
                </c:pt>
                <c:pt idx="198">
                  <c:v>0.5</c:v>
                </c:pt>
                <c:pt idx="199">
                  <c:v>0.6</c:v>
                </c:pt>
                <c:pt idx="200">
                  <c:v>0.8</c:v>
                </c:pt>
                <c:pt idx="201">
                  <c:v>0.5</c:v>
                </c:pt>
                <c:pt idx="202">
                  <c:v>0.5</c:v>
                </c:pt>
                <c:pt idx="203">
                  <c:v>0.9</c:v>
                </c:pt>
                <c:pt idx="204">
                  <c:v>0.3</c:v>
                </c:pt>
                <c:pt idx="205">
                  <c:v>0.9</c:v>
                </c:pt>
                <c:pt idx="206">
                  <c:v>0.6</c:v>
                </c:pt>
                <c:pt idx="207">
                  <c:v>0.1</c:v>
                </c:pt>
                <c:pt idx="208">
                  <c:v>0.3</c:v>
                </c:pt>
                <c:pt idx="209">
                  <c:v>0.9</c:v>
                </c:pt>
                <c:pt idx="210">
                  <c:v>0.2</c:v>
                </c:pt>
                <c:pt idx="211">
                  <c:v>0.2</c:v>
                </c:pt>
                <c:pt idx="212">
                  <c:v>0.1</c:v>
                </c:pt>
                <c:pt idx="213">
                  <c:v>0.1</c:v>
                </c:pt>
                <c:pt idx="214">
                  <c:v>0.5</c:v>
                </c:pt>
                <c:pt idx="215">
                  <c:v>0.7</c:v>
                </c:pt>
                <c:pt idx="216">
                  <c:v>0.6</c:v>
                </c:pt>
                <c:pt idx="217">
                  <c:v>1.5</c:v>
                </c:pt>
                <c:pt idx="218">
                  <c:v>0.7</c:v>
                </c:pt>
                <c:pt idx="219">
                  <c:v>0.4</c:v>
                </c:pt>
                <c:pt idx="220">
                  <c:v>0.9</c:v>
                </c:pt>
                <c:pt idx="221">
                  <c:v>0.3</c:v>
                </c:pt>
                <c:pt idx="222">
                  <c:v>0.6</c:v>
                </c:pt>
                <c:pt idx="223">
                  <c:v>0.5</c:v>
                </c:pt>
                <c:pt idx="224">
                  <c:v>0.8</c:v>
                </c:pt>
                <c:pt idx="225">
                  <c:v>0.5</c:v>
                </c:pt>
                <c:pt idx="226">
                  <c:v>1.6</c:v>
                </c:pt>
                <c:pt idx="227">
                  <c:v>0.4</c:v>
                </c:pt>
                <c:pt idx="228">
                  <c:v>0.4</c:v>
                </c:pt>
                <c:pt idx="229">
                  <c:v>0.4</c:v>
                </c:pt>
                <c:pt idx="230">
                  <c:v>0.8</c:v>
                </c:pt>
                <c:pt idx="231">
                  <c:v>0.7</c:v>
                </c:pt>
                <c:pt idx="232">
                  <c:v>0.6</c:v>
                </c:pt>
                <c:pt idx="233">
                  <c:v>0.8</c:v>
                </c:pt>
                <c:pt idx="234">
                  <c:v>0.2</c:v>
                </c:pt>
                <c:pt idx="235">
                  <c:v>0.7</c:v>
                </c:pt>
                <c:pt idx="236">
                  <c:v>0.6</c:v>
                </c:pt>
                <c:pt idx="237">
                  <c:v>0.5</c:v>
                </c:pt>
                <c:pt idx="238">
                  <c:v>0.4</c:v>
                </c:pt>
                <c:pt idx="239">
                  <c:v>0.7</c:v>
                </c:pt>
                <c:pt idx="240">
                  <c:v>0.5</c:v>
                </c:pt>
                <c:pt idx="241">
                  <c:v>1</c:v>
                </c:pt>
                <c:pt idx="242">
                  <c:v>1.2</c:v>
                </c:pt>
                <c:pt idx="243">
                  <c:v>0.4</c:v>
                </c:pt>
                <c:pt idx="244">
                  <c:v>0.4</c:v>
                </c:pt>
                <c:pt idx="245">
                  <c:v>0.2</c:v>
                </c:pt>
                <c:pt idx="246">
                  <c:v>2.2000000000000002</c:v>
                </c:pt>
                <c:pt idx="247">
                  <c:v>0.3</c:v>
                </c:pt>
                <c:pt idx="248">
                  <c:v>1</c:v>
                </c:pt>
                <c:pt idx="249">
                  <c:v>0.6</c:v>
                </c:pt>
                <c:pt idx="250">
                  <c:v>0.3</c:v>
                </c:pt>
                <c:pt idx="251">
                  <c:v>0.6</c:v>
                </c:pt>
                <c:pt idx="252">
                  <c:v>0.7</c:v>
                </c:pt>
                <c:pt idx="253">
                  <c:v>0.4</c:v>
                </c:pt>
                <c:pt idx="254">
                  <c:v>0.7</c:v>
                </c:pt>
                <c:pt idx="255">
                  <c:v>0.9</c:v>
                </c:pt>
                <c:pt idx="256">
                  <c:v>1</c:v>
                </c:pt>
                <c:pt idx="257">
                  <c:v>0.5</c:v>
                </c:pt>
                <c:pt idx="258">
                  <c:v>0.7</c:v>
                </c:pt>
                <c:pt idx="259">
                  <c:v>1</c:v>
                </c:pt>
                <c:pt idx="260">
                  <c:v>0.7</c:v>
                </c:pt>
                <c:pt idx="261">
                  <c:v>0.8</c:v>
                </c:pt>
                <c:pt idx="262">
                  <c:v>1</c:v>
                </c:pt>
                <c:pt idx="263">
                  <c:v>0.6</c:v>
                </c:pt>
                <c:pt idx="264">
                  <c:v>1.1000000000000001</c:v>
                </c:pt>
                <c:pt idx="265">
                  <c:v>0.8</c:v>
                </c:pt>
                <c:pt idx="266">
                  <c:v>1.5</c:v>
                </c:pt>
                <c:pt idx="267">
                  <c:v>0.4</c:v>
                </c:pt>
                <c:pt idx="268">
                  <c:v>0.4</c:v>
                </c:pt>
                <c:pt idx="269">
                  <c:v>0.6</c:v>
                </c:pt>
                <c:pt idx="270">
                  <c:v>1</c:v>
                </c:pt>
                <c:pt idx="271">
                  <c:v>0.6</c:v>
                </c:pt>
                <c:pt idx="272">
                  <c:v>0.7</c:v>
                </c:pt>
                <c:pt idx="273">
                  <c:v>0.3</c:v>
                </c:pt>
                <c:pt idx="274">
                  <c:v>1.1000000000000001</c:v>
                </c:pt>
                <c:pt idx="275">
                  <c:v>1.3</c:v>
                </c:pt>
                <c:pt idx="276">
                  <c:v>0.3</c:v>
                </c:pt>
                <c:pt idx="277">
                  <c:v>0.3</c:v>
                </c:pt>
                <c:pt idx="278">
                  <c:v>0.9</c:v>
                </c:pt>
                <c:pt idx="279">
                  <c:v>0.9</c:v>
                </c:pt>
                <c:pt idx="280">
                  <c:v>0.4</c:v>
                </c:pt>
                <c:pt idx="281">
                  <c:v>1</c:v>
                </c:pt>
                <c:pt idx="282">
                  <c:v>0.7</c:v>
                </c:pt>
                <c:pt idx="283">
                  <c:v>0.6</c:v>
                </c:pt>
                <c:pt idx="284">
                  <c:v>0.8</c:v>
                </c:pt>
                <c:pt idx="285">
                  <c:v>0.7</c:v>
                </c:pt>
                <c:pt idx="286">
                  <c:v>0.6</c:v>
                </c:pt>
                <c:pt idx="287">
                  <c:v>0.6</c:v>
                </c:pt>
                <c:pt idx="288">
                  <c:v>0.6</c:v>
                </c:pt>
                <c:pt idx="289">
                  <c:v>1.3</c:v>
                </c:pt>
                <c:pt idx="290">
                  <c:v>1</c:v>
                </c:pt>
                <c:pt idx="291">
                  <c:v>0.2</c:v>
                </c:pt>
                <c:pt idx="292">
                  <c:v>0.5</c:v>
                </c:pt>
                <c:pt idx="293">
                  <c:v>1.1000000000000001</c:v>
                </c:pt>
                <c:pt idx="294">
                  <c:v>1</c:v>
                </c:pt>
                <c:pt idx="295">
                  <c:v>0.4</c:v>
                </c:pt>
                <c:pt idx="296">
                  <c:v>0.8</c:v>
                </c:pt>
                <c:pt idx="297">
                  <c:v>1.1000000000000001</c:v>
                </c:pt>
                <c:pt idx="298">
                  <c:v>0.8</c:v>
                </c:pt>
                <c:pt idx="299">
                  <c:v>0.8</c:v>
                </c:pt>
                <c:pt idx="300">
                  <c:v>1.7</c:v>
                </c:pt>
                <c:pt idx="301">
                  <c:v>1.1000000000000001</c:v>
                </c:pt>
                <c:pt idx="302">
                  <c:v>0.8</c:v>
                </c:pt>
                <c:pt idx="303">
                  <c:v>1.2</c:v>
                </c:pt>
                <c:pt idx="304">
                  <c:v>0.3</c:v>
                </c:pt>
                <c:pt idx="305">
                  <c:v>0.6</c:v>
                </c:pt>
                <c:pt idx="306">
                  <c:v>0.5</c:v>
                </c:pt>
                <c:pt idx="307">
                  <c:v>1.3</c:v>
                </c:pt>
                <c:pt idx="308">
                  <c:v>0.8</c:v>
                </c:pt>
                <c:pt idx="309">
                  <c:v>0.4</c:v>
                </c:pt>
                <c:pt idx="310">
                  <c:v>0.9</c:v>
                </c:pt>
                <c:pt idx="311">
                  <c:v>0.4</c:v>
                </c:pt>
                <c:pt idx="312">
                  <c:v>0.6</c:v>
                </c:pt>
                <c:pt idx="313">
                  <c:v>1</c:v>
                </c:pt>
                <c:pt idx="314">
                  <c:v>0.8</c:v>
                </c:pt>
                <c:pt idx="315">
                  <c:v>0.3</c:v>
                </c:pt>
                <c:pt idx="316">
                  <c:v>0.6</c:v>
                </c:pt>
                <c:pt idx="317">
                  <c:v>0.6</c:v>
                </c:pt>
                <c:pt idx="318">
                  <c:v>0.3</c:v>
                </c:pt>
                <c:pt idx="319">
                  <c:v>0.4</c:v>
                </c:pt>
                <c:pt idx="320">
                  <c:v>0.4</c:v>
                </c:pt>
                <c:pt idx="321">
                  <c:v>0.6</c:v>
                </c:pt>
                <c:pt idx="322">
                  <c:v>0.4</c:v>
                </c:pt>
                <c:pt idx="323">
                  <c:v>0.6</c:v>
                </c:pt>
                <c:pt idx="324">
                  <c:v>0.9</c:v>
                </c:pt>
                <c:pt idx="325">
                  <c:v>0.8</c:v>
                </c:pt>
                <c:pt idx="326">
                  <c:v>0.8</c:v>
                </c:pt>
                <c:pt idx="327">
                  <c:v>0.1</c:v>
                </c:pt>
                <c:pt idx="328">
                  <c:v>0.9</c:v>
                </c:pt>
                <c:pt idx="329">
                  <c:v>0.8</c:v>
                </c:pt>
                <c:pt idx="330">
                  <c:v>0.5</c:v>
                </c:pt>
                <c:pt idx="331">
                  <c:v>0.9</c:v>
                </c:pt>
                <c:pt idx="332">
                  <c:v>0.3</c:v>
                </c:pt>
                <c:pt idx="333">
                  <c:v>0.6</c:v>
                </c:pt>
                <c:pt idx="334">
                  <c:v>0.5</c:v>
                </c:pt>
                <c:pt idx="335">
                  <c:v>0.8</c:v>
                </c:pt>
                <c:pt idx="336">
                  <c:v>0.5</c:v>
                </c:pt>
                <c:pt idx="337">
                  <c:v>0.7</c:v>
                </c:pt>
                <c:pt idx="338">
                  <c:v>1</c:v>
                </c:pt>
                <c:pt idx="339">
                  <c:v>1.1000000000000001</c:v>
                </c:pt>
                <c:pt idx="340">
                  <c:v>0.8</c:v>
                </c:pt>
                <c:pt idx="341">
                  <c:v>0.7</c:v>
                </c:pt>
                <c:pt idx="342">
                  <c:v>0.8</c:v>
                </c:pt>
                <c:pt idx="343">
                  <c:v>0.5</c:v>
                </c:pt>
                <c:pt idx="344">
                  <c:v>0.4</c:v>
                </c:pt>
                <c:pt idx="345">
                  <c:v>0.6</c:v>
                </c:pt>
                <c:pt idx="346">
                  <c:v>0.8</c:v>
                </c:pt>
                <c:pt idx="347">
                  <c:v>0.6</c:v>
                </c:pt>
                <c:pt idx="348">
                  <c:v>0.5</c:v>
                </c:pt>
                <c:pt idx="349">
                  <c:v>1.5</c:v>
                </c:pt>
                <c:pt idx="350">
                  <c:v>0.4</c:v>
                </c:pt>
                <c:pt idx="351">
                  <c:v>0.4</c:v>
                </c:pt>
                <c:pt idx="352">
                  <c:v>0.8</c:v>
                </c:pt>
                <c:pt idx="353">
                  <c:v>0.8</c:v>
                </c:pt>
                <c:pt idx="354">
                  <c:v>1.3</c:v>
                </c:pt>
                <c:pt idx="355">
                  <c:v>0.5</c:v>
                </c:pt>
                <c:pt idx="356">
                  <c:v>0.6</c:v>
                </c:pt>
                <c:pt idx="357">
                  <c:v>0.5</c:v>
                </c:pt>
                <c:pt idx="358">
                  <c:v>0.4</c:v>
                </c:pt>
                <c:pt idx="359">
                  <c:v>0.4</c:v>
                </c:pt>
                <c:pt idx="360">
                  <c:v>0.9</c:v>
                </c:pt>
                <c:pt idx="361">
                  <c:v>0.4</c:v>
                </c:pt>
                <c:pt idx="362">
                  <c:v>0.5</c:v>
                </c:pt>
                <c:pt idx="363">
                  <c:v>0.6</c:v>
                </c:pt>
                <c:pt idx="364">
                  <c:v>0.6</c:v>
                </c:pt>
                <c:pt idx="365">
                  <c:v>0.9</c:v>
                </c:pt>
                <c:pt idx="366">
                  <c:v>0.7</c:v>
                </c:pt>
                <c:pt idx="367">
                  <c:v>0.6</c:v>
                </c:pt>
                <c:pt idx="368">
                  <c:v>0.6</c:v>
                </c:pt>
                <c:pt idx="369">
                  <c:v>0.9</c:v>
                </c:pt>
                <c:pt idx="370">
                  <c:v>0.8</c:v>
                </c:pt>
                <c:pt idx="371">
                  <c:v>0.3</c:v>
                </c:pt>
                <c:pt idx="372">
                  <c:v>0.8</c:v>
                </c:pt>
                <c:pt idx="373">
                  <c:v>0.7</c:v>
                </c:pt>
                <c:pt idx="374">
                  <c:v>0.6</c:v>
                </c:pt>
                <c:pt idx="375">
                  <c:v>0.6</c:v>
                </c:pt>
                <c:pt idx="376">
                  <c:v>0.5</c:v>
                </c:pt>
                <c:pt idx="377">
                  <c:v>0.8</c:v>
                </c:pt>
                <c:pt idx="378">
                  <c:v>1</c:v>
                </c:pt>
                <c:pt idx="379">
                  <c:v>0.7</c:v>
                </c:pt>
                <c:pt idx="380">
                  <c:v>1.7</c:v>
                </c:pt>
                <c:pt idx="381">
                  <c:v>0.6</c:v>
                </c:pt>
                <c:pt idx="382">
                  <c:v>0.4</c:v>
                </c:pt>
                <c:pt idx="383">
                  <c:v>3</c:v>
                </c:pt>
                <c:pt idx="384">
                  <c:v>0.5</c:v>
                </c:pt>
                <c:pt idx="385">
                  <c:v>0.8</c:v>
                </c:pt>
                <c:pt idx="386">
                  <c:v>0.8</c:v>
                </c:pt>
                <c:pt idx="387">
                  <c:v>0.3</c:v>
                </c:pt>
                <c:pt idx="388">
                  <c:v>0.6</c:v>
                </c:pt>
                <c:pt idx="389">
                  <c:v>0.3</c:v>
                </c:pt>
                <c:pt idx="390">
                  <c:v>0.7</c:v>
                </c:pt>
                <c:pt idx="391">
                  <c:v>0.8</c:v>
                </c:pt>
                <c:pt idx="392">
                  <c:v>0.5</c:v>
                </c:pt>
                <c:pt idx="393">
                  <c:v>1.3</c:v>
                </c:pt>
                <c:pt idx="394">
                  <c:v>0.7</c:v>
                </c:pt>
                <c:pt idx="395">
                  <c:v>0</c:v>
                </c:pt>
                <c:pt idx="396">
                  <c:v>0</c:v>
                </c:pt>
                <c:pt idx="397">
                  <c:v>1</c:v>
                </c:pt>
                <c:pt idx="398">
                  <c:v>0.7</c:v>
                </c:pt>
                <c:pt idx="399">
                  <c:v>0.7</c:v>
                </c:pt>
                <c:pt idx="400">
                  <c:v>1</c:v>
                </c:pt>
                <c:pt idx="401">
                  <c:v>0.7</c:v>
                </c:pt>
                <c:pt idx="402">
                  <c:v>0.8</c:v>
                </c:pt>
                <c:pt idx="403">
                  <c:v>0.7</c:v>
                </c:pt>
                <c:pt idx="404">
                  <c:v>1.9</c:v>
                </c:pt>
                <c:pt idx="405">
                  <c:v>0.6</c:v>
                </c:pt>
                <c:pt idx="406">
                  <c:v>1.3</c:v>
                </c:pt>
                <c:pt idx="407">
                  <c:v>0.7</c:v>
                </c:pt>
                <c:pt idx="408">
                  <c:v>0.5</c:v>
                </c:pt>
                <c:pt idx="409">
                  <c:v>0.8</c:v>
                </c:pt>
                <c:pt idx="410">
                  <c:v>1.2</c:v>
                </c:pt>
                <c:pt idx="411">
                  <c:v>0.5</c:v>
                </c:pt>
                <c:pt idx="412">
                  <c:v>0.4</c:v>
                </c:pt>
                <c:pt idx="413">
                  <c:v>1.1000000000000001</c:v>
                </c:pt>
                <c:pt idx="414">
                  <c:v>0.9</c:v>
                </c:pt>
                <c:pt idx="415">
                  <c:v>0.7</c:v>
                </c:pt>
                <c:pt idx="416">
                  <c:v>1.1000000000000001</c:v>
                </c:pt>
                <c:pt idx="417">
                  <c:v>1.2</c:v>
                </c:pt>
                <c:pt idx="418">
                  <c:v>0.8</c:v>
                </c:pt>
                <c:pt idx="419">
                  <c:v>1.5</c:v>
                </c:pt>
                <c:pt idx="420">
                  <c:v>0</c:v>
                </c:pt>
                <c:pt idx="421">
                  <c:v>1</c:v>
                </c:pt>
                <c:pt idx="422">
                  <c:v>1.3</c:v>
                </c:pt>
                <c:pt idx="423">
                  <c:v>0.9</c:v>
                </c:pt>
                <c:pt idx="424">
                  <c:v>0.4</c:v>
                </c:pt>
                <c:pt idx="425">
                  <c:v>0.9</c:v>
                </c:pt>
                <c:pt idx="426">
                  <c:v>0.9</c:v>
                </c:pt>
                <c:pt idx="427">
                  <c:v>0.9</c:v>
                </c:pt>
                <c:pt idx="428">
                  <c:v>1.1000000000000001</c:v>
                </c:pt>
                <c:pt idx="429">
                  <c:v>0.7</c:v>
                </c:pt>
                <c:pt idx="430">
                  <c:v>1.6</c:v>
                </c:pt>
                <c:pt idx="431">
                  <c:v>1</c:v>
                </c:pt>
                <c:pt idx="432">
                  <c:v>0.9</c:v>
                </c:pt>
                <c:pt idx="433">
                  <c:v>1.1000000000000001</c:v>
                </c:pt>
                <c:pt idx="434">
                  <c:v>0.8</c:v>
                </c:pt>
                <c:pt idx="435">
                  <c:v>1</c:v>
                </c:pt>
                <c:pt idx="436">
                  <c:v>1</c:v>
                </c:pt>
                <c:pt idx="437">
                  <c:v>0.5</c:v>
                </c:pt>
                <c:pt idx="438">
                  <c:v>0.5</c:v>
                </c:pt>
                <c:pt idx="439">
                  <c:v>0.9</c:v>
                </c:pt>
                <c:pt idx="440">
                  <c:v>0.7</c:v>
                </c:pt>
                <c:pt idx="441">
                  <c:v>1.7</c:v>
                </c:pt>
                <c:pt idx="442">
                  <c:v>1.8</c:v>
                </c:pt>
                <c:pt idx="443">
                  <c:v>0.5</c:v>
                </c:pt>
                <c:pt idx="444">
                  <c:v>0.8</c:v>
                </c:pt>
                <c:pt idx="445">
                  <c:v>0.8</c:v>
                </c:pt>
                <c:pt idx="446">
                  <c:v>1</c:v>
                </c:pt>
                <c:pt idx="447">
                  <c:v>1.1000000000000001</c:v>
                </c:pt>
                <c:pt idx="448">
                  <c:v>0.6</c:v>
                </c:pt>
                <c:pt idx="449">
                  <c:v>0.7</c:v>
                </c:pt>
                <c:pt idx="450">
                  <c:v>0.6</c:v>
                </c:pt>
                <c:pt idx="451">
                  <c:v>1.2</c:v>
                </c:pt>
                <c:pt idx="452">
                  <c:v>0.8</c:v>
                </c:pt>
                <c:pt idx="453">
                  <c:v>0.9</c:v>
                </c:pt>
                <c:pt idx="454">
                  <c:v>0.6</c:v>
                </c:pt>
                <c:pt idx="455">
                  <c:v>1.1000000000000001</c:v>
                </c:pt>
                <c:pt idx="456">
                  <c:v>1.5</c:v>
                </c:pt>
                <c:pt idx="457">
                  <c:v>1.1000000000000001</c:v>
                </c:pt>
                <c:pt idx="458">
                  <c:v>0.9</c:v>
                </c:pt>
                <c:pt idx="459">
                  <c:v>0.6</c:v>
                </c:pt>
                <c:pt idx="460">
                  <c:v>0.6</c:v>
                </c:pt>
                <c:pt idx="461">
                  <c:v>0.2</c:v>
                </c:pt>
                <c:pt idx="462">
                  <c:v>0.5</c:v>
                </c:pt>
                <c:pt idx="463">
                  <c:v>0.9</c:v>
                </c:pt>
                <c:pt idx="464">
                  <c:v>1</c:v>
                </c:pt>
                <c:pt idx="465">
                  <c:v>0.9</c:v>
                </c:pt>
                <c:pt idx="466">
                  <c:v>0.9</c:v>
                </c:pt>
                <c:pt idx="467">
                  <c:v>0.9</c:v>
                </c:pt>
                <c:pt idx="468">
                  <c:v>1.1000000000000001</c:v>
                </c:pt>
                <c:pt idx="469">
                  <c:v>1.2</c:v>
                </c:pt>
                <c:pt idx="470">
                  <c:v>1.4</c:v>
                </c:pt>
                <c:pt idx="471">
                  <c:v>0</c:v>
                </c:pt>
                <c:pt idx="472">
                  <c:v>0.7</c:v>
                </c:pt>
                <c:pt idx="473">
                  <c:v>0.9</c:v>
                </c:pt>
                <c:pt idx="474">
                  <c:v>1</c:v>
                </c:pt>
                <c:pt idx="475">
                  <c:v>1.3</c:v>
                </c:pt>
                <c:pt idx="476">
                  <c:v>1.5</c:v>
                </c:pt>
                <c:pt idx="477">
                  <c:v>0.7</c:v>
                </c:pt>
                <c:pt idx="478">
                  <c:v>1.4</c:v>
                </c:pt>
                <c:pt idx="479">
                  <c:v>1.5</c:v>
                </c:pt>
                <c:pt idx="480">
                  <c:v>0.6</c:v>
                </c:pt>
                <c:pt idx="481">
                  <c:v>1.5</c:v>
                </c:pt>
                <c:pt idx="482">
                  <c:v>0.8</c:v>
                </c:pt>
                <c:pt idx="483">
                  <c:v>0.9</c:v>
                </c:pt>
                <c:pt idx="484">
                  <c:v>1.2</c:v>
                </c:pt>
                <c:pt idx="485">
                  <c:v>0.8</c:v>
                </c:pt>
                <c:pt idx="486">
                  <c:v>1.6</c:v>
                </c:pt>
                <c:pt idx="487">
                  <c:v>0.4</c:v>
                </c:pt>
                <c:pt idx="488">
                  <c:v>0.9</c:v>
                </c:pt>
                <c:pt idx="489">
                  <c:v>1.2</c:v>
                </c:pt>
                <c:pt idx="490">
                  <c:v>0.9</c:v>
                </c:pt>
                <c:pt idx="491">
                  <c:v>0.9</c:v>
                </c:pt>
                <c:pt idx="492">
                  <c:v>0.5</c:v>
                </c:pt>
                <c:pt idx="493">
                  <c:v>1.1000000000000001</c:v>
                </c:pt>
                <c:pt idx="494">
                  <c:v>1.6</c:v>
                </c:pt>
                <c:pt idx="495">
                  <c:v>1.4</c:v>
                </c:pt>
                <c:pt idx="496">
                  <c:v>0.8</c:v>
                </c:pt>
                <c:pt idx="497">
                  <c:v>0.7</c:v>
                </c:pt>
                <c:pt idx="498">
                  <c:v>1.4</c:v>
                </c:pt>
                <c:pt idx="499">
                  <c:v>0.8</c:v>
                </c:pt>
                <c:pt idx="500">
                  <c:v>0.5</c:v>
                </c:pt>
                <c:pt idx="501">
                  <c:v>0.9</c:v>
                </c:pt>
                <c:pt idx="502">
                  <c:v>0.7</c:v>
                </c:pt>
                <c:pt idx="503">
                  <c:v>0.7</c:v>
                </c:pt>
                <c:pt idx="504">
                  <c:v>0.8</c:v>
                </c:pt>
                <c:pt idx="505">
                  <c:v>0.9</c:v>
                </c:pt>
                <c:pt idx="506">
                  <c:v>0.8</c:v>
                </c:pt>
                <c:pt idx="507">
                  <c:v>0.9</c:v>
                </c:pt>
                <c:pt idx="508">
                  <c:v>0.8</c:v>
                </c:pt>
                <c:pt idx="509">
                  <c:v>1.3</c:v>
                </c:pt>
                <c:pt idx="510">
                  <c:v>0.7</c:v>
                </c:pt>
                <c:pt idx="511">
                  <c:v>0.7</c:v>
                </c:pt>
                <c:pt idx="512">
                  <c:v>2</c:v>
                </c:pt>
                <c:pt idx="513">
                  <c:v>0.9</c:v>
                </c:pt>
                <c:pt idx="514">
                  <c:v>0.9</c:v>
                </c:pt>
                <c:pt idx="515">
                  <c:v>1</c:v>
                </c:pt>
                <c:pt idx="516">
                  <c:v>1.1000000000000001</c:v>
                </c:pt>
                <c:pt idx="517">
                  <c:v>0.7</c:v>
                </c:pt>
                <c:pt idx="518">
                  <c:v>0.7</c:v>
                </c:pt>
                <c:pt idx="519">
                  <c:v>0.9</c:v>
                </c:pt>
                <c:pt idx="520">
                  <c:v>0.9</c:v>
                </c:pt>
                <c:pt idx="521">
                  <c:v>1.3</c:v>
                </c:pt>
                <c:pt idx="522">
                  <c:v>0.7</c:v>
                </c:pt>
                <c:pt idx="523">
                  <c:v>1.1000000000000001</c:v>
                </c:pt>
                <c:pt idx="524">
                  <c:v>1.1000000000000001</c:v>
                </c:pt>
                <c:pt idx="525">
                  <c:v>1</c:v>
                </c:pt>
                <c:pt idx="526">
                  <c:v>0.9</c:v>
                </c:pt>
                <c:pt idx="527">
                  <c:v>1.3</c:v>
                </c:pt>
                <c:pt idx="528">
                  <c:v>1.6</c:v>
                </c:pt>
                <c:pt idx="529">
                  <c:v>1.2</c:v>
                </c:pt>
                <c:pt idx="530">
                  <c:v>0.7</c:v>
                </c:pt>
                <c:pt idx="531">
                  <c:v>1.4</c:v>
                </c:pt>
                <c:pt idx="532">
                  <c:v>0.7</c:v>
                </c:pt>
                <c:pt idx="533">
                  <c:v>1</c:v>
                </c:pt>
                <c:pt idx="534">
                  <c:v>0.7</c:v>
                </c:pt>
                <c:pt idx="535">
                  <c:v>1.1000000000000001</c:v>
                </c:pt>
                <c:pt idx="536">
                  <c:v>1.1000000000000001</c:v>
                </c:pt>
                <c:pt idx="537">
                  <c:v>0.8</c:v>
                </c:pt>
                <c:pt idx="538">
                  <c:v>1.3</c:v>
                </c:pt>
                <c:pt idx="539">
                  <c:v>1.2</c:v>
                </c:pt>
                <c:pt idx="540">
                  <c:v>1.5</c:v>
                </c:pt>
                <c:pt idx="541">
                  <c:v>1</c:v>
                </c:pt>
                <c:pt idx="542">
                  <c:v>1.3</c:v>
                </c:pt>
                <c:pt idx="543">
                  <c:v>1</c:v>
                </c:pt>
                <c:pt idx="544">
                  <c:v>1.2</c:v>
                </c:pt>
                <c:pt idx="545">
                  <c:v>0.8</c:v>
                </c:pt>
                <c:pt idx="546">
                  <c:v>1.8</c:v>
                </c:pt>
                <c:pt idx="547">
                  <c:v>1.1000000000000001</c:v>
                </c:pt>
                <c:pt idx="548">
                  <c:v>1</c:v>
                </c:pt>
                <c:pt idx="549">
                  <c:v>0.8</c:v>
                </c:pt>
                <c:pt idx="550">
                  <c:v>0.8</c:v>
                </c:pt>
                <c:pt idx="551">
                  <c:v>0.6</c:v>
                </c:pt>
                <c:pt idx="552">
                  <c:v>1.1000000000000001</c:v>
                </c:pt>
                <c:pt idx="553">
                  <c:v>1.2</c:v>
                </c:pt>
                <c:pt idx="554">
                  <c:v>0.9</c:v>
                </c:pt>
                <c:pt idx="555">
                  <c:v>1.2</c:v>
                </c:pt>
                <c:pt idx="556">
                  <c:v>1.8</c:v>
                </c:pt>
                <c:pt idx="557">
                  <c:v>1.2</c:v>
                </c:pt>
                <c:pt idx="558">
                  <c:v>0.9</c:v>
                </c:pt>
                <c:pt idx="559">
                  <c:v>1.4</c:v>
                </c:pt>
                <c:pt idx="560">
                  <c:v>1.2</c:v>
                </c:pt>
                <c:pt idx="561">
                  <c:v>1.5</c:v>
                </c:pt>
                <c:pt idx="562">
                  <c:v>1.2</c:v>
                </c:pt>
                <c:pt idx="563">
                  <c:v>1.8</c:v>
                </c:pt>
                <c:pt idx="564">
                  <c:v>1.2</c:v>
                </c:pt>
                <c:pt idx="565">
                  <c:v>0.8</c:v>
                </c:pt>
                <c:pt idx="566">
                  <c:v>1.7</c:v>
                </c:pt>
                <c:pt idx="567">
                  <c:v>0.7</c:v>
                </c:pt>
                <c:pt idx="568">
                  <c:v>0.9</c:v>
                </c:pt>
              </c:numCache>
            </c:numRef>
          </c:xVal>
          <c:yVal>
            <c:numRef>
              <c:f>'Cleaned Data'!$F$2:$F$570</c:f>
              <c:numCache>
                <c:formatCode>General</c:formatCode>
                <c:ptCount val="569"/>
                <c:pt idx="0">
                  <c:v>0</c:v>
                </c:pt>
                <c:pt idx="1">
                  <c:v>0</c:v>
                </c:pt>
                <c:pt idx="2">
                  <c:v>0</c:v>
                </c:pt>
                <c:pt idx="3">
                  <c:v>0</c:v>
                </c:pt>
                <c:pt idx="4">
                  <c:v>0</c:v>
                </c:pt>
                <c:pt idx="5">
                  <c:v>0</c:v>
                </c:pt>
                <c:pt idx="6">
                  <c:v>0</c:v>
                </c:pt>
                <c:pt idx="7">
                  <c:v>0</c:v>
                </c:pt>
                <c:pt idx="8">
                  <c:v>-0.1</c:v>
                </c:pt>
                <c:pt idx="9">
                  <c:v>-0.1</c:v>
                </c:pt>
                <c:pt idx="10">
                  <c:v>-0.1</c:v>
                </c:pt>
                <c:pt idx="11">
                  <c:v>0</c:v>
                </c:pt>
                <c:pt idx="12">
                  <c:v>0</c:v>
                </c:pt>
                <c:pt idx="13">
                  <c:v>0</c:v>
                </c:pt>
                <c:pt idx="14">
                  <c:v>0</c:v>
                </c:pt>
                <c:pt idx="15">
                  <c:v>-0.2</c:v>
                </c:pt>
                <c:pt idx="16">
                  <c:v>0</c:v>
                </c:pt>
                <c:pt idx="17">
                  <c:v>0</c:v>
                </c:pt>
                <c:pt idx="18">
                  <c:v>0</c:v>
                </c:pt>
                <c:pt idx="19">
                  <c:v>0</c:v>
                </c:pt>
                <c:pt idx="20">
                  <c:v>0</c:v>
                </c:pt>
                <c:pt idx="21">
                  <c:v>0</c:v>
                </c:pt>
                <c:pt idx="22">
                  <c:v>-0.1</c:v>
                </c:pt>
                <c:pt idx="23">
                  <c:v>0</c:v>
                </c:pt>
                <c:pt idx="24">
                  <c:v>-0.1</c:v>
                </c:pt>
                <c:pt idx="25">
                  <c:v>-0.1</c:v>
                </c:pt>
                <c:pt idx="26">
                  <c:v>-0.1</c:v>
                </c:pt>
                <c:pt idx="27">
                  <c:v>-0.1</c:v>
                </c:pt>
                <c:pt idx="28">
                  <c:v>-0.4</c:v>
                </c:pt>
                <c:pt idx="29">
                  <c:v>-0.4</c:v>
                </c:pt>
                <c:pt idx="30">
                  <c:v>-0.1</c:v>
                </c:pt>
                <c:pt idx="31">
                  <c:v>-0.2</c:v>
                </c:pt>
                <c:pt idx="32">
                  <c:v>0</c:v>
                </c:pt>
                <c:pt idx="33">
                  <c:v>-0.1</c:v>
                </c:pt>
                <c:pt idx="34">
                  <c:v>0.1</c:v>
                </c:pt>
                <c:pt idx="35">
                  <c:v>-0.2</c:v>
                </c:pt>
                <c:pt idx="36">
                  <c:v>0.5</c:v>
                </c:pt>
                <c:pt idx="37">
                  <c:v>-0.1</c:v>
                </c:pt>
                <c:pt idx="38">
                  <c:v>0</c:v>
                </c:pt>
                <c:pt idx="39">
                  <c:v>-0.2</c:v>
                </c:pt>
                <c:pt idx="40">
                  <c:v>-0.2</c:v>
                </c:pt>
                <c:pt idx="41">
                  <c:v>-0.2</c:v>
                </c:pt>
                <c:pt idx="42">
                  <c:v>0</c:v>
                </c:pt>
                <c:pt idx="43">
                  <c:v>1.1000000000000001</c:v>
                </c:pt>
                <c:pt idx="44">
                  <c:v>0</c:v>
                </c:pt>
                <c:pt idx="45">
                  <c:v>-0.2</c:v>
                </c:pt>
                <c:pt idx="46">
                  <c:v>-0.2</c:v>
                </c:pt>
                <c:pt idx="47">
                  <c:v>0.1</c:v>
                </c:pt>
                <c:pt idx="48">
                  <c:v>0</c:v>
                </c:pt>
                <c:pt idx="49">
                  <c:v>-0.1</c:v>
                </c:pt>
                <c:pt idx="50">
                  <c:v>1</c:v>
                </c:pt>
                <c:pt idx="51">
                  <c:v>0</c:v>
                </c:pt>
                <c:pt idx="52">
                  <c:v>0</c:v>
                </c:pt>
                <c:pt idx="53">
                  <c:v>0</c:v>
                </c:pt>
                <c:pt idx="54">
                  <c:v>0</c:v>
                </c:pt>
                <c:pt idx="55">
                  <c:v>-0.1</c:v>
                </c:pt>
                <c:pt idx="56">
                  <c:v>-0.1</c:v>
                </c:pt>
                <c:pt idx="57">
                  <c:v>-0.1</c:v>
                </c:pt>
                <c:pt idx="58">
                  <c:v>0</c:v>
                </c:pt>
                <c:pt idx="59">
                  <c:v>0</c:v>
                </c:pt>
                <c:pt idx="60">
                  <c:v>-0.1</c:v>
                </c:pt>
                <c:pt idx="61">
                  <c:v>0</c:v>
                </c:pt>
                <c:pt idx="62">
                  <c:v>-0.1</c:v>
                </c:pt>
                <c:pt idx="63">
                  <c:v>0</c:v>
                </c:pt>
                <c:pt idx="64">
                  <c:v>0</c:v>
                </c:pt>
                <c:pt idx="65">
                  <c:v>0</c:v>
                </c:pt>
                <c:pt idx="66">
                  <c:v>0.1</c:v>
                </c:pt>
                <c:pt idx="67">
                  <c:v>-0.8</c:v>
                </c:pt>
                <c:pt idx="68">
                  <c:v>-0.1</c:v>
                </c:pt>
                <c:pt idx="69">
                  <c:v>1</c:v>
                </c:pt>
                <c:pt idx="70">
                  <c:v>-0.2</c:v>
                </c:pt>
                <c:pt idx="71">
                  <c:v>0.1</c:v>
                </c:pt>
                <c:pt idx="72">
                  <c:v>0.1</c:v>
                </c:pt>
                <c:pt idx="73">
                  <c:v>-0.3</c:v>
                </c:pt>
                <c:pt idx="74">
                  <c:v>1.2</c:v>
                </c:pt>
                <c:pt idx="75">
                  <c:v>-0.6</c:v>
                </c:pt>
                <c:pt idx="76">
                  <c:v>0</c:v>
                </c:pt>
                <c:pt idx="77">
                  <c:v>0.1</c:v>
                </c:pt>
                <c:pt idx="78">
                  <c:v>-0.1</c:v>
                </c:pt>
                <c:pt idx="79">
                  <c:v>-0.1</c:v>
                </c:pt>
                <c:pt idx="80">
                  <c:v>0</c:v>
                </c:pt>
                <c:pt idx="81">
                  <c:v>-0.1</c:v>
                </c:pt>
                <c:pt idx="82">
                  <c:v>0.8</c:v>
                </c:pt>
                <c:pt idx="83">
                  <c:v>-0.1</c:v>
                </c:pt>
                <c:pt idx="84">
                  <c:v>0.2</c:v>
                </c:pt>
                <c:pt idx="85">
                  <c:v>0</c:v>
                </c:pt>
                <c:pt idx="86">
                  <c:v>0.3</c:v>
                </c:pt>
                <c:pt idx="87">
                  <c:v>-0.1</c:v>
                </c:pt>
                <c:pt idx="88">
                  <c:v>-0.1</c:v>
                </c:pt>
                <c:pt idx="89">
                  <c:v>-0.1</c:v>
                </c:pt>
                <c:pt idx="90">
                  <c:v>-0.6</c:v>
                </c:pt>
                <c:pt idx="91">
                  <c:v>-0.1</c:v>
                </c:pt>
                <c:pt idx="92">
                  <c:v>0</c:v>
                </c:pt>
                <c:pt idx="93">
                  <c:v>0</c:v>
                </c:pt>
                <c:pt idx="94">
                  <c:v>-0.2</c:v>
                </c:pt>
                <c:pt idx="95">
                  <c:v>0.1</c:v>
                </c:pt>
                <c:pt idx="96">
                  <c:v>-0.1</c:v>
                </c:pt>
                <c:pt idx="97">
                  <c:v>-0.1</c:v>
                </c:pt>
                <c:pt idx="98">
                  <c:v>-0.3</c:v>
                </c:pt>
                <c:pt idx="99">
                  <c:v>-0.1</c:v>
                </c:pt>
                <c:pt idx="100">
                  <c:v>0</c:v>
                </c:pt>
                <c:pt idx="101">
                  <c:v>-0.2</c:v>
                </c:pt>
                <c:pt idx="102">
                  <c:v>-0.2</c:v>
                </c:pt>
                <c:pt idx="103">
                  <c:v>-0.2</c:v>
                </c:pt>
                <c:pt idx="104">
                  <c:v>0.2</c:v>
                </c:pt>
                <c:pt idx="105">
                  <c:v>0</c:v>
                </c:pt>
                <c:pt idx="106">
                  <c:v>0.1</c:v>
                </c:pt>
                <c:pt idx="107">
                  <c:v>-0.1</c:v>
                </c:pt>
                <c:pt idx="108">
                  <c:v>0.1</c:v>
                </c:pt>
                <c:pt idx="109">
                  <c:v>0</c:v>
                </c:pt>
                <c:pt idx="110">
                  <c:v>-0.1</c:v>
                </c:pt>
                <c:pt idx="111">
                  <c:v>-0.1</c:v>
                </c:pt>
                <c:pt idx="112">
                  <c:v>0.7</c:v>
                </c:pt>
                <c:pt idx="113">
                  <c:v>-0.3</c:v>
                </c:pt>
                <c:pt idx="114">
                  <c:v>0.1</c:v>
                </c:pt>
                <c:pt idx="115">
                  <c:v>0.1</c:v>
                </c:pt>
                <c:pt idx="116">
                  <c:v>-0.3</c:v>
                </c:pt>
                <c:pt idx="117">
                  <c:v>-0.2</c:v>
                </c:pt>
                <c:pt idx="118">
                  <c:v>-0.2</c:v>
                </c:pt>
                <c:pt idx="119">
                  <c:v>-0.3</c:v>
                </c:pt>
                <c:pt idx="120">
                  <c:v>0.2</c:v>
                </c:pt>
                <c:pt idx="121">
                  <c:v>0</c:v>
                </c:pt>
                <c:pt idx="122">
                  <c:v>0</c:v>
                </c:pt>
                <c:pt idx="123">
                  <c:v>-0.1</c:v>
                </c:pt>
                <c:pt idx="124">
                  <c:v>-0.2</c:v>
                </c:pt>
                <c:pt idx="125">
                  <c:v>-0.3</c:v>
                </c:pt>
                <c:pt idx="126">
                  <c:v>0.1</c:v>
                </c:pt>
                <c:pt idx="127">
                  <c:v>-0.7</c:v>
                </c:pt>
                <c:pt idx="128">
                  <c:v>0.4</c:v>
                </c:pt>
                <c:pt idx="129">
                  <c:v>1.5</c:v>
                </c:pt>
                <c:pt idx="130">
                  <c:v>0</c:v>
                </c:pt>
                <c:pt idx="131">
                  <c:v>-0.1</c:v>
                </c:pt>
                <c:pt idx="132">
                  <c:v>0.2</c:v>
                </c:pt>
                <c:pt idx="133">
                  <c:v>-0.1</c:v>
                </c:pt>
                <c:pt idx="134">
                  <c:v>0</c:v>
                </c:pt>
                <c:pt idx="135">
                  <c:v>-0.3</c:v>
                </c:pt>
                <c:pt idx="136">
                  <c:v>1.2</c:v>
                </c:pt>
                <c:pt idx="137">
                  <c:v>0</c:v>
                </c:pt>
                <c:pt idx="138">
                  <c:v>0.1</c:v>
                </c:pt>
                <c:pt idx="139">
                  <c:v>-0.3</c:v>
                </c:pt>
                <c:pt idx="140">
                  <c:v>0.4</c:v>
                </c:pt>
                <c:pt idx="141">
                  <c:v>-0.4</c:v>
                </c:pt>
                <c:pt idx="142">
                  <c:v>-0.1</c:v>
                </c:pt>
                <c:pt idx="143">
                  <c:v>-0.1</c:v>
                </c:pt>
                <c:pt idx="144">
                  <c:v>0.1</c:v>
                </c:pt>
                <c:pt idx="145">
                  <c:v>0.1</c:v>
                </c:pt>
                <c:pt idx="146">
                  <c:v>0.4</c:v>
                </c:pt>
                <c:pt idx="147">
                  <c:v>-0.1</c:v>
                </c:pt>
                <c:pt idx="148">
                  <c:v>0.1</c:v>
                </c:pt>
                <c:pt idx="149">
                  <c:v>1.3</c:v>
                </c:pt>
                <c:pt idx="150">
                  <c:v>1.2</c:v>
                </c:pt>
                <c:pt idx="151">
                  <c:v>0.7</c:v>
                </c:pt>
                <c:pt idx="152">
                  <c:v>-0.7</c:v>
                </c:pt>
                <c:pt idx="153">
                  <c:v>-0.3</c:v>
                </c:pt>
                <c:pt idx="154">
                  <c:v>0.8</c:v>
                </c:pt>
                <c:pt idx="155">
                  <c:v>0.4</c:v>
                </c:pt>
                <c:pt idx="156">
                  <c:v>0</c:v>
                </c:pt>
                <c:pt idx="157">
                  <c:v>0</c:v>
                </c:pt>
                <c:pt idx="158">
                  <c:v>-0.1</c:v>
                </c:pt>
                <c:pt idx="159">
                  <c:v>0</c:v>
                </c:pt>
                <c:pt idx="160">
                  <c:v>-0.1</c:v>
                </c:pt>
                <c:pt idx="161">
                  <c:v>0.3</c:v>
                </c:pt>
                <c:pt idx="162">
                  <c:v>1.1000000000000001</c:v>
                </c:pt>
                <c:pt idx="163">
                  <c:v>0.5</c:v>
                </c:pt>
                <c:pt idx="164">
                  <c:v>0.5</c:v>
                </c:pt>
                <c:pt idx="165">
                  <c:v>-0.1</c:v>
                </c:pt>
                <c:pt idx="166">
                  <c:v>0.2</c:v>
                </c:pt>
                <c:pt idx="167">
                  <c:v>0.1</c:v>
                </c:pt>
                <c:pt idx="168">
                  <c:v>0.3</c:v>
                </c:pt>
                <c:pt idx="169">
                  <c:v>0</c:v>
                </c:pt>
                <c:pt idx="170">
                  <c:v>-0.1</c:v>
                </c:pt>
                <c:pt idx="171">
                  <c:v>0</c:v>
                </c:pt>
                <c:pt idx="172">
                  <c:v>1.1000000000000001</c:v>
                </c:pt>
                <c:pt idx="173">
                  <c:v>-0.1</c:v>
                </c:pt>
                <c:pt idx="174">
                  <c:v>-0.1</c:v>
                </c:pt>
                <c:pt idx="175">
                  <c:v>0</c:v>
                </c:pt>
                <c:pt idx="176">
                  <c:v>0.3</c:v>
                </c:pt>
                <c:pt idx="177">
                  <c:v>0.2</c:v>
                </c:pt>
                <c:pt idx="178">
                  <c:v>-0.1</c:v>
                </c:pt>
                <c:pt idx="179">
                  <c:v>0.2</c:v>
                </c:pt>
                <c:pt idx="180">
                  <c:v>-0.1</c:v>
                </c:pt>
                <c:pt idx="181">
                  <c:v>0.1</c:v>
                </c:pt>
                <c:pt idx="182">
                  <c:v>0.4</c:v>
                </c:pt>
                <c:pt idx="183">
                  <c:v>-0.1</c:v>
                </c:pt>
                <c:pt idx="184">
                  <c:v>0.8</c:v>
                </c:pt>
                <c:pt idx="185">
                  <c:v>0.1</c:v>
                </c:pt>
                <c:pt idx="186">
                  <c:v>1.4</c:v>
                </c:pt>
                <c:pt idx="187">
                  <c:v>-0.2</c:v>
                </c:pt>
                <c:pt idx="188">
                  <c:v>0.1</c:v>
                </c:pt>
                <c:pt idx="189">
                  <c:v>0.1</c:v>
                </c:pt>
                <c:pt idx="190">
                  <c:v>0.4</c:v>
                </c:pt>
                <c:pt idx="191">
                  <c:v>-0.3</c:v>
                </c:pt>
                <c:pt idx="192">
                  <c:v>0</c:v>
                </c:pt>
                <c:pt idx="193">
                  <c:v>-1.4</c:v>
                </c:pt>
                <c:pt idx="194">
                  <c:v>-0.1</c:v>
                </c:pt>
                <c:pt idx="195">
                  <c:v>0.6</c:v>
                </c:pt>
                <c:pt idx="196">
                  <c:v>0.5</c:v>
                </c:pt>
                <c:pt idx="197">
                  <c:v>0.3</c:v>
                </c:pt>
                <c:pt idx="198">
                  <c:v>-0.2</c:v>
                </c:pt>
                <c:pt idx="199">
                  <c:v>-0.2</c:v>
                </c:pt>
                <c:pt idx="200">
                  <c:v>0.5</c:v>
                </c:pt>
                <c:pt idx="201">
                  <c:v>-0.2</c:v>
                </c:pt>
                <c:pt idx="202">
                  <c:v>0.1</c:v>
                </c:pt>
                <c:pt idx="203">
                  <c:v>0.5</c:v>
                </c:pt>
                <c:pt idx="204">
                  <c:v>-1.3</c:v>
                </c:pt>
                <c:pt idx="205">
                  <c:v>0.1</c:v>
                </c:pt>
                <c:pt idx="206">
                  <c:v>-0.1</c:v>
                </c:pt>
                <c:pt idx="207">
                  <c:v>-0.2</c:v>
                </c:pt>
                <c:pt idx="208">
                  <c:v>1.1000000000000001</c:v>
                </c:pt>
                <c:pt idx="209">
                  <c:v>0.2</c:v>
                </c:pt>
                <c:pt idx="210">
                  <c:v>0</c:v>
                </c:pt>
                <c:pt idx="211">
                  <c:v>-0.5</c:v>
                </c:pt>
                <c:pt idx="212">
                  <c:v>0</c:v>
                </c:pt>
                <c:pt idx="213">
                  <c:v>-0.1</c:v>
                </c:pt>
                <c:pt idx="214">
                  <c:v>0.2</c:v>
                </c:pt>
                <c:pt idx="215">
                  <c:v>-0.1</c:v>
                </c:pt>
                <c:pt idx="216">
                  <c:v>-0.5</c:v>
                </c:pt>
                <c:pt idx="217">
                  <c:v>0.3</c:v>
                </c:pt>
                <c:pt idx="218">
                  <c:v>0.3</c:v>
                </c:pt>
                <c:pt idx="219">
                  <c:v>0</c:v>
                </c:pt>
                <c:pt idx="220">
                  <c:v>0.5</c:v>
                </c:pt>
                <c:pt idx="221">
                  <c:v>0</c:v>
                </c:pt>
                <c:pt idx="222">
                  <c:v>0.3</c:v>
                </c:pt>
                <c:pt idx="223">
                  <c:v>-0.1</c:v>
                </c:pt>
                <c:pt idx="224">
                  <c:v>1.2</c:v>
                </c:pt>
                <c:pt idx="225">
                  <c:v>-0.3</c:v>
                </c:pt>
                <c:pt idx="226">
                  <c:v>1.6</c:v>
                </c:pt>
                <c:pt idx="227">
                  <c:v>-0.1</c:v>
                </c:pt>
                <c:pt idx="228">
                  <c:v>0.1</c:v>
                </c:pt>
                <c:pt idx="229">
                  <c:v>-0.3</c:v>
                </c:pt>
                <c:pt idx="230">
                  <c:v>-0.8</c:v>
                </c:pt>
                <c:pt idx="231">
                  <c:v>0.4</c:v>
                </c:pt>
                <c:pt idx="232">
                  <c:v>-0.2</c:v>
                </c:pt>
                <c:pt idx="233">
                  <c:v>0.2</c:v>
                </c:pt>
                <c:pt idx="234">
                  <c:v>-0.3</c:v>
                </c:pt>
                <c:pt idx="235">
                  <c:v>0</c:v>
                </c:pt>
                <c:pt idx="236">
                  <c:v>0.5</c:v>
                </c:pt>
                <c:pt idx="237">
                  <c:v>-0.3</c:v>
                </c:pt>
                <c:pt idx="238">
                  <c:v>0.7</c:v>
                </c:pt>
                <c:pt idx="239">
                  <c:v>0.2</c:v>
                </c:pt>
                <c:pt idx="240">
                  <c:v>-0.2</c:v>
                </c:pt>
                <c:pt idx="241">
                  <c:v>0.2</c:v>
                </c:pt>
                <c:pt idx="242">
                  <c:v>1.6</c:v>
                </c:pt>
                <c:pt idx="243">
                  <c:v>0</c:v>
                </c:pt>
                <c:pt idx="244">
                  <c:v>0.6</c:v>
                </c:pt>
                <c:pt idx="245">
                  <c:v>-0.2</c:v>
                </c:pt>
                <c:pt idx="246">
                  <c:v>0.6</c:v>
                </c:pt>
                <c:pt idx="247">
                  <c:v>0.3</c:v>
                </c:pt>
                <c:pt idx="248">
                  <c:v>0</c:v>
                </c:pt>
                <c:pt idx="249">
                  <c:v>-0.2</c:v>
                </c:pt>
                <c:pt idx="250">
                  <c:v>0.3</c:v>
                </c:pt>
                <c:pt idx="251">
                  <c:v>0.3</c:v>
                </c:pt>
                <c:pt idx="252">
                  <c:v>0.1</c:v>
                </c:pt>
                <c:pt idx="253">
                  <c:v>-1</c:v>
                </c:pt>
                <c:pt idx="254">
                  <c:v>0.2</c:v>
                </c:pt>
                <c:pt idx="255">
                  <c:v>-0.1</c:v>
                </c:pt>
                <c:pt idx="256">
                  <c:v>0.8</c:v>
                </c:pt>
                <c:pt idx="257">
                  <c:v>0</c:v>
                </c:pt>
                <c:pt idx="258">
                  <c:v>-1.6</c:v>
                </c:pt>
                <c:pt idx="259">
                  <c:v>-0.5</c:v>
                </c:pt>
                <c:pt idx="260">
                  <c:v>0.5</c:v>
                </c:pt>
                <c:pt idx="261">
                  <c:v>-0.1</c:v>
                </c:pt>
                <c:pt idx="262">
                  <c:v>-0.5</c:v>
                </c:pt>
                <c:pt idx="263">
                  <c:v>0.7</c:v>
                </c:pt>
                <c:pt idx="264">
                  <c:v>1.2</c:v>
                </c:pt>
                <c:pt idx="265">
                  <c:v>0.3</c:v>
                </c:pt>
                <c:pt idx="266">
                  <c:v>1.9</c:v>
                </c:pt>
                <c:pt idx="267">
                  <c:v>-0.2</c:v>
                </c:pt>
                <c:pt idx="268">
                  <c:v>-0.3</c:v>
                </c:pt>
                <c:pt idx="269">
                  <c:v>-0.2</c:v>
                </c:pt>
                <c:pt idx="270">
                  <c:v>-0.1</c:v>
                </c:pt>
                <c:pt idx="271">
                  <c:v>-0.4</c:v>
                </c:pt>
                <c:pt idx="272">
                  <c:v>0.4</c:v>
                </c:pt>
                <c:pt idx="273">
                  <c:v>0.2</c:v>
                </c:pt>
                <c:pt idx="274">
                  <c:v>-1.1000000000000001</c:v>
                </c:pt>
                <c:pt idx="275">
                  <c:v>1.6</c:v>
                </c:pt>
                <c:pt idx="276">
                  <c:v>0.1</c:v>
                </c:pt>
                <c:pt idx="277">
                  <c:v>0.1</c:v>
                </c:pt>
                <c:pt idx="278">
                  <c:v>3.2</c:v>
                </c:pt>
                <c:pt idx="279">
                  <c:v>0.4</c:v>
                </c:pt>
                <c:pt idx="280">
                  <c:v>-0.4</c:v>
                </c:pt>
                <c:pt idx="281">
                  <c:v>-0.3</c:v>
                </c:pt>
                <c:pt idx="282">
                  <c:v>0.9</c:v>
                </c:pt>
                <c:pt idx="283">
                  <c:v>0.3</c:v>
                </c:pt>
                <c:pt idx="284">
                  <c:v>0</c:v>
                </c:pt>
                <c:pt idx="285">
                  <c:v>0.1</c:v>
                </c:pt>
                <c:pt idx="286">
                  <c:v>-0.1</c:v>
                </c:pt>
                <c:pt idx="287">
                  <c:v>0.4</c:v>
                </c:pt>
                <c:pt idx="288">
                  <c:v>0.2</c:v>
                </c:pt>
                <c:pt idx="289">
                  <c:v>0.3</c:v>
                </c:pt>
                <c:pt idx="290">
                  <c:v>0.2</c:v>
                </c:pt>
                <c:pt idx="291">
                  <c:v>0.3</c:v>
                </c:pt>
                <c:pt idx="292">
                  <c:v>0.5</c:v>
                </c:pt>
                <c:pt idx="293">
                  <c:v>0.1</c:v>
                </c:pt>
                <c:pt idx="294">
                  <c:v>0.5</c:v>
                </c:pt>
                <c:pt idx="295">
                  <c:v>0.9</c:v>
                </c:pt>
                <c:pt idx="296">
                  <c:v>0</c:v>
                </c:pt>
                <c:pt idx="297">
                  <c:v>1.3</c:v>
                </c:pt>
                <c:pt idx="298">
                  <c:v>0</c:v>
                </c:pt>
                <c:pt idx="299">
                  <c:v>1.4</c:v>
                </c:pt>
                <c:pt idx="300">
                  <c:v>0</c:v>
                </c:pt>
                <c:pt idx="301">
                  <c:v>1.4</c:v>
                </c:pt>
                <c:pt idx="302">
                  <c:v>0.2</c:v>
                </c:pt>
                <c:pt idx="303">
                  <c:v>0</c:v>
                </c:pt>
                <c:pt idx="304">
                  <c:v>0.1</c:v>
                </c:pt>
                <c:pt idx="305">
                  <c:v>0.7</c:v>
                </c:pt>
                <c:pt idx="306">
                  <c:v>1.8</c:v>
                </c:pt>
                <c:pt idx="307">
                  <c:v>0.2</c:v>
                </c:pt>
                <c:pt idx="308">
                  <c:v>-0.7</c:v>
                </c:pt>
                <c:pt idx="309">
                  <c:v>-1</c:v>
                </c:pt>
                <c:pt idx="310">
                  <c:v>0</c:v>
                </c:pt>
                <c:pt idx="311">
                  <c:v>-0.3</c:v>
                </c:pt>
                <c:pt idx="312">
                  <c:v>-0.2</c:v>
                </c:pt>
                <c:pt idx="313">
                  <c:v>-0.9</c:v>
                </c:pt>
                <c:pt idx="314">
                  <c:v>0.2</c:v>
                </c:pt>
                <c:pt idx="315">
                  <c:v>0.7</c:v>
                </c:pt>
                <c:pt idx="316">
                  <c:v>0.8</c:v>
                </c:pt>
                <c:pt idx="317">
                  <c:v>-0.9</c:v>
                </c:pt>
                <c:pt idx="318">
                  <c:v>-0.4</c:v>
                </c:pt>
                <c:pt idx="319">
                  <c:v>-0.2</c:v>
                </c:pt>
                <c:pt idx="320">
                  <c:v>-0.4</c:v>
                </c:pt>
                <c:pt idx="321">
                  <c:v>1.4</c:v>
                </c:pt>
                <c:pt idx="322">
                  <c:v>-0.7</c:v>
                </c:pt>
                <c:pt idx="323">
                  <c:v>0.5</c:v>
                </c:pt>
                <c:pt idx="324">
                  <c:v>-0.7</c:v>
                </c:pt>
                <c:pt idx="325">
                  <c:v>2.2000000000000002</c:v>
                </c:pt>
                <c:pt idx="326">
                  <c:v>0.9</c:v>
                </c:pt>
                <c:pt idx="327">
                  <c:v>-0.2</c:v>
                </c:pt>
                <c:pt idx="328">
                  <c:v>1.2</c:v>
                </c:pt>
                <c:pt idx="329">
                  <c:v>0</c:v>
                </c:pt>
                <c:pt idx="330">
                  <c:v>0</c:v>
                </c:pt>
                <c:pt idx="331">
                  <c:v>0.7</c:v>
                </c:pt>
                <c:pt idx="332">
                  <c:v>-0.3</c:v>
                </c:pt>
                <c:pt idx="333">
                  <c:v>-0.3</c:v>
                </c:pt>
                <c:pt idx="334">
                  <c:v>-0.6</c:v>
                </c:pt>
                <c:pt idx="335">
                  <c:v>0.8</c:v>
                </c:pt>
                <c:pt idx="336">
                  <c:v>0</c:v>
                </c:pt>
                <c:pt idx="337">
                  <c:v>0.3</c:v>
                </c:pt>
                <c:pt idx="338">
                  <c:v>0.8</c:v>
                </c:pt>
                <c:pt idx="339">
                  <c:v>1.2</c:v>
                </c:pt>
                <c:pt idx="340">
                  <c:v>0.7</c:v>
                </c:pt>
                <c:pt idx="341">
                  <c:v>0.7</c:v>
                </c:pt>
                <c:pt idx="342">
                  <c:v>0.4</c:v>
                </c:pt>
                <c:pt idx="343">
                  <c:v>-1</c:v>
                </c:pt>
                <c:pt idx="344">
                  <c:v>0.5</c:v>
                </c:pt>
                <c:pt idx="345">
                  <c:v>0</c:v>
                </c:pt>
                <c:pt idx="346">
                  <c:v>-0.3</c:v>
                </c:pt>
                <c:pt idx="347">
                  <c:v>0</c:v>
                </c:pt>
                <c:pt idx="348">
                  <c:v>0.6</c:v>
                </c:pt>
                <c:pt idx="349">
                  <c:v>1.2</c:v>
                </c:pt>
                <c:pt idx="350">
                  <c:v>0.8</c:v>
                </c:pt>
                <c:pt idx="351">
                  <c:v>-0.3</c:v>
                </c:pt>
                <c:pt idx="352">
                  <c:v>-0.4</c:v>
                </c:pt>
                <c:pt idx="353">
                  <c:v>0.4</c:v>
                </c:pt>
                <c:pt idx="354">
                  <c:v>1.4</c:v>
                </c:pt>
                <c:pt idx="355">
                  <c:v>0</c:v>
                </c:pt>
                <c:pt idx="356">
                  <c:v>0.1</c:v>
                </c:pt>
                <c:pt idx="357">
                  <c:v>-0.5</c:v>
                </c:pt>
                <c:pt idx="358">
                  <c:v>0.5</c:v>
                </c:pt>
                <c:pt idx="359">
                  <c:v>-0.1</c:v>
                </c:pt>
                <c:pt idx="360">
                  <c:v>0.8</c:v>
                </c:pt>
                <c:pt idx="361">
                  <c:v>-0.2</c:v>
                </c:pt>
                <c:pt idx="362">
                  <c:v>0.9</c:v>
                </c:pt>
                <c:pt idx="363">
                  <c:v>-0.1</c:v>
                </c:pt>
                <c:pt idx="364">
                  <c:v>-0.1</c:v>
                </c:pt>
                <c:pt idx="365">
                  <c:v>1.6</c:v>
                </c:pt>
                <c:pt idx="366">
                  <c:v>0.7</c:v>
                </c:pt>
                <c:pt idx="367">
                  <c:v>1.8</c:v>
                </c:pt>
                <c:pt idx="368">
                  <c:v>-0.7</c:v>
                </c:pt>
                <c:pt idx="369">
                  <c:v>0.1</c:v>
                </c:pt>
                <c:pt idx="370">
                  <c:v>0.7</c:v>
                </c:pt>
                <c:pt idx="371">
                  <c:v>-0.1</c:v>
                </c:pt>
                <c:pt idx="372">
                  <c:v>0.5</c:v>
                </c:pt>
                <c:pt idx="373">
                  <c:v>0.1</c:v>
                </c:pt>
                <c:pt idx="374">
                  <c:v>0.1</c:v>
                </c:pt>
                <c:pt idx="375">
                  <c:v>0.5</c:v>
                </c:pt>
                <c:pt idx="376">
                  <c:v>-1.2</c:v>
                </c:pt>
                <c:pt idx="377">
                  <c:v>0.4</c:v>
                </c:pt>
                <c:pt idx="378">
                  <c:v>-0.6</c:v>
                </c:pt>
                <c:pt idx="379">
                  <c:v>2</c:v>
                </c:pt>
                <c:pt idx="380">
                  <c:v>2</c:v>
                </c:pt>
                <c:pt idx="381">
                  <c:v>0.3</c:v>
                </c:pt>
                <c:pt idx="382">
                  <c:v>-0.3</c:v>
                </c:pt>
                <c:pt idx="383">
                  <c:v>2.2999999999999998</c:v>
                </c:pt>
                <c:pt idx="384">
                  <c:v>0</c:v>
                </c:pt>
                <c:pt idx="385">
                  <c:v>-0.3</c:v>
                </c:pt>
                <c:pt idx="386">
                  <c:v>0.7</c:v>
                </c:pt>
                <c:pt idx="387">
                  <c:v>0.2</c:v>
                </c:pt>
                <c:pt idx="388">
                  <c:v>0.3</c:v>
                </c:pt>
                <c:pt idx="389">
                  <c:v>0.4</c:v>
                </c:pt>
                <c:pt idx="390">
                  <c:v>1.6</c:v>
                </c:pt>
                <c:pt idx="391">
                  <c:v>0.6</c:v>
                </c:pt>
                <c:pt idx="392">
                  <c:v>0.7</c:v>
                </c:pt>
                <c:pt idx="393">
                  <c:v>0.4</c:v>
                </c:pt>
                <c:pt idx="394">
                  <c:v>0</c:v>
                </c:pt>
                <c:pt idx="395">
                  <c:v>0</c:v>
                </c:pt>
                <c:pt idx="396">
                  <c:v>0</c:v>
                </c:pt>
                <c:pt idx="397">
                  <c:v>-0.1</c:v>
                </c:pt>
                <c:pt idx="398">
                  <c:v>0.1</c:v>
                </c:pt>
                <c:pt idx="399">
                  <c:v>0.4</c:v>
                </c:pt>
                <c:pt idx="400">
                  <c:v>0</c:v>
                </c:pt>
                <c:pt idx="401">
                  <c:v>0.4</c:v>
                </c:pt>
                <c:pt idx="402">
                  <c:v>0.5</c:v>
                </c:pt>
                <c:pt idx="403">
                  <c:v>0.1</c:v>
                </c:pt>
                <c:pt idx="404">
                  <c:v>-0.3</c:v>
                </c:pt>
                <c:pt idx="405">
                  <c:v>1.1000000000000001</c:v>
                </c:pt>
                <c:pt idx="406">
                  <c:v>-0.1</c:v>
                </c:pt>
                <c:pt idx="407">
                  <c:v>-0.7</c:v>
                </c:pt>
                <c:pt idx="408">
                  <c:v>1</c:v>
                </c:pt>
                <c:pt idx="409">
                  <c:v>2.7</c:v>
                </c:pt>
                <c:pt idx="410">
                  <c:v>0.6</c:v>
                </c:pt>
                <c:pt idx="411">
                  <c:v>-1</c:v>
                </c:pt>
                <c:pt idx="412">
                  <c:v>-0.7</c:v>
                </c:pt>
                <c:pt idx="413">
                  <c:v>0.1</c:v>
                </c:pt>
                <c:pt idx="414">
                  <c:v>3.6</c:v>
                </c:pt>
                <c:pt idx="415">
                  <c:v>-0.1</c:v>
                </c:pt>
                <c:pt idx="416">
                  <c:v>2.2000000000000002</c:v>
                </c:pt>
                <c:pt idx="417">
                  <c:v>-0.1</c:v>
                </c:pt>
                <c:pt idx="418">
                  <c:v>2.1</c:v>
                </c:pt>
                <c:pt idx="419">
                  <c:v>1.3</c:v>
                </c:pt>
                <c:pt idx="420">
                  <c:v>-0.1</c:v>
                </c:pt>
                <c:pt idx="421">
                  <c:v>-0.4</c:v>
                </c:pt>
                <c:pt idx="422">
                  <c:v>1.7</c:v>
                </c:pt>
                <c:pt idx="423">
                  <c:v>0</c:v>
                </c:pt>
                <c:pt idx="424">
                  <c:v>0.6</c:v>
                </c:pt>
                <c:pt idx="425">
                  <c:v>0.4</c:v>
                </c:pt>
                <c:pt idx="426">
                  <c:v>-1.6</c:v>
                </c:pt>
                <c:pt idx="427">
                  <c:v>1.1000000000000001</c:v>
                </c:pt>
                <c:pt idx="428">
                  <c:v>0.1</c:v>
                </c:pt>
                <c:pt idx="429">
                  <c:v>-0.1</c:v>
                </c:pt>
                <c:pt idx="430">
                  <c:v>1.5</c:v>
                </c:pt>
                <c:pt idx="431">
                  <c:v>-0.2</c:v>
                </c:pt>
                <c:pt idx="432">
                  <c:v>0.6</c:v>
                </c:pt>
                <c:pt idx="433">
                  <c:v>0.5</c:v>
                </c:pt>
                <c:pt idx="434">
                  <c:v>0.3</c:v>
                </c:pt>
                <c:pt idx="435">
                  <c:v>0.6</c:v>
                </c:pt>
                <c:pt idx="436">
                  <c:v>1.2</c:v>
                </c:pt>
                <c:pt idx="437">
                  <c:v>-0.1</c:v>
                </c:pt>
                <c:pt idx="438">
                  <c:v>1.2</c:v>
                </c:pt>
                <c:pt idx="439">
                  <c:v>1.2</c:v>
                </c:pt>
                <c:pt idx="440">
                  <c:v>0.3</c:v>
                </c:pt>
                <c:pt idx="441">
                  <c:v>1.2</c:v>
                </c:pt>
                <c:pt idx="442">
                  <c:v>0.5</c:v>
                </c:pt>
                <c:pt idx="443">
                  <c:v>-0.1</c:v>
                </c:pt>
                <c:pt idx="444">
                  <c:v>0.3</c:v>
                </c:pt>
                <c:pt idx="445">
                  <c:v>0.2</c:v>
                </c:pt>
                <c:pt idx="446">
                  <c:v>0.6</c:v>
                </c:pt>
                <c:pt idx="447">
                  <c:v>0</c:v>
                </c:pt>
                <c:pt idx="448">
                  <c:v>0.2</c:v>
                </c:pt>
                <c:pt idx="449">
                  <c:v>-0.6</c:v>
                </c:pt>
                <c:pt idx="450">
                  <c:v>1.2</c:v>
                </c:pt>
                <c:pt idx="451">
                  <c:v>1.7</c:v>
                </c:pt>
                <c:pt idx="452">
                  <c:v>0.3</c:v>
                </c:pt>
                <c:pt idx="453">
                  <c:v>-0.2</c:v>
                </c:pt>
                <c:pt idx="454">
                  <c:v>1.7</c:v>
                </c:pt>
                <c:pt idx="455">
                  <c:v>0.4</c:v>
                </c:pt>
                <c:pt idx="456">
                  <c:v>3.6</c:v>
                </c:pt>
                <c:pt idx="457">
                  <c:v>1.6</c:v>
                </c:pt>
                <c:pt idx="458">
                  <c:v>0.6</c:v>
                </c:pt>
                <c:pt idx="459">
                  <c:v>0.1</c:v>
                </c:pt>
                <c:pt idx="460">
                  <c:v>-0.3</c:v>
                </c:pt>
                <c:pt idx="461">
                  <c:v>-0.4</c:v>
                </c:pt>
                <c:pt idx="462">
                  <c:v>-0.5</c:v>
                </c:pt>
                <c:pt idx="463">
                  <c:v>1.1000000000000001</c:v>
                </c:pt>
                <c:pt idx="464">
                  <c:v>1.2</c:v>
                </c:pt>
                <c:pt idx="465">
                  <c:v>-0.5</c:v>
                </c:pt>
                <c:pt idx="466">
                  <c:v>-0.1</c:v>
                </c:pt>
                <c:pt idx="467">
                  <c:v>1.7</c:v>
                </c:pt>
                <c:pt idx="468">
                  <c:v>0.4</c:v>
                </c:pt>
                <c:pt idx="469">
                  <c:v>2.9</c:v>
                </c:pt>
                <c:pt idx="470">
                  <c:v>4.9000000000000004</c:v>
                </c:pt>
                <c:pt idx="471">
                  <c:v>0</c:v>
                </c:pt>
                <c:pt idx="472">
                  <c:v>3.4</c:v>
                </c:pt>
                <c:pt idx="473">
                  <c:v>0.2</c:v>
                </c:pt>
                <c:pt idx="474">
                  <c:v>-0.1</c:v>
                </c:pt>
                <c:pt idx="475">
                  <c:v>-0.8</c:v>
                </c:pt>
                <c:pt idx="476">
                  <c:v>0.6</c:v>
                </c:pt>
                <c:pt idx="477">
                  <c:v>2.7</c:v>
                </c:pt>
                <c:pt idx="478">
                  <c:v>0.5</c:v>
                </c:pt>
                <c:pt idx="479">
                  <c:v>1.9</c:v>
                </c:pt>
                <c:pt idx="480">
                  <c:v>-1.4</c:v>
                </c:pt>
                <c:pt idx="481">
                  <c:v>-0.1</c:v>
                </c:pt>
                <c:pt idx="482">
                  <c:v>0.3</c:v>
                </c:pt>
                <c:pt idx="483">
                  <c:v>0.3</c:v>
                </c:pt>
                <c:pt idx="484">
                  <c:v>2.7</c:v>
                </c:pt>
                <c:pt idx="485">
                  <c:v>1.3</c:v>
                </c:pt>
                <c:pt idx="486">
                  <c:v>1.5</c:v>
                </c:pt>
                <c:pt idx="487">
                  <c:v>1.8</c:v>
                </c:pt>
                <c:pt idx="488">
                  <c:v>3.6</c:v>
                </c:pt>
                <c:pt idx="489">
                  <c:v>3</c:v>
                </c:pt>
                <c:pt idx="490">
                  <c:v>0.4</c:v>
                </c:pt>
                <c:pt idx="491">
                  <c:v>0.1</c:v>
                </c:pt>
                <c:pt idx="492">
                  <c:v>1.2</c:v>
                </c:pt>
                <c:pt idx="493">
                  <c:v>0.5</c:v>
                </c:pt>
                <c:pt idx="494">
                  <c:v>1.2</c:v>
                </c:pt>
                <c:pt idx="495">
                  <c:v>3.4</c:v>
                </c:pt>
                <c:pt idx="496">
                  <c:v>0.9</c:v>
                </c:pt>
                <c:pt idx="497">
                  <c:v>1.6</c:v>
                </c:pt>
                <c:pt idx="498">
                  <c:v>1.7</c:v>
                </c:pt>
                <c:pt idx="499">
                  <c:v>2.4</c:v>
                </c:pt>
                <c:pt idx="500">
                  <c:v>0.1</c:v>
                </c:pt>
                <c:pt idx="501">
                  <c:v>2.2999999999999998</c:v>
                </c:pt>
                <c:pt idx="502">
                  <c:v>0.7</c:v>
                </c:pt>
                <c:pt idx="503">
                  <c:v>1</c:v>
                </c:pt>
                <c:pt idx="504">
                  <c:v>0.1</c:v>
                </c:pt>
                <c:pt idx="505">
                  <c:v>0.5</c:v>
                </c:pt>
                <c:pt idx="506">
                  <c:v>1.8</c:v>
                </c:pt>
                <c:pt idx="507">
                  <c:v>2.4</c:v>
                </c:pt>
                <c:pt idx="508">
                  <c:v>1</c:v>
                </c:pt>
                <c:pt idx="509">
                  <c:v>1.2</c:v>
                </c:pt>
                <c:pt idx="510">
                  <c:v>0.6</c:v>
                </c:pt>
                <c:pt idx="511">
                  <c:v>2</c:v>
                </c:pt>
                <c:pt idx="512">
                  <c:v>0.1</c:v>
                </c:pt>
                <c:pt idx="513">
                  <c:v>0.7</c:v>
                </c:pt>
                <c:pt idx="514">
                  <c:v>1.7</c:v>
                </c:pt>
                <c:pt idx="515">
                  <c:v>0.9</c:v>
                </c:pt>
                <c:pt idx="516">
                  <c:v>3.3</c:v>
                </c:pt>
                <c:pt idx="517">
                  <c:v>4.4000000000000004</c:v>
                </c:pt>
                <c:pt idx="518">
                  <c:v>1</c:v>
                </c:pt>
                <c:pt idx="519">
                  <c:v>-0.6</c:v>
                </c:pt>
                <c:pt idx="520">
                  <c:v>3.5</c:v>
                </c:pt>
                <c:pt idx="521">
                  <c:v>2.7</c:v>
                </c:pt>
                <c:pt idx="522">
                  <c:v>-0.3</c:v>
                </c:pt>
                <c:pt idx="523">
                  <c:v>4.8</c:v>
                </c:pt>
                <c:pt idx="524">
                  <c:v>1.3</c:v>
                </c:pt>
                <c:pt idx="525">
                  <c:v>1.4</c:v>
                </c:pt>
                <c:pt idx="526">
                  <c:v>3.6</c:v>
                </c:pt>
                <c:pt idx="527">
                  <c:v>2.5</c:v>
                </c:pt>
                <c:pt idx="528">
                  <c:v>3.4</c:v>
                </c:pt>
                <c:pt idx="529">
                  <c:v>1.8</c:v>
                </c:pt>
                <c:pt idx="530">
                  <c:v>-0.5</c:v>
                </c:pt>
                <c:pt idx="531">
                  <c:v>2.2999999999999998</c:v>
                </c:pt>
                <c:pt idx="532">
                  <c:v>2.1</c:v>
                </c:pt>
                <c:pt idx="533">
                  <c:v>4.7</c:v>
                </c:pt>
                <c:pt idx="534">
                  <c:v>1.8</c:v>
                </c:pt>
                <c:pt idx="535">
                  <c:v>2</c:v>
                </c:pt>
                <c:pt idx="536">
                  <c:v>2.6</c:v>
                </c:pt>
                <c:pt idx="537">
                  <c:v>0.4</c:v>
                </c:pt>
                <c:pt idx="538">
                  <c:v>3.2</c:v>
                </c:pt>
                <c:pt idx="539">
                  <c:v>1.1000000000000001</c:v>
                </c:pt>
                <c:pt idx="540">
                  <c:v>1.3</c:v>
                </c:pt>
                <c:pt idx="541">
                  <c:v>2.2000000000000002</c:v>
                </c:pt>
                <c:pt idx="542">
                  <c:v>2.6</c:v>
                </c:pt>
                <c:pt idx="543">
                  <c:v>3.7</c:v>
                </c:pt>
                <c:pt idx="544">
                  <c:v>2.4</c:v>
                </c:pt>
                <c:pt idx="545">
                  <c:v>1.2</c:v>
                </c:pt>
                <c:pt idx="546">
                  <c:v>2</c:v>
                </c:pt>
                <c:pt idx="547">
                  <c:v>3.9</c:v>
                </c:pt>
                <c:pt idx="548">
                  <c:v>3.5</c:v>
                </c:pt>
                <c:pt idx="549">
                  <c:v>1.3</c:v>
                </c:pt>
                <c:pt idx="550">
                  <c:v>3</c:v>
                </c:pt>
                <c:pt idx="551">
                  <c:v>0.5</c:v>
                </c:pt>
                <c:pt idx="552">
                  <c:v>4.8</c:v>
                </c:pt>
                <c:pt idx="553">
                  <c:v>4.5999999999999996</c:v>
                </c:pt>
                <c:pt idx="554">
                  <c:v>1.7</c:v>
                </c:pt>
                <c:pt idx="555">
                  <c:v>1.7</c:v>
                </c:pt>
                <c:pt idx="556">
                  <c:v>9.8000000000000007</c:v>
                </c:pt>
                <c:pt idx="557">
                  <c:v>3.2</c:v>
                </c:pt>
                <c:pt idx="558">
                  <c:v>3.1</c:v>
                </c:pt>
                <c:pt idx="559">
                  <c:v>3</c:v>
                </c:pt>
                <c:pt idx="560">
                  <c:v>3.2</c:v>
                </c:pt>
                <c:pt idx="561">
                  <c:v>4.4000000000000004</c:v>
                </c:pt>
                <c:pt idx="562">
                  <c:v>1.7</c:v>
                </c:pt>
                <c:pt idx="563">
                  <c:v>3.9</c:v>
                </c:pt>
                <c:pt idx="564">
                  <c:v>1.9</c:v>
                </c:pt>
                <c:pt idx="565">
                  <c:v>2.2000000000000002</c:v>
                </c:pt>
                <c:pt idx="566">
                  <c:v>8.9</c:v>
                </c:pt>
                <c:pt idx="567">
                  <c:v>0.8</c:v>
                </c:pt>
                <c:pt idx="568">
                  <c:v>6.6</c:v>
                </c:pt>
              </c:numCache>
            </c:numRef>
          </c:yVal>
          <c:smooth val="0"/>
          <c:extLst>
            <c:ext xmlns:c16="http://schemas.microsoft.com/office/drawing/2014/chart" uri="{C3380CC4-5D6E-409C-BE32-E72D297353CC}">
              <c16:uniqueId val="{00000000-E406-4199-9EBE-270CF799305F}"/>
            </c:ext>
          </c:extLst>
        </c:ser>
        <c:dLbls>
          <c:showLegendKey val="0"/>
          <c:showVal val="0"/>
          <c:showCatName val="0"/>
          <c:showSerName val="0"/>
          <c:showPercent val="0"/>
          <c:showBubbleSize val="0"/>
        </c:dLbls>
        <c:axId val="1219089599"/>
        <c:axId val="1219089119"/>
      </c:scatterChart>
      <c:valAx>
        <c:axId val="12190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Steals Per Game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119"/>
        <c:crosses val="autoZero"/>
        <c:crossBetween val="midCat"/>
      </c:valAx>
      <c:valAx>
        <c:axId val="1219089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9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VORP by Draft Round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Rnd 1</c:v>
              </c:pt>
              <c:pt idx="1">
                <c:v>Rnd 2</c:v>
              </c:pt>
              <c:pt idx="2">
                <c:v>Undrafted</c:v>
              </c:pt>
            </c:strLit>
          </c:cat>
          <c:val>
            <c:numLit>
              <c:formatCode>General</c:formatCode>
              <c:ptCount val="3"/>
              <c:pt idx="0">
                <c:v>252.5</c:v>
              </c:pt>
              <c:pt idx="1">
                <c:v>29.700000000000003</c:v>
              </c:pt>
              <c:pt idx="2">
                <c:v>18.399999999999999</c:v>
              </c:pt>
            </c:numLit>
          </c:val>
          <c:extLst>
            <c:ext xmlns:c16="http://schemas.microsoft.com/office/drawing/2014/chart" uri="{C3380CC4-5D6E-409C-BE32-E72D297353CC}">
              <c16:uniqueId val="{00000000-0501-4281-89A1-09727C438286}"/>
            </c:ext>
          </c:extLst>
        </c:ser>
        <c:dLbls>
          <c:dLblPos val="outEnd"/>
          <c:showLegendKey val="0"/>
          <c:showVal val="1"/>
          <c:showCatName val="0"/>
          <c:showSerName val="0"/>
          <c:showPercent val="0"/>
          <c:showBubbleSize val="0"/>
        </c:dLbls>
        <c:gapWidth val="219"/>
        <c:overlap val="-27"/>
        <c:axId val="1708708992"/>
        <c:axId val="1708709472"/>
      </c:barChart>
      <c:catAx>
        <c:axId val="170870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Draft Round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09472"/>
        <c:crosses val="autoZero"/>
        <c:auto val="1"/>
        <c:lblAlgn val="ctr"/>
        <c:lblOffset val="100"/>
        <c:noMultiLvlLbl val="0"/>
      </c:catAx>
      <c:valAx>
        <c:axId val="1708709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VORP</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08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VORP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c:v>
              </c:pt>
              <c:pt idx="1">
                <c:v>F</c:v>
              </c:pt>
              <c:pt idx="2">
                <c:v>G</c:v>
              </c:pt>
            </c:strLit>
          </c:cat>
          <c:val>
            <c:numLit>
              <c:formatCode>General</c:formatCode>
              <c:ptCount val="3"/>
              <c:pt idx="0">
                <c:v>86.9</c:v>
              </c:pt>
              <c:pt idx="1">
                <c:v>88.499999999999986</c:v>
              </c:pt>
              <c:pt idx="2">
                <c:v>125.20000000000003</c:v>
              </c:pt>
            </c:numLit>
          </c:val>
          <c:extLst>
            <c:ext xmlns:c16="http://schemas.microsoft.com/office/drawing/2014/chart" uri="{C3380CC4-5D6E-409C-BE32-E72D297353CC}">
              <c16:uniqueId val="{00000000-2CC7-402D-B0B3-02503B4795CA}"/>
            </c:ext>
          </c:extLst>
        </c:ser>
        <c:dLbls>
          <c:dLblPos val="outEnd"/>
          <c:showLegendKey val="0"/>
          <c:showVal val="1"/>
          <c:showCatName val="0"/>
          <c:showSerName val="0"/>
          <c:showPercent val="0"/>
          <c:showBubbleSize val="0"/>
        </c:dLbls>
        <c:gapWidth val="219"/>
        <c:overlap val="-27"/>
        <c:axId val="1353534623"/>
        <c:axId val="1353530783"/>
      </c:barChart>
      <c:catAx>
        <c:axId val="1353534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Position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30783"/>
        <c:crosses val="autoZero"/>
        <c:auto val="1"/>
        <c:lblAlgn val="ctr"/>
        <c:lblOffset val="100"/>
        <c:noMultiLvlLbl val="0"/>
      </c:catAx>
      <c:valAx>
        <c:axId val="1353530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346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VORP by Nationality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foreign</c:v>
              </c:pt>
              <c:pt idx="1">
                <c:v>multinational_US</c:v>
              </c:pt>
              <c:pt idx="2">
                <c:v>United States</c:v>
              </c:pt>
            </c:strLit>
          </c:cat>
          <c:val>
            <c:numLit>
              <c:formatCode>General</c:formatCode>
              <c:ptCount val="3"/>
              <c:pt idx="0">
                <c:v>77.799999999999983</c:v>
              </c:pt>
              <c:pt idx="1">
                <c:v>19.600000000000001</c:v>
              </c:pt>
              <c:pt idx="2">
                <c:v>203.2</c:v>
              </c:pt>
            </c:numLit>
          </c:val>
          <c:extLst>
            <c:ext xmlns:c16="http://schemas.microsoft.com/office/drawing/2014/chart" uri="{C3380CC4-5D6E-409C-BE32-E72D297353CC}">
              <c16:uniqueId val="{00000000-251F-4BAC-8A45-9DE6849E17E2}"/>
            </c:ext>
          </c:extLst>
        </c:ser>
        <c:dLbls>
          <c:dLblPos val="outEnd"/>
          <c:showLegendKey val="0"/>
          <c:showVal val="1"/>
          <c:showCatName val="0"/>
          <c:showSerName val="0"/>
          <c:showPercent val="0"/>
          <c:showBubbleSize val="0"/>
        </c:dLbls>
        <c:gapWidth val="182"/>
        <c:axId val="1634890416"/>
        <c:axId val="1634880816"/>
      </c:barChart>
      <c:catAx>
        <c:axId val="163489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Nationality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80816"/>
        <c:crosses val="autoZero"/>
        <c:auto val="1"/>
        <c:lblAlgn val="ctr"/>
        <c:lblOffset val="100"/>
        <c:noMultiLvlLbl val="0"/>
      </c:catAx>
      <c:valAx>
        <c:axId val="1634880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VORP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90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_xlchart.v1.53</cx:f>
      </cx:numDim>
    </cx:data>
  </cx:chartData>
  <cx:chart>
    <cx:title pos="t" align="ctr" overlay="0">
      <cx:tx>
        <cx:txData>
          <cx:v>Distribution of Age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Age</a:t>
          </a:r>
        </a:p>
      </cx:txPr>
    </cx:title>
    <cx:plotArea>
      <cx:plotAreaRegion>
        <cx:series layoutId="clusteredColumn" uniqueId="{7262E07B-2C4F-4177-B653-EC0D2EE52817}">
          <cx:tx>
            <cx:txData>
              <cx:f>_xlchart.v1.52</cx:f>
              <cx:v>Age</cx:v>
            </cx:txData>
          </cx:tx>
          <cx:dataId val="0"/>
          <cx:layoutPr>
            <cx:binning intervalClosed="r" underflow="20">
              <cx:binSize val="2"/>
            </cx:binning>
          </cx:layoutPr>
        </cx:series>
      </cx:plotAreaRegion>
      <cx:axis id="0">
        <cx:catScaling gapWidth="0"/>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_xlchart.v1.49</cx:f>
      </cx:numDim>
    </cx:data>
  </cx:chartData>
  <cx:chart>
    <cx:title pos="t" align="ctr" overlay="0">
      <cx:tx>
        <cx:txData>
          <cx:v>Distribution of Games Played</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Games Played</a:t>
          </a:r>
        </a:p>
      </cx:txPr>
    </cx:title>
    <cx:plotArea>
      <cx:plotAreaRegion>
        <cx:series layoutId="clusteredColumn" uniqueId="{00000000-B3DD-41F2-A62F-F9F4DF530F6C}">
          <cx:tx>
            <cx:txData>
              <cx:f>_xlchart.v1.48</cx:f>
              <cx:v>Games Played</cx:v>
            </cx:txData>
          </cx:tx>
          <cx:dataId val="0"/>
          <cx:layoutPr>
            <cx:binning intervalClosed="r">
              <cx:binSize val="5"/>
            </cx:binning>
          </cx:layoutPr>
        </cx:series>
      </cx:plotAreaRegion>
      <cx:axis id="0">
        <cx:catScaling gapWidth="0"/>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_xlchart.v1.51</cx:f>
      </cx:numDim>
    </cx:data>
  </cx:chartData>
  <cx:chart>
    <cx:title pos="t" align="ctr" overlay="0">
      <cx:tx>
        <cx:txData>
          <cx:v>Distribution of Minutes per 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Minutes per Game</a:t>
          </a:r>
        </a:p>
      </cx:txPr>
    </cx:title>
    <cx:plotArea>
      <cx:plotAreaRegion>
        <cx:series layoutId="clusteredColumn" uniqueId="{00000000-836D-42C3-85F7-E92D2334BC82}">
          <cx:tx>
            <cx:txData>
              <cx:f>_xlchart.v1.50</cx:f>
              <cx:v>Minutes per Game</cx:v>
            </cx:txData>
          </cx:tx>
          <cx:dataId val="0"/>
          <cx:layoutPr>
            <cx:binning intervalClosed="r" underflow="5">
              <cx:binSize val="5"/>
            </cx:binning>
          </cx:layoutPr>
        </cx:series>
      </cx:plotAreaRegion>
      <cx:axis id="0">
        <cx:catScaling gapWidth="0"/>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_xlchart.v1.43</cx:f>
      </cx:numDim>
    </cx:data>
  </cx:chartData>
  <cx:chart>
    <cx:title pos="t" align="ctr" overlay="0">
      <cx:tx>
        <cx:txData>
          <cx:v>Distribution of Field Goal Attemps/Game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Field Goal Attemps/Game</a:t>
          </a:r>
        </a:p>
      </cx:txPr>
    </cx:title>
    <cx:plotArea>
      <cx:plotAreaRegion>
        <cx:series layoutId="boxWhisker" uniqueId="{00000000-6A9A-475C-91D4-D354C30A87EB}">
          <cx:tx>
            <cx:txData>
              <cx:f>_xlchart.v1.42</cx:f>
              <cx:v>FGA</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_xlchart.v1.57</cx:f>
      </cx:numDim>
    </cx:data>
  </cx:chartData>
  <cx:chart>
    <cx:title pos="t" align="ctr" overlay="0">
      <cx:tx>
        <cx:txData>
          <cx:v>Distribution of Field Goal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Field Goal %</a:t>
          </a:r>
        </a:p>
      </cx:txPr>
    </cx:title>
    <cx:plotArea>
      <cx:plotAreaRegion>
        <cx:series layoutId="clusteredColumn" uniqueId="{00000000-EE3A-4FC6-9BD4-61AB97EE4881}">
          <cx:tx>
            <cx:txData>
              <cx:f>_xlchart.v1.56</cx:f>
              <cx:v>FG%</cx:v>
            </cx:txData>
          </cx:tx>
          <cx:dataId val="0"/>
          <cx:layoutPr>
            <cx:binning intervalClosed="r" overflow="0.75000000000000011">
              <cx:binSize val="0.05000000000000001"/>
            </cx:binning>
          </cx:layoutPr>
        </cx:series>
      </cx:plotAreaRegion>
      <cx:axis id="0">
        <cx:catScaling gapWidth="0"/>
        <cx:tickLabels/>
      </cx:axis>
      <cx:axis id="1">
        <cx:valScaling/>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_xlchart.v1.45</cx:f>
      </cx:numDim>
    </cx:data>
  </cx:chartData>
  <cx:chart>
    <cx:title pos="t" align="ctr" overlay="0">
      <cx:tx>
        <cx:txData>
          <cx:v>Distribution of 3 PT Attemps/Game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3 PT Attemps/Game</a:t>
          </a:r>
        </a:p>
      </cx:txPr>
    </cx:title>
    <cx:plotArea>
      <cx:plotAreaRegion>
        <cx:series layoutId="boxWhisker" uniqueId="{00000000-6A9A-475C-91D4-D354C30A87EB}">
          <cx:tx>
            <cx:txData>
              <cx:f>_xlchart.v1.44</cx:f>
              <cx:v>FGA</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_xlchart.v1.55</cx:f>
      </cx:numDim>
    </cx:data>
  </cx:chartData>
  <cx:chart>
    <cx:title pos="t" align="ctr" overlay="0">
      <cx:tx>
        <cx:txData>
          <cx:v>Distribution of 3 PT Field Goal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3 PT Field Goal %</a:t>
          </a:r>
        </a:p>
      </cx:txPr>
    </cx:title>
    <cx:plotArea>
      <cx:plotAreaRegion>
        <cx:series layoutId="clusteredColumn" uniqueId="{00000000-7D85-4CCD-9CEC-111A590A2006}">
          <cx:tx>
            <cx:txData>
              <cx:f>_xlchart.v1.54</cx:f>
              <cx:v>3P%</cx:v>
            </cx:txData>
          </cx:tx>
          <cx:dataId val="0"/>
          <cx:layoutPr>
            <cx:binning intervalClosed="r" overflow="0.45000000000000001">
              <cx:binSize val="0.05000000000000001"/>
            </cx:binning>
          </cx:layoutPr>
        </cx:series>
      </cx:plotAreaRegion>
      <cx:axis id="0">
        <cx:catScaling gapWidth="0"/>
        <cx:tickLabels/>
      </cx:axis>
      <cx:axis id="1">
        <cx:valScaling/>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_xlchart.v1.47</cx:f>
      </cx:numDim>
    </cx:data>
  </cx:chartData>
  <cx:chart>
    <cx:title pos="t" align="ctr" overlay="0">
      <cx:tx>
        <cx:txData>
          <cx:v>Distribution of 2 PT Attemps/Game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2 PT Attemps/Game</a:t>
          </a:r>
        </a:p>
      </cx:txPr>
    </cx:title>
    <cx:plotArea>
      <cx:plotAreaRegion>
        <cx:series layoutId="boxWhisker" uniqueId="{00000000-FA59-4E17-808C-C86FB783443F}">
          <cx:tx>
            <cx:txData>
              <cx:f>_xlchart.v1.46</cx:f>
              <cx:v>2PA</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chartData>
  <cx:chart>
    <cx:title pos="t" align="ctr" overlay="0">
      <cx:tx>
        <cx:txData>
          <cx:v>Distribution of 2 PT Field Goal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2 PT Field Goal %</a:t>
          </a:r>
        </a:p>
      </cx:txPr>
    </cx:title>
    <cx:plotArea>
      <cx:plotAreaRegion>
        <cx:series layoutId="clusteredColumn" uniqueId="{00000000-608E-4271-9B8A-50B87662BE33}">
          <cx:tx>
            <cx:txData>
              <cx:f>_xlchart.v1.20</cx:f>
              <cx:v>2P%</cx:v>
            </cx:txData>
          </cx:tx>
          <cx:dataId val="0"/>
          <cx:layoutPr>
            <cx:binning intervalClosed="r" underflow="0.15000000000000002" overflow="0.75000000000000011">
              <cx:binSize val="0.05000000000000001"/>
            </cx:binning>
          </cx:layoutPr>
        </cx:series>
      </cx:plotAreaRegion>
      <cx:axis id="0">
        <cx:catScaling gapWidth="0"/>
        <cx:tickLabels/>
      </cx:axis>
      <cx:axis id="1">
        <cx:valScaling/>
        <cx:tickLabels/>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Distribution of Effective Field Goal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Effective Field Goal %</a:t>
          </a:r>
        </a:p>
      </cx:txPr>
    </cx:title>
    <cx:plotArea>
      <cx:plotAreaRegion>
        <cx:series layoutId="clusteredColumn" uniqueId="{00000000-C69F-4E39-B9CF-3FCCCD319682}">
          <cx:tx>
            <cx:txData>
              <cx:f>_xlchart.v1.16</cx:f>
              <cx:v>eFG%</cx:v>
            </cx:txData>
          </cx:tx>
          <cx:dataId val="0"/>
          <cx:layoutPr>
            <cx:binning intervalClosed="r" underflow="0.15000000000000002" overflow="0.70000000000000007">
              <cx:binSize val="0.05000000000000001"/>
            </cx:binning>
          </cx:layoutPr>
        </cx:series>
      </cx:plotAreaRegion>
      <cx:axis id="0">
        <cx:catScaling gapWidth="0"/>
        <cx:tickLabels/>
      </cx:axis>
      <cx:axis id="1">
        <cx:valScaling/>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Distribution of Free Throw Attemps/Game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Free Throw Attemps/Game</a:t>
          </a:r>
        </a:p>
      </cx:txPr>
    </cx:title>
    <cx:plotArea>
      <cx:plotAreaRegion>
        <cx:series layoutId="boxWhisker" uniqueId="{00000000-8500-4184-9F0A-FC93357F8819}">
          <cx:tx>
            <cx:txData>
              <cx:f>_xlchart.v1.6</cx:f>
              <cx:v>FTA</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Distribution of Free Throw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Free Throw %</a:t>
          </a:r>
        </a:p>
      </cx:txPr>
    </cx:title>
    <cx:plotArea>
      <cx:plotAreaRegion>
        <cx:series layoutId="clusteredColumn" uniqueId="{00000000-7351-254F-96B6-F5CB7AF6BD79}">
          <cx:tx>
            <cx:txData>
              <cx:f>_xlchart.v1.18</cx:f>
              <cx:v>FT%</cx:v>
            </cx:txData>
          </cx:tx>
          <cx:dataId val="0"/>
          <cx:layoutPr>
            <cx:binning intervalClosed="r" underflow="0.45000000000000001">
              <cx:binSize val="0.05000000000000001"/>
            </cx:binning>
          </cx:layoutPr>
        </cx:series>
      </cx:plotAreaRegion>
      <cx:axis id="0">
        <cx:catScaling gapWidth="0"/>
        <cx:tickLabels/>
      </cx:axis>
      <cx:axis id="1">
        <cx:valScaling/>
        <cx:tickLabels/>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chartData>
  <cx:chart>
    <cx:title pos="t" align="ctr" overlay="0">
      <cx:tx>
        <cx:txData>
          <cx:v>Distribution of Rebounds/Game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Rebounds/Game</a:t>
          </a:r>
        </a:p>
      </cx:txPr>
    </cx:title>
    <cx:plotArea>
      <cx:plotAreaRegion>
        <cx:series layoutId="clusteredColumn" uniqueId="{00000000-DBB0-497D-94C4-4D5BEAD61D3E}">
          <cx:tx>
            <cx:txData>
              <cx:f>_xlchart.v1.22</cx:f>
              <cx:v>Rebounds</cx:v>
            </cx:txData>
          </cx:tx>
          <cx:dataId val="0"/>
          <cx:layoutPr>
            <cx:binning intervalClosed="r" overflow="10"/>
          </cx:layoutPr>
        </cx:series>
      </cx:plotAreaRegion>
      <cx:axis id="0">
        <cx:catScaling gapWidth="0"/>
        <cx:tickLabels/>
      </cx:axis>
      <cx:axis id="1">
        <cx:valScaling/>
        <cx:tickLabels/>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chartData>
  <cx:chart>
    <cx:title pos="t" align="ctr" overlay="0">
      <cx:tx>
        <cx:txData>
          <cx:v>Distribution of Assists/Game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Assists/Game</a:t>
          </a:r>
        </a:p>
      </cx:txPr>
    </cx:title>
    <cx:plotArea>
      <cx:plotAreaRegion>
        <cx:series layoutId="clusteredColumn" uniqueId="{00000000-BD6D-4C9C-9711-598053884185}">
          <cx:tx>
            <cx:txData>
              <cx:f>_xlchart.v1.24</cx:f>
              <cx:v>Assists</cx:v>
            </cx:txData>
          </cx:tx>
          <cx:dataId val="0"/>
          <cx:layoutPr>
            <cx:binning intervalClosed="r" overflow="auto">
              <cx:binSize val="1"/>
            </cx:binning>
          </cx:layoutPr>
        </cx:series>
      </cx:plotAreaRegion>
      <cx:axis id="0">
        <cx:catScaling gapWidth="0"/>
        <cx:tickLabels/>
      </cx:axis>
      <cx:axis id="1">
        <cx:valScaling/>
        <cx:tickLabels/>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Distribution of Steals/Game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Steals/Game</a:t>
          </a:r>
        </a:p>
      </cx:txPr>
    </cx:title>
    <cx:plotArea>
      <cx:plotAreaRegion>
        <cx:series layoutId="boxWhisker" uniqueId="{00000000-EC67-42E7-9595-F6CE20C34450}">
          <cx:tx>
            <cx:txData>
              <cx:f>_xlchart.v1.4</cx:f>
              <cx:v>Steals</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chartData>
  <cx:chart>
    <cx:title pos="t" align="ctr" overlay="0">
      <cx:tx>
        <cx:txData>
          <cx:v>Distribution of Blocks/Game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Blocks/Game</a:t>
          </a:r>
        </a:p>
      </cx:txPr>
    </cx:title>
    <cx:plotArea>
      <cx:plotAreaRegion>
        <cx:series layoutId="boxWhisker" uniqueId="{00000000-CC31-44DB-B8DB-5047B3919E9C}">
          <cx:tx>
            <cx:txData>
              <cx:f>_xlchart.v1.28</cx:f>
              <cx:v>Blocks</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numDim type="val">
        <cx:f>_xlchart.v1.37</cx:f>
      </cx:numDim>
    </cx:data>
  </cx:chartData>
  <cx:chart>
    <cx:title pos="t" align="ctr" overlay="0">
      <cx:tx>
        <cx:txData>
          <cx:v>Distribution of Turnovers/Game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Turnovers/Game</a:t>
          </a:r>
        </a:p>
      </cx:txPr>
    </cx:title>
    <cx:plotArea>
      <cx:plotAreaRegion>
        <cx:series layoutId="clusteredColumn" uniqueId="{00000000-51C2-4F00-9950-E2CE26E0E840}">
          <cx:tx>
            <cx:txData>
              <cx:f>_xlchart.v1.36</cx:f>
              <cx:v>Turnovers</cx:v>
            </cx:txData>
          </cx:tx>
          <cx:dataId val="0"/>
          <cx:layoutPr>
            <cx:binning intervalClosed="r">
              <cx:binSize val="0.5"/>
            </cx:binning>
          </cx:layoutPr>
        </cx:series>
      </cx:plotAreaRegion>
      <cx:axis id="0">
        <cx:catScaling gapWidth="0"/>
        <cx:tickLabels/>
      </cx:axis>
      <cx:axis id="1">
        <cx:valScaling/>
        <cx:tickLabels/>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numDim type="val">
        <cx:f>_xlchart.v1.35</cx:f>
      </cx:numDim>
    </cx:data>
  </cx:chartData>
  <cx:chart>
    <cx:title pos="t" align="ctr" overlay="0">
      <cx:tx>
        <cx:txData>
          <cx:v>Distribution of Fouls/Game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Fouls/Game</a:t>
          </a:r>
        </a:p>
      </cx:txPr>
    </cx:title>
    <cx:plotArea>
      <cx:plotAreaRegion>
        <cx:series layoutId="clusteredColumn" uniqueId="{00000000-7D96-420B-8DB7-E0F23A334105}">
          <cx:tx>
            <cx:txData>
              <cx:f>_xlchart.v1.34</cx:f>
              <cx:v>Fouls</cx:v>
            </cx:txData>
          </cx:tx>
          <cx:dataId val="0"/>
          <cx:layoutPr>
            <cx:binning intervalClosed="r"/>
          </cx:layoutPr>
        </cx:series>
      </cx:plotAreaRegion>
      <cx:axis id="0">
        <cx:catScaling gapWidth="0"/>
        <cx:tickLabels/>
      </cx:axis>
      <cx:axis id="1">
        <cx:valScaling/>
        <cx:tickLabels/>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numDim type="val">
        <cx:f>_xlchart.v1.39</cx:f>
      </cx:numDim>
    </cx:data>
  </cx:chartData>
  <cx:chart>
    <cx:title pos="t" align="ctr" overlay="0">
      <cx:tx>
        <cx:txData>
          <cx:v>Distribution of Points/Game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Points/Game</a:t>
          </a:r>
        </a:p>
      </cx:txPr>
    </cx:title>
    <cx:plotArea>
      <cx:plotAreaRegion>
        <cx:series layoutId="boxWhisker" uniqueId="{00000000-9AAF-44DB-939A-BF1EE6EF7023}">
          <cx:tx>
            <cx:txData>
              <cx:f>_xlchart.v1.38</cx:f>
              <cx:v>Points</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Distribution of Points/Game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Points/Game</a:t>
          </a:r>
        </a:p>
      </cx:txPr>
    </cx:title>
    <cx:plotArea>
      <cx:plotAreaRegion>
        <cx:series layoutId="clusteredColumn" uniqueId="{00000000-9AAF-44DB-939A-BF1EE6EF7023}">
          <cx:tx>
            <cx:txData>
              <cx:f>_xlchart.v1.10</cx:f>
              <cx:v>Points</cx:v>
            </cx:txData>
          </cx:tx>
          <cx:dataId val="0"/>
          <cx:layoutPr>
            <cx:binning intervalClosed="r">
              <cx:binSize val="3"/>
            </cx:binning>
          </cx:layoutPr>
        </cx:series>
      </cx:plotAreaRegion>
      <cx:axis id="0">
        <cx:catScaling gapWidth="0"/>
        <cx:tickLabels/>
      </cx:axis>
      <cx:axis id="1">
        <cx:valScaling/>
        <cx:tickLabels/>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Distribution of Years of Service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Years of Service</a:t>
          </a:r>
        </a:p>
      </cx:txPr>
    </cx:title>
    <cx:plotArea>
      <cx:plotAreaRegion>
        <cx:series layoutId="clusteredColumn" uniqueId="{00000000-3169-4B75-ACA6-F5DBA02BC22A}">
          <cx:tx>
            <cx:txData>
              <cx:f>_xlchart.v1.8</cx:f>
              <cx:v>YOS</cx:v>
            </cx:txData>
          </cx:tx>
          <cx:dataId val="0"/>
          <cx:layoutPr>
            <cx:binning intervalClosed="r" overflow="16">
              <cx:binSize val="2"/>
            </cx:binning>
          </cx:layoutPr>
        </cx:series>
      </cx:plotAreaRegion>
      <cx:axis id="0">
        <cx:catScaling gapWidth="0"/>
        <cx:tickLabels/>
      </cx:axis>
      <cx:axis id="1">
        <cx:valScaling/>
        <cx:tickLabels/>
      </cx:axis>
    </cx:plotArea>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chartData>
  <cx:chart>
    <cx:title pos="t" align="ctr" overlay="0">
      <cx:tx>
        <cx:txData>
          <cx:v>Distribution of Box Score Plus Minus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Box Score Plus Minus</a:t>
          </a:r>
        </a:p>
      </cx:txPr>
    </cx:title>
    <cx:plotArea>
      <cx:plotAreaRegion>
        <cx:series layoutId="clusteredColumn" uniqueId="{00000000-F82B-4CD7-A6DE-395EBC610BCD}">
          <cx:tx>
            <cx:txData>
              <cx:f>_xlchart.v1.30</cx:f>
              <cx:v>Box Score +-</cx:v>
            </cx:txData>
          </cx:tx>
          <cx:dataId val="0"/>
          <cx:layoutPr>
            <cx:binning intervalClosed="r" underflow="-12" overflow="auto">
              <cx:binSize val="2"/>
            </cx:binning>
          </cx:layoutPr>
        </cx:series>
      </cx:plotAreaRegion>
      <cx:axis id="0">
        <cx:catScaling gapWidth="0"/>
        <cx:tickLabels/>
      </cx:axis>
      <cx:axis id="1">
        <cx:valScaling/>
        <cx:tickLabels/>
      </cx:axis>
    </cx:plotArea>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numDim type="val">
        <cx:f>_xlchart.v1.33</cx:f>
      </cx:numDim>
    </cx:data>
  </cx:chartData>
  <cx:chart>
    <cx:title pos="t" align="ctr" overlay="0">
      <cx:tx>
        <cx:txData>
          <cx:v>Distribution of Box Score Plus Minus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Box Score Plus Minus</a:t>
          </a:r>
        </a:p>
      </cx:txPr>
    </cx:title>
    <cx:plotArea>
      <cx:plotAreaRegion>
        <cx:series layoutId="boxWhisker" uniqueId="{00000000-F82B-4CD7-A6DE-395EBC610BCD}">
          <cx:tx>
            <cx:txData>
              <cx:f>_xlchart.v1.32</cx:f>
              <cx:v>Box Score +-</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PER Rating</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PER Rating</a:t>
          </a:r>
        </a:p>
      </cx:txPr>
    </cx:title>
    <cx:plotArea>
      <cx:plotAreaRegion>
        <cx:series layoutId="clusteredColumn" uniqueId="{00000000-B4C3-4299-8D59-800A3D3EBE03}">
          <cx:tx>
            <cx:txData>
              <cx:f>_xlchart.v1.0</cx:f>
              <cx:v>PER</cx:v>
            </cx:txData>
          </cx:tx>
          <cx:dataId val="0"/>
          <cx:layoutPr>
            <cx:binning intervalClosed="r" underflow="auto" overflow="auto">
              <cx:binSize val="2"/>
            </cx:binning>
          </cx:layoutPr>
        </cx:series>
      </cx:plotAreaRegion>
      <cx:axis id="0">
        <cx:catScaling gapWidth="0"/>
        <cx:tickLabels/>
      </cx:axis>
      <cx:axis id="1">
        <cx:valScaling/>
        <cx:tickLabels/>
      </cx:axis>
    </cx:plotArea>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Distribution of PER Rating</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PER Rating</a:t>
          </a:r>
        </a:p>
      </cx:txPr>
    </cx:title>
    <cx:plotArea>
      <cx:plotAreaRegion>
        <cx:series layoutId="boxWhisker" uniqueId="{00000000-B4C3-4299-8D59-800A3D3EBE03}">
          <cx:tx>
            <cx:txData>
              <cx:f>_xlchart.v1.12</cx:f>
              <cx:v>PER</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Win Shares/48 Minutes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Win Shares/48 Minutes</a:t>
          </a:r>
        </a:p>
      </cx:txPr>
    </cx:title>
    <cx:plotArea>
      <cx:plotAreaRegion>
        <cx:series layoutId="boxWhisker" uniqueId="{00000000-DA58-4B2F-85E2-146719204C9A}">
          <cx:tx>
            <cx:txData>
              <cx:f>_xlchart.v1.2</cx:f>
              <cx:v>Win Shares Per 48</cx:v>
            </cx:txData>
          </cx:tx>
          <cx:dataId val="0"/>
          <cx:layoutPr>
            <cx:statistics quartileMethod="exclusive"/>
          </cx:layoutPr>
        </cx:series>
      </cx:plotAreaRegion>
      <cx:axis id="0" hidden="1">
        <cx:catScaling gapWidth="0"/>
        <cx:tickLabels/>
      </cx:axis>
      <cx:axis id="1">
        <cx:valScaling/>
        <cx:tickLabels/>
      </cx:axis>
    </cx:plotArea>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Distribution of Win Shares/48 Minutes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Win Shares/48 Minutes</a:t>
          </a:r>
        </a:p>
      </cx:txPr>
    </cx:title>
    <cx:plotArea>
      <cx:plotAreaRegion>
        <cx:series layoutId="clusteredColumn" uniqueId="{00000000-BD78-4CEC-9F7A-0A6042EAFB7A}">
          <cx:tx>
            <cx:txData>
              <cx:f>_xlchart.v1.14</cx:f>
              <cx:v>Win Shares Per 48</cx:v>
            </cx:txData>
          </cx:tx>
          <cx:dataId val="0"/>
          <cx:layoutPr>
            <cx:binning intervalClosed="r" underflow="-0.20000000000000001" overflow="0.20000000000000001">
              <cx:binSize val="0.05000000000000001"/>
            </cx:binning>
          </cx:layoutPr>
        </cx:series>
      </cx:plotAreaRegion>
      <cx:axis id="0">
        <cx:catScaling gapWidth="0"/>
        <cx:tickLabels/>
        <cx:numFmt formatCode="#,##0.00" sourceLinked="0"/>
      </cx:axis>
      <cx:axis id="1">
        <cx:valScaling/>
        <cx:tickLabels/>
      </cx:axis>
    </cx:plotArea>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numDim type="val">
        <cx:f>_xlchart.v1.27</cx:f>
      </cx:numDim>
    </cx:data>
  </cx:chartData>
  <cx:chart>
    <cx:title pos="t" align="ctr" overlay="0">
      <cx:tx>
        <cx:txData>
          <cx:v>Distribution of VORP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VORP</a:t>
          </a:r>
        </a:p>
      </cx:txPr>
    </cx:title>
    <cx:plotArea>
      <cx:plotAreaRegion>
        <cx:series layoutId="clusteredColumn" uniqueId="{00000000-121F-42AA-BE2A-30912FA6DEAD}">
          <cx:tx>
            <cx:txData>
              <cx:f>_xlchart.v1.26</cx:f>
              <cx:v>VORP</cx:v>
            </cx:txData>
          </cx:tx>
          <cx:dataId val="0"/>
          <cx:layoutPr>
            <cx:binning intervalClosed="r" underflow="-1" overflow="auto">
              <cx:binSize val="0.5"/>
            </cx:binning>
          </cx:layoutPr>
        </cx:series>
      </cx:plotAreaRegion>
      <cx:axis id="0">
        <cx:catScaling gapWidth="0"/>
        <cx:tickLabels/>
      </cx:axis>
      <cx:axis id="1">
        <cx:valScaling/>
        <cx:tickLabels/>
      </cx:axis>
    </cx:plotArea>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numDim type="val">
        <cx:f>_xlchart.v1.41</cx:f>
      </cx:numDim>
    </cx:data>
  </cx:chartData>
  <cx:chart>
    <cx:title pos="t" align="ctr" overlay="0">
      <cx:tx>
        <cx:txData>
          <cx:v>Distribution of VORP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VORP</a:t>
          </a:r>
        </a:p>
      </cx:txPr>
    </cx:title>
    <cx:plotArea>
      <cx:plotAreaRegion>
        <cx:series layoutId="boxWhisker" uniqueId="{00000000-121F-42AA-BE2A-30912FA6DEAD}">
          <cx:tx>
            <cx:txData>
              <cx:f>_xlchart.v1.40</cx:f>
              <cx:v>VORP</cx:v>
            </cx:txData>
          </cx:tx>
          <cx:dataId val="0"/>
          <cx:layoutPr>
            <cx:statistics quartileMethod="exclusive"/>
          </cx:layoutPr>
        </cx:series>
      </cx:plotAreaRegion>
      <cx:axis id="0" hidden="1">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microsoft.com/office/2014/relationships/chartEx" Target="../charts/chartEx13.xml"/><Relationship Id="rId18" Type="http://schemas.microsoft.com/office/2014/relationships/chartEx" Target="../charts/chartEx18.xml"/><Relationship Id="rId26" Type="http://schemas.microsoft.com/office/2014/relationships/chartEx" Target="../charts/chartEx26.xml"/><Relationship Id="rId21" Type="http://schemas.microsoft.com/office/2014/relationships/chartEx" Target="../charts/chartEx21.xml"/><Relationship Id="rId34" Type="http://schemas.openxmlformats.org/officeDocument/2006/relationships/chart" Target="../charts/chart9.xml"/><Relationship Id="rId7" Type="http://schemas.microsoft.com/office/2014/relationships/chartEx" Target="../charts/chartEx7.xml"/><Relationship Id="rId12" Type="http://schemas.microsoft.com/office/2014/relationships/chartEx" Target="../charts/chartEx12.xml"/><Relationship Id="rId17" Type="http://schemas.microsoft.com/office/2014/relationships/chartEx" Target="../charts/chartEx17.xml"/><Relationship Id="rId25" Type="http://schemas.microsoft.com/office/2014/relationships/chartEx" Target="../charts/chartEx25.xml"/><Relationship Id="rId33" Type="http://schemas.openxmlformats.org/officeDocument/2006/relationships/chart" Target="../charts/chart8.xml"/><Relationship Id="rId38" Type="http://schemas.openxmlformats.org/officeDocument/2006/relationships/chart" Target="../charts/chart13.xml"/><Relationship Id="rId2" Type="http://schemas.microsoft.com/office/2014/relationships/chartEx" Target="../charts/chartEx2.xml"/><Relationship Id="rId16" Type="http://schemas.microsoft.com/office/2014/relationships/chartEx" Target="../charts/chartEx16.xml"/><Relationship Id="rId20" Type="http://schemas.microsoft.com/office/2014/relationships/chartEx" Target="../charts/chartEx20.xml"/><Relationship Id="rId29" Type="http://schemas.microsoft.com/office/2014/relationships/chartEx" Target="../charts/chartEx29.xml"/><Relationship Id="rId1" Type="http://schemas.microsoft.com/office/2014/relationships/chartEx" Target="../charts/chartEx1.xml"/><Relationship Id="rId6" Type="http://schemas.microsoft.com/office/2014/relationships/chartEx" Target="../charts/chartEx6.xml"/><Relationship Id="rId11" Type="http://schemas.microsoft.com/office/2014/relationships/chartEx" Target="../charts/chartEx11.xml"/><Relationship Id="rId24" Type="http://schemas.microsoft.com/office/2014/relationships/chartEx" Target="../charts/chartEx24.xml"/><Relationship Id="rId32" Type="http://schemas.openxmlformats.org/officeDocument/2006/relationships/chart" Target="../charts/chart7.xml"/><Relationship Id="rId37" Type="http://schemas.openxmlformats.org/officeDocument/2006/relationships/chart" Target="../charts/chart12.xml"/><Relationship Id="rId5" Type="http://schemas.microsoft.com/office/2014/relationships/chartEx" Target="../charts/chartEx5.xml"/><Relationship Id="rId15" Type="http://schemas.microsoft.com/office/2014/relationships/chartEx" Target="../charts/chartEx15.xml"/><Relationship Id="rId23" Type="http://schemas.microsoft.com/office/2014/relationships/chartEx" Target="../charts/chartEx23.xml"/><Relationship Id="rId28" Type="http://schemas.microsoft.com/office/2014/relationships/chartEx" Target="../charts/chartEx28.xml"/><Relationship Id="rId36" Type="http://schemas.openxmlformats.org/officeDocument/2006/relationships/chart" Target="../charts/chart11.xml"/><Relationship Id="rId10" Type="http://schemas.microsoft.com/office/2014/relationships/chartEx" Target="../charts/chartEx10.xml"/><Relationship Id="rId19" Type="http://schemas.microsoft.com/office/2014/relationships/chartEx" Target="../charts/chartEx19.xml"/><Relationship Id="rId31" Type="http://schemas.openxmlformats.org/officeDocument/2006/relationships/chart" Target="../charts/chart6.xml"/><Relationship Id="rId4" Type="http://schemas.microsoft.com/office/2014/relationships/chartEx" Target="../charts/chartEx4.xml"/><Relationship Id="rId9" Type="http://schemas.microsoft.com/office/2014/relationships/chartEx" Target="../charts/chartEx9.xml"/><Relationship Id="rId14" Type="http://schemas.microsoft.com/office/2014/relationships/chartEx" Target="../charts/chartEx14.xml"/><Relationship Id="rId22" Type="http://schemas.microsoft.com/office/2014/relationships/chartEx" Target="../charts/chartEx22.xml"/><Relationship Id="rId27" Type="http://schemas.microsoft.com/office/2014/relationships/chartEx" Target="../charts/chartEx27.xml"/><Relationship Id="rId30" Type="http://schemas.openxmlformats.org/officeDocument/2006/relationships/chart" Target="../charts/chart5.xml"/><Relationship Id="rId35" Type="http://schemas.openxmlformats.org/officeDocument/2006/relationships/chart" Target="../charts/chart10.xml"/><Relationship Id="rId8" Type="http://schemas.microsoft.com/office/2014/relationships/chartEx" Target="../charts/chartEx8.xml"/><Relationship Id="rId3"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521375</xdr:colOff>
      <xdr:row>9</xdr:row>
      <xdr:rowOff>2451</xdr:rowOff>
    </xdr:from>
    <xdr:to>
      <xdr:col>5</xdr:col>
      <xdr:colOff>17639</xdr:colOff>
      <xdr:row>23</xdr:row>
      <xdr:rowOff>176039</xdr:rowOff>
    </xdr:to>
    <xdr:graphicFrame macro="">
      <xdr:nvGraphicFramePr>
        <xdr:cNvPr id="35" name="Chart 4">
          <a:extLst>
            <a:ext uri="{FF2B5EF4-FFF2-40B4-BE49-F238E27FC236}">
              <a16:creationId xmlns:a16="http://schemas.microsoft.com/office/drawing/2014/main" id="{C293A704-3A1E-F38B-4696-C1541D945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594142</xdr:colOff>
      <xdr:row>9</xdr:row>
      <xdr:rowOff>915</xdr:rowOff>
    </xdr:from>
    <xdr:to>
      <xdr:col>10</xdr:col>
      <xdr:colOff>0</xdr:colOff>
      <xdr:row>24</xdr:row>
      <xdr:rowOff>6287</xdr:rowOff>
    </xdr:to>
    <xdr:graphicFrame macro="">
      <xdr:nvGraphicFramePr>
        <xdr:cNvPr id="67" name="Chart 5">
          <a:extLst>
            <a:ext uri="{FF2B5EF4-FFF2-40B4-BE49-F238E27FC236}">
              <a16:creationId xmlns:a16="http://schemas.microsoft.com/office/drawing/2014/main" id="{5228FC73-91DE-31F9-00CB-9CA76A0E5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599350</xdr:colOff>
      <xdr:row>8</xdr:row>
      <xdr:rowOff>181699</xdr:rowOff>
    </xdr:from>
    <xdr:to>
      <xdr:col>15</xdr:col>
      <xdr:colOff>11140</xdr:colOff>
      <xdr:row>23</xdr:row>
      <xdr:rowOff>189385</xdr:rowOff>
    </xdr:to>
    <xdr:graphicFrame macro="">
      <xdr:nvGraphicFramePr>
        <xdr:cNvPr id="98" name="Chart 6">
          <a:extLst>
            <a:ext uri="{FF2B5EF4-FFF2-40B4-BE49-F238E27FC236}">
              <a16:creationId xmlns:a16="http://schemas.microsoft.com/office/drawing/2014/main" id="{6981C3DE-48BE-9849-4C57-2932C0E22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1060763</xdr:colOff>
      <xdr:row>9</xdr:row>
      <xdr:rowOff>2498</xdr:rowOff>
    </xdr:from>
    <xdr:to>
      <xdr:col>20</xdr:col>
      <xdr:colOff>0</xdr:colOff>
      <xdr:row>24</xdr:row>
      <xdr:rowOff>20819</xdr:rowOff>
    </xdr:to>
    <xdr:graphicFrame macro="">
      <xdr:nvGraphicFramePr>
        <xdr:cNvPr id="129" name="Chart 7">
          <a:extLst>
            <a:ext uri="{FF2B5EF4-FFF2-40B4-BE49-F238E27FC236}">
              <a16:creationId xmlns:a16="http://schemas.microsoft.com/office/drawing/2014/main" id="{DE39D092-4319-14BB-D5FF-8CB8A999C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7938</xdr:colOff>
      <xdr:row>1</xdr:row>
      <xdr:rowOff>6122</xdr:rowOff>
    </xdr:from>
    <xdr:to>
      <xdr:col>33</xdr:col>
      <xdr:colOff>0</xdr:colOff>
      <xdr:row>14</xdr:row>
      <xdr:rowOff>170088</xdr:rowOff>
    </xdr:to>
    <mc:AlternateContent xmlns:mc="http://schemas.openxmlformats.org/markup-compatibility/2006">
      <mc:Choice xmlns:cx1="http://schemas.microsoft.com/office/drawing/2015/9/8/chartex" Requires="cx1">
        <xdr:graphicFrame macro="">
          <xdr:nvGraphicFramePr>
            <xdr:cNvPr id="77" name="Chart 2">
              <a:extLst>
                <a:ext uri="{FF2B5EF4-FFF2-40B4-BE49-F238E27FC236}">
                  <a16:creationId xmlns:a16="http://schemas.microsoft.com/office/drawing/2014/main" id="{22805614-92FA-1AFE-05A6-26E1039618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38788" y="190272"/>
              <a:ext cx="4919662" cy="25579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1588</xdr:colOff>
      <xdr:row>15</xdr:row>
      <xdr:rowOff>181200</xdr:rowOff>
    </xdr:from>
    <xdr:to>
      <xdr:col>32</xdr:col>
      <xdr:colOff>605972</xdr:colOff>
      <xdr:row>30</xdr:row>
      <xdr:rowOff>0</xdr:rowOff>
    </xdr:to>
    <mc:AlternateContent xmlns:mc="http://schemas.openxmlformats.org/markup-compatibility/2006">
      <mc:Choice xmlns:cx1="http://schemas.microsoft.com/office/drawing/2015/9/8/chartex" Requires="cx1">
        <xdr:graphicFrame macro="">
          <xdr:nvGraphicFramePr>
            <xdr:cNvPr id="82" name="Chart 3">
              <a:extLst>
                <a:ext uri="{FF2B5EF4-FFF2-40B4-BE49-F238E27FC236}">
                  <a16:creationId xmlns:a16="http://schemas.microsoft.com/office/drawing/2014/main" id="{7277264E-C725-46C5-8202-BDEE54253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232438" y="2943450"/>
              <a:ext cx="4916034" cy="2581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4374</xdr:colOff>
      <xdr:row>30</xdr:row>
      <xdr:rowOff>171275</xdr:rowOff>
    </xdr:from>
    <xdr:to>
      <xdr:col>32</xdr:col>
      <xdr:colOff>604483</xdr:colOff>
      <xdr:row>44</xdr:row>
      <xdr:rowOff>182497</xdr:rowOff>
    </xdr:to>
    <mc:AlternateContent xmlns:mc="http://schemas.openxmlformats.org/markup-compatibility/2006">
      <mc:Choice xmlns:cx1="http://schemas.microsoft.com/office/drawing/2015/9/8/chartex" Requires="cx1">
        <xdr:graphicFrame macro="">
          <xdr:nvGraphicFramePr>
            <xdr:cNvPr id="78" name="Chart 4">
              <a:extLst>
                <a:ext uri="{FF2B5EF4-FFF2-40B4-BE49-F238E27FC236}">
                  <a16:creationId xmlns:a16="http://schemas.microsoft.com/office/drawing/2014/main" id="{2D11B849-8424-401B-83B6-E84403A221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235224" y="5695775"/>
              <a:ext cx="4911759" cy="25893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600258</xdr:colOff>
      <xdr:row>45</xdr:row>
      <xdr:rowOff>170364</xdr:rowOff>
    </xdr:from>
    <xdr:to>
      <xdr:col>33</xdr:col>
      <xdr:colOff>8580</xdr:colOff>
      <xdr:row>60</xdr:row>
      <xdr:rowOff>1384</xdr:rowOff>
    </xdr:to>
    <mc:AlternateContent xmlns:mc="http://schemas.openxmlformats.org/markup-compatibility/2006">
      <mc:Choice xmlns:cx1="http://schemas.microsoft.com/office/drawing/2015/9/8/chartex" Requires="cx1">
        <xdr:graphicFrame macro="">
          <xdr:nvGraphicFramePr>
            <xdr:cNvPr id="76" name="Chart 5">
              <a:extLst>
                <a:ext uri="{FF2B5EF4-FFF2-40B4-BE49-F238E27FC236}">
                  <a16:creationId xmlns:a16="http://schemas.microsoft.com/office/drawing/2014/main" id="{27EFFA26-3554-4F2C-BE13-870B105B28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215158" y="8457114"/>
              <a:ext cx="4951872" cy="25932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596800</xdr:colOff>
      <xdr:row>0</xdr:row>
      <xdr:rowOff>184205</xdr:rowOff>
    </xdr:from>
    <xdr:to>
      <xdr:col>41</xdr:col>
      <xdr:colOff>582084</xdr:colOff>
      <xdr:row>14</xdr:row>
      <xdr:rowOff>176389</xdr:rowOff>
    </xdr:to>
    <mc:AlternateContent xmlns:mc="http://schemas.openxmlformats.org/markup-compatibility/2006">
      <mc:Choice xmlns:cx1="http://schemas.microsoft.com/office/drawing/2015/9/8/chartex" Requires="cx1">
        <xdr:graphicFrame macro="">
          <xdr:nvGraphicFramePr>
            <xdr:cNvPr id="168" name="Chart 6">
              <a:extLst>
                <a:ext uri="{FF2B5EF4-FFF2-40B4-BE49-F238E27FC236}">
                  <a16:creationId xmlns:a16="http://schemas.microsoft.com/office/drawing/2014/main" id="{3632543B-9375-45AA-94C7-4D4070287E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755250" y="184205"/>
              <a:ext cx="4912884" cy="25702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4643</xdr:colOff>
      <xdr:row>15</xdr:row>
      <xdr:rowOff>182655</xdr:rowOff>
    </xdr:from>
    <xdr:to>
      <xdr:col>42</xdr:col>
      <xdr:colOff>17727</xdr:colOff>
      <xdr:row>30</xdr:row>
      <xdr:rowOff>9487</xdr:rowOff>
    </xdr:to>
    <mc:AlternateContent xmlns:mc="http://schemas.openxmlformats.org/markup-compatibility/2006">
      <mc:Choice xmlns:cx1="http://schemas.microsoft.com/office/drawing/2015/9/8/chartex" Requires="cx1">
        <xdr:graphicFrame macro="">
          <xdr:nvGraphicFramePr>
            <xdr:cNvPr id="161" name="Chart 7">
              <a:extLst>
                <a:ext uri="{FF2B5EF4-FFF2-40B4-BE49-F238E27FC236}">
                  <a16:creationId xmlns:a16="http://schemas.microsoft.com/office/drawing/2014/main" id="{D58C8B70-393E-4E5D-8051-2BA99BDCF7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779043" y="2944905"/>
              <a:ext cx="4940684" cy="25890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9023</xdr:colOff>
      <xdr:row>31</xdr:row>
      <xdr:rowOff>12099</xdr:rowOff>
    </xdr:from>
    <xdr:to>
      <xdr:col>42</xdr:col>
      <xdr:colOff>0</xdr:colOff>
      <xdr:row>45</xdr:row>
      <xdr:rowOff>0</xdr:rowOff>
    </xdr:to>
    <mc:AlternateContent xmlns:mc="http://schemas.openxmlformats.org/markup-compatibility/2006">
      <mc:Choice xmlns:cx1="http://schemas.microsoft.com/office/drawing/2015/9/8/chartex" Requires="cx1">
        <xdr:graphicFrame macro="">
          <xdr:nvGraphicFramePr>
            <xdr:cNvPr id="159" name="Chart 9">
              <a:extLst>
                <a:ext uri="{FF2B5EF4-FFF2-40B4-BE49-F238E27FC236}">
                  <a16:creationId xmlns:a16="http://schemas.microsoft.com/office/drawing/2014/main" id="{915CE5AE-E33E-8238-4269-36036131DC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783423" y="5720749"/>
              <a:ext cx="4918577" cy="25660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604669</xdr:colOff>
      <xdr:row>46</xdr:row>
      <xdr:rowOff>1623</xdr:rowOff>
    </xdr:from>
    <xdr:to>
      <xdr:col>42</xdr:col>
      <xdr:colOff>10362</xdr:colOff>
      <xdr:row>60</xdr:row>
      <xdr:rowOff>7911</xdr:rowOff>
    </xdr:to>
    <mc:AlternateContent xmlns:mc="http://schemas.openxmlformats.org/markup-compatibility/2006">
      <mc:Choice xmlns:cx1="http://schemas.microsoft.com/office/drawing/2015/9/8/chartex" Requires="cx1">
        <xdr:graphicFrame macro="">
          <xdr:nvGraphicFramePr>
            <xdr:cNvPr id="31" name="Chart 10">
              <a:extLst>
                <a:ext uri="{FF2B5EF4-FFF2-40B4-BE49-F238E27FC236}">
                  <a16:creationId xmlns:a16="http://schemas.microsoft.com/office/drawing/2014/main" id="{854455C7-5748-4E6D-84FE-3AFE9EDC89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3763119" y="8472523"/>
              <a:ext cx="4949243" cy="25843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43</xdr:col>
      <xdr:colOff>10231</xdr:colOff>
      <xdr:row>1</xdr:row>
      <xdr:rowOff>389</xdr:rowOff>
    </xdr:from>
    <xdr:to>
      <xdr:col>50</xdr:col>
      <xdr:colOff>605449</xdr:colOff>
      <xdr:row>14</xdr:row>
      <xdr:rowOff>168962</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7B2A7CF2-18CD-4091-8F4A-50C8166195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9328181" y="184539"/>
              <a:ext cx="4906868" cy="25625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43</xdr:col>
      <xdr:colOff>12174</xdr:colOff>
      <xdr:row>16</xdr:row>
      <xdr:rowOff>2678</xdr:rowOff>
    </xdr:from>
    <xdr:to>
      <xdr:col>51</xdr:col>
      <xdr:colOff>1927</xdr:colOff>
      <xdr:row>29</xdr:row>
      <xdr:rowOff>178677</xdr:rowOff>
    </xdr:to>
    <mc:AlternateContent xmlns:mc="http://schemas.openxmlformats.org/markup-compatibility/2006">
      <mc:Choice xmlns:cx1="http://schemas.microsoft.com/office/drawing/2015/9/8/chartex" Requires="cx1">
        <xdr:graphicFrame macro="">
          <xdr:nvGraphicFramePr>
            <xdr:cNvPr id="29" name="Chart 12">
              <a:extLst>
                <a:ext uri="{FF2B5EF4-FFF2-40B4-BE49-F238E27FC236}">
                  <a16:creationId xmlns:a16="http://schemas.microsoft.com/office/drawing/2014/main" id="{6BF11A6A-726A-42AD-91A8-D3D8349EC9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9330124" y="2949078"/>
              <a:ext cx="4917353" cy="25699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662220</xdr:colOff>
      <xdr:row>31</xdr:row>
      <xdr:rowOff>1623</xdr:rowOff>
    </xdr:from>
    <xdr:to>
      <xdr:col>51</xdr:col>
      <xdr:colOff>2071</xdr:colOff>
      <xdr:row>45</xdr:row>
      <xdr:rowOff>7910</xdr:rowOff>
    </xdr:to>
    <mc:AlternateContent xmlns:mc="http://schemas.openxmlformats.org/markup-compatibility/2006">
      <mc:Choice xmlns:cx1="http://schemas.microsoft.com/office/drawing/2015/9/8/chartex" Requires="cx1">
        <xdr:graphicFrame macro="">
          <xdr:nvGraphicFramePr>
            <xdr:cNvPr id="33" name="Chart 13">
              <a:extLst>
                <a:ext uri="{FF2B5EF4-FFF2-40B4-BE49-F238E27FC236}">
                  <a16:creationId xmlns:a16="http://schemas.microsoft.com/office/drawing/2014/main" id="{EB0C1C75-7FED-40CE-B127-F4646576BF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9319770" y="5710273"/>
              <a:ext cx="4927851" cy="25843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659875</xdr:colOff>
      <xdr:row>46</xdr:row>
      <xdr:rowOff>2678</xdr:rowOff>
    </xdr:from>
    <xdr:to>
      <xdr:col>50</xdr:col>
      <xdr:colOff>649627</xdr:colOff>
      <xdr:row>59</xdr:row>
      <xdr:rowOff>178677</xdr:rowOff>
    </xdr:to>
    <mc:AlternateContent xmlns:mc="http://schemas.openxmlformats.org/markup-compatibility/2006">
      <mc:Choice xmlns:cx1="http://schemas.microsoft.com/office/drawing/2015/9/8/chartex" Requires="cx1">
        <xdr:graphicFrame macro="">
          <xdr:nvGraphicFramePr>
            <xdr:cNvPr id="2" name="Chart 12">
              <a:extLst>
                <a:ext uri="{FF2B5EF4-FFF2-40B4-BE49-F238E27FC236}">
                  <a16:creationId xmlns:a16="http://schemas.microsoft.com/office/drawing/2014/main" id="{1D6E1D7F-FD43-4842-97D9-588EFDB9A1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9317425" y="8473578"/>
              <a:ext cx="4930052" cy="25699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52</xdr:col>
      <xdr:colOff>4695</xdr:colOff>
      <xdr:row>1</xdr:row>
      <xdr:rowOff>9</xdr:rowOff>
    </xdr:from>
    <xdr:to>
      <xdr:col>60</xdr:col>
      <xdr:colOff>19539</xdr:colOff>
      <xdr:row>14</xdr:row>
      <xdr:rowOff>177809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3264778-98A9-43F9-8F9E-8DD11F29E0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4866195" y="184159"/>
              <a:ext cx="4942444" cy="2571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606135</xdr:colOff>
      <xdr:row>16</xdr:row>
      <xdr:rowOff>5680</xdr:rowOff>
    </xdr:from>
    <xdr:to>
      <xdr:col>60</xdr:col>
      <xdr:colOff>9497</xdr:colOff>
      <xdr:row>30</xdr:row>
      <xdr:rowOff>6271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C9BF1F5-69B7-40AB-B77A-1835D2580C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4851685" y="2952080"/>
              <a:ext cx="4946912" cy="25786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606554</xdr:colOff>
      <xdr:row>31</xdr:row>
      <xdr:rowOff>3580</xdr:rowOff>
    </xdr:from>
    <xdr:to>
      <xdr:col>60</xdr:col>
      <xdr:colOff>6137</xdr:colOff>
      <xdr:row>45</xdr:row>
      <xdr:rowOff>392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2078F55-EAEF-44BB-8E97-06CD7805DA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4852104" y="5712230"/>
              <a:ext cx="4943133" cy="2574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599752</xdr:colOff>
      <xdr:row>45</xdr:row>
      <xdr:rowOff>175289</xdr:rowOff>
    </xdr:from>
    <xdr:to>
      <xdr:col>60</xdr:col>
      <xdr:colOff>7542</xdr:colOff>
      <xdr:row>59</xdr:row>
      <xdr:rowOff>172102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4F1131F-2AD0-4428-885B-9C4DBBAD04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34845302" y="8462039"/>
              <a:ext cx="4951340" cy="25749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61</xdr:col>
      <xdr:colOff>5420</xdr:colOff>
      <xdr:row>1</xdr:row>
      <xdr:rowOff>3609</xdr:rowOff>
    </xdr:from>
    <xdr:to>
      <xdr:col>69</xdr:col>
      <xdr:colOff>35252</xdr:colOff>
      <xdr:row>15</xdr:row>
      <xdr:rowOff>421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AD3FF25-3AD9-4705-8426-F3922F4051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40410470" y="187759"/>
              <a:ext cx="4957432" cy="2574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60</xdr:col>
      <xdr:colOff>609582</xdr:colOff>
      <xdr:row>16</xdr:row>
      <xdr:rowOff>5048</xdr:rowOff>
    </xdr:from>
    <xdr:to>
      <xdr:col>69</xdr:col>
      <xdr:colOff>26694</xdr:colOff>
      <xdr:row>30</xdr:row>
      <xdr:rowOff>1860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9F93108-9834-4499-B30C-26B86688AA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40398682" y="2951448"/>
              <a:ext cx="4960662" cy="2574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60</xdr:col>
      <xdr:colOff>610171</xdr:colOff>
      <xdr:row>30</xdr:row>
      <xdr:rowOff>180777</xdr:rowOff>
    </xdr:from>
    <xdr:to>
      <xdr:col>69</xdr:col>
      <xdr:colOff>38476</xdr:colOff>
      <xdr:row>44</xdr:row>
      <xdr:rowOff>177589</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9EAE3BD3-D579-4043-813D-6B87869500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40399271" y="5705277"/>
              <a:ext cx="4971855" cy="2574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60</xdr:col>
      <xdr:colOff>607891</xdr:colOff>
      <xdr:row>45</xdr:row>
      <xdr:rowOff>178498</xdr:rowOff>
    </xdr:from>
    <xdr:to>
      <xdr:col>69</xdr:col>
      <xdr:colOff>28055</xdr:colOff>
      <xdr:row>59</xdr:row>
      <xdr:rowOff>175309</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43F532D-7569-40F8-A816-0BB5C36405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40396991" y="8465248"/>
              <a:ext cx="4963714" cy="25749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69</xdr:col>
      <xdr:colOff>586313</xdr:colOff>
      <xdr:row>0</xdr:row>
      <xdr:rowOff>168078</xdr:rowOff>
    </xdr:from>
    <xdr:to>
      <xdr:col>78</xdr:col>
      <xdr:colOff>14618</xdr:colOff>
      <xdr:row>14</xdr:row>
      <xdr:rowOff>164889</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6184330-10BF-4329-AD2A-042DAABBA9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45918963" y="168078"/>
              <a:ext cx="4971855" cy="25749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70</xdr:col>
      <xdr:colOff>19623</xdr:colOff>
      <xdr:row>15</xdr:row>
      <xdr:rowOff>182189</xdr:rowOff>
    </xdr:from>
    <xdr:to>
      <xdr:col>78</xdr:col>
      <xdr:colOff>8943</xdr:colOff>
      <xdr:row>30</xdr:row>
      <xdr:rowOff>8944</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0DCE8473-7DD2-416E-AF49-7B24AB4071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45968223" y="2944439"/>
              <a:ext cx="4916920" cy="25890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69</xdr:col>
      <xdr:colOff>607116</xdr:colOff>
      <xdr:row>31</xdr:row>
      <xdr:rowOff>5662</xdr:rowOff>
    </xdr:from>
    <xdr:to>
      <xdr:col>77</xdr:col>
      <xdr:colOff>596436</xdr:colOff>
      <xdr:row>45</xdr:row>
      <xdr:rowOff>20233</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BBC51B8F-9C52-4AD6-8D56-B7177E167B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45939766" y="5714312"/>
              <a:ext cx="4916920" cy="25926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69</xdr:col>
      <xdr:colOff>611350</xdr:colOff>
      <xdr:row>46</xdr:row>
      <xdr:rowOff>3276</xdr:rowOff>
    </xdr:from>
    <xdr:to>
      <xdr:col>81</xdr:col>
      <xdr:colOff>11545</xdr:colOff>
      <xdr:row>60</xdr:row>
      <xdr:rowOff>3213</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A4C76E67-5952-4294-B14C-398B1E68A5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45944000" y="8474176"/>
              <a:ext cx="6791595" cy="2578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79</xdr:col>
      <xdr:colOff>5149</xdr:colOff>
      <xdr:row>0</xdr:row>
      <xdr:rowOff>171070</xdr:rowOff>
    </xdr:from>
    <xdr:to>
      <xdr:col>87</xdr:col>
      <xdr:colOff>14768</xdr:colOff>
      <xdr:row>14</xdr:row>
      <xdr:rowOff>171007</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90E8BB53-8E1F-4E0D-B672-483C0D0E2B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51497299" y="171070"/>
              <a:ext cx="4937219" cy="2578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79</xdr:col>
      <xdr:colOff>2956</xdr:colOff>
      <xdr:row>15</xdr:row>
      <xdr:rowOff>177972</xdr:rowOff>
    </xdr:from>
    <xdr:to>
      <xdr:col>87</xdr:col>
      <xdr:colOff>12575</xdr:colOff>
      <xdr:row>29</xdr:row>
      <xdr:rowOff>177910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48BCE00B-B436-4BB8-91B4-1D407D4E77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51495106" y="2940222"/>
              <a:ext cx="4937219" cy="25780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79</xdr:col>
      <xdr:colOff>14432</xdr:colOff>
      <xdr:row>31</xdr:row>
      <xdr:rowOff>2065</xdr:rowOff>
    </xdr:from>
    <xdr:to>
      <xdr:col>86</xdr:col>
      <xdr:colOff>605236</xdr:colOff>
      <xdr:row>45</xdr:row>
      <xdr:rowOff>7923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AB602ADF-E38C-480D-99A6-4DC7CEEEE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51506582" y="5710715"/>
              <a:ext cx="4902454" cy="25839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87</xdr:col>
      <xdr:colOff>601103</xdr:colOff>
      <xdr:row>1</xdr:row>
      <xdr:rowOff>683</xdr:rowOff>
    </xdr:from>
    <xdr:to>
      <xdr:col>96</xdr:col>
      <xdr:colOff>0</xdr:colOff>
      <xdr:row>15</xdr:row>
      <xdr:rowOff>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5CC3BF07-F678-5F59-A457-365E1F87A4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57020853" y="184833"/>
              <a:ext cx="4942447" cy="25774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88</xdr:col>
      <xdr:colOff>3048</xdr:colOff>
      <xdr:row>16</xdr:row>
      <xdr:rowOff>11546</xdr:rowOff>
    </xdr:from>
    <xdr:to>
      <xdr:col>96</xdr:col>
      <xdr:colOff>13854</xdr:colOff>
      <xdr:row>30</xdr:row>
      <xdr:rowOff>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3B18AB79-8E8A-4031-96AB-324C0BFB6B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9"/>
            </a:graphicData>
          </a:graphic>
        </xdr:graphicFrame>
      </mc:Choice>
      <mc:Fallback>
        <xdr:sp macro="" textlink="">
          <xdr:nvSpPr>
            <xdr:cNvPr id="0" name=""/>
            <xdr:cNvSpPr>
              <a:spLocks noTextEdit="1"/>
            </xdr:cNvSpPr>
          </xdr:nvSpPr>
          <xdr:spPr>
            <a:xfrm>
              <a:off x="57038748" y="2957946"/>
              <a:ext cx="4938406" cy="25665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87</xdr:col>
      <xdr:colOff>613881</xdr:colOff>
      <xdr:row>30</xdr:row>
      <xdr:rowOff>162442</xdr:rowOff>
    </xdr:from>
    <xdr:to>
      <xdr:col>95</xdr:col>
      <xdr:colOff>605464</xdr:colOff>
      <xdr:row>44</xdr:row>
      <xdr:rowOff>176752</xdr:rowOff>
    </xdr:to>
    <xdr:graphicFrame macro="">
      <xdr:nvGraphicFramePr>
        <xdr:cNvPr id="3" name="Chart 2">
          <a:extLst>
            <a:ext uri="{FF2B5EF4-FFF2-40B4-BE49-F238E27FC236}">
              <a16:creationId xmlns:a16="http://schemas.microsoft.com/office/drawing/2014/main" id="{2C736EC5-4C2C-47F9-AE62-DFA6E4D73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97</xdr:col>
      <xdr:colOff>-1</xdr:colOff>
      <xdr:row>1</xdr:row>
      <xdr:rowOff>0</xdr:rowOff>
    </xdr:from>
    <xdr:to>
      <xdr:col>104</xdr:col>
      <xdr:colOff>613622</xdr:colOff>
      <xdr:row>15</xdr:row>
      <xdr:rowOff>14310</xdr:rowOff>
    </xdr:to>
    <xdr:graphicFrame macro="">
      <xdr:nvGraphicFramePr>
        <xdr:cNvPr id="19" name="Chart 18">
          <a:extLst>
            <a:ext uri="{FF2B5EF4-FFF2-40B4-BE49-F238E27FC236}">
              <a16:creationId xmlns:a16="http://schemas.microsoft.com/office/drawing/2014/main" id="{93AB133D-BC13-4AD1-8EC8-E9A1DAE00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97</xdr:col>
      <xdr:colOff>0</xdr:colOff>
      <xdr:row>16</xdr:row>
      <xdr:rowOff>12960</xdr:rowOff>
    </xdr:from>
    <xdr:to>
      <xdr:col>104</xdr:col>
      <xdr:colOff>613623</xdr:colOff>
      <xdr:row>30</xdr:row>
      <xdr:rowOff>27270</xdr:rowOff>
    </xdr:to>
    <xdr:graphicFrame macro="">
      <xdr:nvGraphicFramePr>
        <xdr:cNvPr id="23" name="Chart 22">
          <a:extLst>
            <a:ext uri="{FF2B5EF4-FFF2-40B4-BE49-F238E27FC236}">
              <a16:creationId xmlns:a16="http://schemas.microsoft.com/office/drawing/2014/main" id="{424BE571-FFF9-4F83-BF37-1FC0FCBBD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96</xdr:col>
      <xdr:colOff>597647</xdr:colOff>
      <xdr:row>31</xdr:row>
      <xdr:rowOff>12452</xdr:rowOff>
    </xdr:from>
    <xdr:to>
      <xdr:col>104</xdr:col>
      <xdr:colOff>601172</xdr:colOff>
      <xdr:row>45</xdr:row>
      <xdr:rowOff>26762</xdr:rowOff>
    </xdr:to>
    <xdr:graphicFrame macro="">
      <xdr:nvGraphicFramePr>
        <xdr:cNvPr id="25" name="Chart 24">
          <a:extLst>
            <a:ext uri="{FF2B5EF4-FFF2-40B4-BE49-F238E27FC236}">
              <a16:creationId xmlns:a16="http://schemas.microsoft.com/office/drawing/2014/main" id="{C97144CF-A83C-41A9-9DD8-6B648D324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96</xdr:col>
      <xdr:colOff>599977</xdr:colOff>
      <xdr:row>46</xdr:row>
      <xdr:rowOff>16282</xdr:rowOff>
    </xdr:from>
    <xdr:to>
      <xdr:col>104</xdr:col>
      <xdr:colOff>594882</xdr:colOff>
      <xdr:row>60</xdr:row>
      <xdr:rowOff>30591</xdr:rowOff>
    </xdr:to>
    <xdr:graphicFrame macro="">
      <xdr:nvGraphicFramePr>
        <xdr:cNvPr id="26" name="Chart 25">
          <a:extLst>
            <a:ext uri="{FF2B5EF4-FFF2-40B4-BE49-F238E27FC236}">
              <a16:creationId xmlns:a16="http://schemas.microsoft.com/office/drawing/2014/main" id="{D88C5822-C0DB-4763-8A8A-0E5BE66B7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88</xdr:col>
      <xdr:colOff>11981</xdr:colOff>
      <xdr:row>46</xdr:row>
      <xdr:rowOff>0</xdr:rowOff>
    </xdr:from>
    <xdr:to>
      <xdr:col>96</xdr:col>
      <xdr:colOff>14566</xdr:colOff>
      <xdr:row>60</xdr:row>
      <xdr:rowOff>14310</xdr:rowOff>
    </xdr:to>
    <xdr:graphicFrame macro="">
      <xdr:nvGraphicFramePr>
        <xdr:cNvPr id="27" name="Chart 26">
          <a:extLst>
            <a:ext uri="{FF2B5EF4-FFF2-40B4-BE49-F238E27FC236}">
              <a16:creationId xmlns:a16="http://schemas.microsoft.com/office/drawing/2014/main" id="{E5A506F5-BA03-4061-8E3D-FEA7FF7AD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105</xdr:col>
      <xdr:colOff>597648</xdr:colOff>
      <xdr:row>1</xdr:row>
      <xdr:rowOff>0</xdr:rowOff>
    </xdr:from>
    <xdr:to>
      <xdr:col>113</xdr:col>
      <xdr:colOff>608724</xdr:colOff>
      <xdr:row>15</xdr:row>
      <xdr:rowOff>7135</xdr:rowOff>
    </xdr:to>
    <xdr:graphicFrame macro="">
      <xdr:nvGraphicFramePr>
        <xdr:cNvPr id="28" name="Chart 27">
          <a:extLst>
            <a:ext uri="{FF2B5EF4-FFF2-40B4-BE49-F238E27FC236}">
              <a16:creationId xmlns:a16="http://schemas.microsoft.com/office/drawing/2014/main" id="{63BDB8B6-7F19-4C15-8083-A558E577F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105</xdr:col>
      <xdr:colOff>608904</xdr:colOff>
      <xdr:row>15</xdr:row>
      <xdr:rowOff>180959</xdr:rowOff>
    </xdr:from>
    <xdr:to>
      <xdr:col>113</xdr:col>
      <xdr:colOff>611262</xdr:colOff>
      <xdr:row>30</xdr:row>
      <xdr:rowOff>178037</xdr:rowOff>
    </xdr:to>
    <xdr:graphicFrame macro="">
      <xdr:nvGraphicFramePr>
        <xdr:cNvPr id="32" name="Chart 31">
          <a:extLst>
            <a:ext uri="{FF2B5EF4-FFF2-40B4-BE49-F238E27FC236}">
              <a16:creationId xmlns:a16="http://schemas.microsoft.com/office/drawing/2014/main" id="{0CFB3345-6355-4985-BD91-932417983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106</xdr:col>
      <xdr:colOff>3173</xdr:colOff>
      <xdr:row>31</xdr:row>
      <xdr:rowOff>181006</xdr:rowOff>
    </xdr:from>
    <xdr:to>
      <xdr:col>114</xdr:col>
      <xdr:colOff>0</xdr:colOff>
      <xdr:row>47</xdr:row>
      <xdr:rowOff>731</xdr:rowOff>
    </xdr:to>
    <xdr:graphicFrame macro="">
      <xdr:nvGraphicFramePr>
        <xdr:cNvPr id="34" name="Chart 33">
          <a:extLst>
            <a:ext uri="{FF2B5EF4-FFF2-40B4-BE49-F238E27FC236}">
              <a16:creationId xmlns:a16="http://schemas.microsoft.com/office/drawing/2014/main" id="{E41A830B-EAB9-4E6B-8F54-6ABC6DD37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V8SPORTS Vaughan" refreshedDate="46223.431738657404" createdVersion="8" refreshedVersion="8" minRefreshableVersion="3" recordCount="569" xr:uid="{A0CBBC11-87AB-4753-B33F-6E99F7629634}">
  <cacheSource type="worksheet">
    <worksheetSource ref="A1:D570" sheet="3.2 Frequency Tables"/>
  </cacheSource>
  <cacheFields count="4">
    <cacheField name="Position" numFmtId="0">
      <sharedItems count="3">
        <s v="C"/>
        <s v="F"/>
        <s v="G"/>
      </sharedItems>
    </cacheField>
    <cacheField name="Conference" numFmtId="0">
      <sharedItems count="3">
        <s v="Western"/>
        <s v="Eastern"/>
        <s v="Both"/>
      </sharedItems>
    </cacheField>
    <cacheField name="Nationality" numFmtId="0">
      <sharedItems count="3">
        <s v="Foreign"/>
        <s v="United States"/>
        <s v="US International"/>
      </sharedItems>
    </cacheField>
    <cacheField name="Draft_Group" numFmtId="0">
      <sharedItems count="3">
        <s v="Undrafted"/>
        <s v="Rnd 2"/>
        <s v="Rnd 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V8SPORTS Vaughan" refreshedDate="46224.537246527776" createdVersion="8" refreshedVersion="8" minRefreshableVersion="3" recordCount="569" xr:uid="{82AA72B3-3F6A-4EE4-9254-AE4E65FF64F5}">
  <cacheSource type="worksheet">
    <worksheetSource ref="A1:D570" sheet="3.1 Descriptive Statistics"/>
  </cacheSource>
  <cacheFields count="4">
    <cacheField name="Position" numFmtId="0">
      <sharedItems count="3">
        <s v="C"/>
        <s v="F"/>
        <s v="G"/>
      </sharedItems>
    </cacheField>
    <cacheField name="Conference" numFmtId="0">
      <sharedItems count="3">
        <s v="Western"/>
        <s v="Eastern"/>
        <s v="mult"/>
      </sharedItems>
    </cacheField>
    <cacheField name="Nationality" numFmtId="0">
      <sharedItems count="3">
        <s v="foreign"/>
        <s v="United States"/>
        <s v="multinational_US"/>
      </sharedItems>
    </cacheField>
    <cacheField name="Draft_Group" numFmtId="0">
      <sharedItems count="3">
        <s v="Undrafted"/>
        <s v="Rnd 2"/>
        <s v="Rnd 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x v="0"/>
    <x v="0"/>
    <x v="0"/>
    <x v="0"/>
  </r>
  <r>
    <x v="1"/>
    <x v="1"/>
    <x v="1"/>
    <x v="1"/>
  </r>
  <r>
    <x v="0"/>
    <x v="1"/>
    <x v="2"/>
    <x v="2"/>
  </r>
  <r>
    <x v="1"/>
    <x v="0"/>
    <x v="1"/>
    <x v="0"/>
  </r>
  <r>
    <x v="2"/>
    <x v="0"/>
    <x v="1"/>
    <x v="0"/>
  </r>
  <r>
    <x v="2"/>
    <x v="0"/>
    <x v="1"/>
    <x v="0"/>
  </r>
  <r>
    <x v="1"/>
    <x v="0"/>
    <x v="1"/>
    <x v="0"/>
  </r>
  <r>
    <x v="2"/>
    <x v="1"/>
    <x v="1"/>
    <x v="0"/>
  </r>
  <r>
    <x v="1"/>
    <x v="1"/>
    <x v="1"/>
    <x v="1"/>
  </r>
  <r>
    <x v="1"/>
    <x v="0"/>
    <x v="0"/>
    <x v="0"/>
  </r>
  <r>
    <x v="1"/>
    <x v="0"/>
    <x v="0"/>
    <x v="0"/>
  </r>
  <r>
    <x v="2"/>
    <x v="1"/>
    <x v="1"/>
    <x v="0"/>
  </r>
  <r>
    <x v="1"/>
    <x v="0"/>
    <x v="1"/>
    <x v="1"/>
  </r>
  <r>
    <x v="1"/>
    <x v="2"/>
    <x v="1"/>
    <x v="0"/>
  </r>
  <r>
    <x v="1"/>
    <x v="0"/>
    <x v="0"/>
    <x v="2"/>
  </r>
  <r>
    <x v="1"/>
    <x v="0"/>
    <x v="0"/>
    <x v="1"/>
  </r>
  <r>
    <x v="1"/>
    <x v="1"/>
    <x v="1"/>
    <x v="1"/>
  </r>
  <r>
    <x v="1"/>
    <x v="1"/>
    <x v="1"/>
    <x v="1"/>
  </r>
  <r>
    <x v="2"/>
    <x v="0"/>
    <x v="1"/>
    <x v="0"/>
  </r>
  <r>
    <x v="2"/>
    <x v="1"/>
    <x v="1"/>
    <x v="0"/>
  </r>
  <r>
    <x v="2"/>
    <x v="0"/>
    <x v="1"/>
    <x v="0"/>
  </r>
  <r>
    <x v="0"/>
    <x v="1"/>
    <x v="0"/>
    <x v="0"/>
  </r>
  <r>
    <x v="2"/>
    <x v="0"/>
    <x v="1"/>
    <x v="2"/>
  </r>
  <r>
    <x v="2"/>
    <x v="0"/>
    <x v="0"/>
    <x v="0"/>
  </r>
  <r>
    <x v="1"/>
    <x v="0"/>
    <x v="1"/>
    <x v="2"/>
  </r>
  <r>
    <x v="2"/>
    <x v="2"/>
    <x v="1"/>
    <x v="1"/>
  </r>
  <r>
    <x v="1"/>
    <x v="0"/>
    <x v="2"/>
    <x v="0"/>
  </r>
  <r>
    <x v="1"/>
    <x v="1"/>
    <x v="1"/>
    <x v="0"/>
  </r>
  <r>
    <x v="0"/>
    <x v="1"/>
    <x v="1"/>
    <x v="1"/>
  </r>
  <r>
    <x v="2"/>
    <x v="0"/>
    <x v="1"/>
    <x v="0"/>
  </r>
  <r>
    <x v="1"/>
    <x v="1"/>
    <x v="1"/>
    <x v="2"/>
  </r>
  <r>
    <x v="1"/>
    <x v="2"/>
    <x v="1"/>
    <x v="0"/>
  </r>
  <r>
    <x v="1"/>
    <x v="1"/>
    <x v="1"/>
    <x v="1"/>
  </r>
  <r>
    <x v="2"/>
    <x v="1"/>
    <x v="1"/>
    <x v="0"/>
  </r>
  <r>
    <x v="1"/>
    <x v="2"/>
    <x v="1"/>
    <x v="2"/>
  </r>
  <r>
    <x v="1"/>
    <x v="1"/>
    <x v="1"/>
    <x v="1"/>
  </r>
  <r>
    <x v="2"/>
    <x v="0"/>
    <x v="1"/>
    <x v="0"/>
  </r>
  <r>
    <x v="0"/>
    <x v="2"/>
    <x v="1"/>
    <x v="0"/>
  </r>
  <r>
    <x v="0"/>
    <x v="0"/>
    <x v="1"/>
    <x v="0"/>
  </r>
  <r>
    <x v="2"/>
    <x v="1"/>
    <x v="0"/>
    <x v="1"/>
  </r>
  <r>
    <x v="1"/>
    <x v="0"/>
    <x v="1"/>
    <x v="0"/>
  </r>
  <r>
    <x v="2"/>
    <x v="0"/>
    <x v="1"/>
    <x v="0"/>
  </r>
  <r>
    <x v="2"/>
    <x v="1"/>
    <x v="1"/>
    <x v="0"/>
  </r>
  <r>
    <x v="1"/>
    <x v="1"/>
    <x v="1"/>
    <x v="0"/>
  </r>
  <r>
    <x v="1"/>
    <x v="0"/>
    <x v="1"/>
    <x v="2"/>
  </r>
  <r>
    <x v="2"/>
    <x v="2"/>
    <x v="1"/>
    <x v="0"/>
  </r>
  <r>
    <x v="0"/>
    <x v="2"/>
    <x v="1"/>
    <x v="1"/>
  </r>
  <r>
    <x v="2"/>
    <x v="0"/>
    <x v="1"/>
    <x v="1"/>
  </r>
  <r>
    <x v="1"/>
    <x v="0"/>
    <x v="1"/>
    <x v="0"/>
  </r>
  <r>
    <x v="2"/>
    <x v="1"/>
    <x v="1"/>
    <x v="0"/>
  </r>
  <r>
    <x v="1"/>
    <x v="0"/>
    <x v="0"/>
    <x v="2"/>
  </r>
  <r>
    <x v="2"/>
    <x v="1"/>
    <x v="1"/>
    <x v="0"/>
  </r>
  <r>
    <x v="1"/>
    <x v="1"/>
    <x v="0"/>
    <x v="1"/>
  </r>
  <r>
    <x v="1"/>
    <x v="1"/>
    <x v="0"/>
    <x v="1"/>
  </r>
  <r>
    <x v="1"/>
    <x v="1"/>
    <x v="0"/>
    <x v="1"/>
  </r>
  <r>
    <x v="2"/>
    <x v="1"/>
    <x v="0"/>
    <x v="2"/>
  </r>
  <r>
    <x v="2"/>
    <x v="1"/>
    <x v="1"/>
    <x v="2"/>
  </r>
  <r>
    <x v="2"/>
    <x v="0"/>
    <x v="1"/>
    <x v="0"/>
  </r>
  <r>
    <x v="2"/>
    <x v="0"/>
    <x v="1"/>
    <x v="1"/>
  </r>
  <r>
    <x v="1"/>
    <x v="1"/>
    <x v="1"/>
    <x v="1"/>
  </r>
  <r>
    <x v="2"/>
    <x v="1"/>
    <x v="1"/>
    <x v="0"/>
  </r>
  <r>
    <x v="2"/>
    <x v="1"/>
    <x v="1"/>
    <x v="1"/>
  </r>
  <r>
    <x v="1"/>
    <x v="1"/>
    <x v="1"/>
    <x v="2"/>
  </r>
  <r>
    <x v="1"/>
    <x v="1"/>
    <x v="0"/>
    <x v="0"/>
  </r>
  <r>
    <x v="2"/>
    <x v="0"/>
    <x v="1"/>
    <x v="0"/>
  </r>
  <r>
    <x v="2"/>
    <x v="1"/>
    <x v="1"/>
    <x v="0"/>
  </r>
  <r>
    <x v="1"/>
    <x v="2"/>
    <x v="1"/>
    <x v="2"/>
  </r>
  <r>
    <x v="2"/>
    <x v="0"/>
    <x v="2"/>
    <x v="0"/>
  </r>
  <r>
    <x v="1"/>
    <x v="1"/>
    <x v="1"/>
    <x v="0"/>
  </r>
  <r>
    <x v="1"/>
    <x v="0"/>
    <x v="1"/>
    <x v="0"/>
  </r>
  <r>
    <x v="2"/>
    <x v="1"/>
    <x v="2"/>
    <x v="2"/>
  </r>
  <r>
    <x v="2"/>
    <x v="0"/>
    <x v="1"/>
    <x v="2"/>
  </r>
  <r>
    <x v="1"/>
    <x v="0"/>
    <x v="1"/>
    <x v="1"/>
  </r>
  <r>
    <x v="2"/>
    <x v="0"/>
    <x v="1"/>
    <x v="2"/>
  </r>
  <r>
    <x v="2"/>
    <x v="0"/>
    <x v="1"/>
    <x v="2"/>
  </r>
  <r>
    <x v="2"/>
    <x v="2"/>
    <x v="1"/>
    <x v="2"/>
  </r>
  <r>
    <x v="2"/>
    <x v="0"/>
    <x v="0"/>
    <x v="0"/>
  </r>
  <r>
    <x v="1"/>
    <x v="1"/>
    <x v="1"/>
    <x v="0"/>
  </r>
  <r>
    <x v="1"/>
    <x v="2"/>
    <x v="0"/>
    <x v="1"/>
  </r>
  <r>
    <x v="2"/>
    <x v="1"/>
    <x v="0"/>
    <x v="0"/>
  </r>
  <r>
    <x v="2"/>
    <x v="1"/>
    <x v="0"/>
    <x v="1"/>
  </r>
  <r>
    <x v="2"/>
    <x v="1"/>
    <x v="1"/>
    <x v="0"/>
  </r>
  <r>
    <x v="2"/>
    <x v="1"/>
    <x v="1"/>
    <x v="1"/>
  </r>
  <r>
    <x v="2"/>
    <x v="1"/>
    <x v="1"/>
    <x v="1"/>
  </r>
  <r>
    <x v="2"/>
    <x v="1"/>
    <x v="0"/>
    <x v="2"/>
  </r>
  <r>
    <x v="2"/>
    <x v="1"/>
    <x v="1"/>
    <x v="2"/>
  </r>
  <r>
    <x v="1"/>
    <x v="0"/>
    <x v="1"/>
    <x v="1"/>
  </r>
  <r>
    <x v="2"/>
    <x v="1"/>
    <x v="1"/>
    <x v="1"/>
  </r>
  <r>
    <x v="2"/>
    <x v="1"/>
    <x v="1"/>
    <x v="0"/>
  </r>
  <r>
    <x v="0"/>
    <x v="2"/>
    <x v="0"/>
    <x v="2"/>
  </r>
  <r>
    <x v="1"/>
    <x v="1"/>
    <x v="1"/>
    <x v="2"/>
  </r>
  <r>
    <x v="2"/>
    <x v="1"/>
    <x v="1"/>
    <x v="2"/>
  </r>
  <r>
    <x v="2"/>
    <x v="1"/>
    <x v="1"/>
    <x v="2"/>
  </r>
  <r>
    <x v="2"/>
    <x v="1"/>
    <x v="1"/>
    <x v="2"/>
  </r>
  <r>
    <x v="2"/>
    <x v="0"/>
    <x v="1"/>
    <x v="2"/>
  </r>
  <r>
    <x v="0"/>
    <x v="0"/>
    <x v="0"/>
    <x v="2"/>
  </r>
  <r>
    <x v="2"/>
    <x v="1"/>
    <x v="1"/>
    <x v="2"/>
  </r>
  <r>
    <x v="0"/>
    <x v="0"/>
    <x v="0"/>
    <x v="1"/>
  </r>
  <r>
    <x v="2"/>
    <x v="1"/>
    <x v="1"/>
    <x v="1"/>
  </r>
  <r>
    <x v="2"/>
    <x v="0"/>
    <x v="1"/>
    <x v="0"/>
  </r>
  <r>
    <x v="2"/>
    <x v="0"/>
    <x v="2"/>
    <x v="0"/>
  </r>
  <r>
    <x v="1"/>
    <x v="2"/>
    <x v="1"/>
    <x v="1"/>
  </r>
  <r>
    <x v="1"/>
    <x v="1"/>
    <x v="2"/>
    <x v="0"/>
  </r>
  <r>
    <x v="1"/>
    <x v="2"/>
    <x v="1"/>
    <x v="2"/>
  </r>
  <r>
    <x v="2"/>
    <x v="0"/>
    <x v="1"/>
    <x v="0"/>
  </r>
  <r>
    <x v="2"/>
    <x v="1"/>
    <x v="1"/>
    <x v="0"/>
  </r>
  <r>
    <x v="0"/>
    <x v="1"/>
    <x v="1"/>
    <x v="2"/>
  </r>
  <r>
    <x v="1"/>
    <x v="0"/>
    <x v="1"/>
    <x v="0"/>
  </r>
  <r>
    <x v="2"/>
    <x v="1"/>
    <x v="0"/>
    <x v="2"/>
  </r>
  <r>
    <x v="2"/>
    <x v="2"/>
    <x v="1"/>
    <x v="0"/>
  </r>
  <r>
    <x v="2"/>
    <x v="2"/>
    <x v="0"/>
    <x v="1"/>
  </r>
  <r>
    <x v="2"/>
    <x v="0"/>
    <x v="1"/>
    <x v="1"/>
  </r>
  <r>
    <x v="1"/>
    <x v="1"/>
    <x v="1"/>
    <x v="0"/>
  </r>
  <r>
    <x v="1"/>
    <x v="0"/>
    <x v="1"/>
    <x v="1"/>
  </r>
  <r>
    <x v="1"/>
    <x v="2"/>
    <x v="1"/>
    <x v="0"/>
  </r>
  <r>
    <x v="2"/>
    <x v="0"/>
    <x v="1"/>
    <x v="0"/>
  </r>
  <r>
    <x v="0"/>
    <x v="0"/>
    <x v="1"/>
    <x v="0"/>
  </r>
  <r>
    <x v="0"/>
    <x v="1"/>
    <x v="0"/>
    <x v="1"/>
  </r>
  <r>
    <x v="2"/>
    <x v="0"/>
    <x v="1"/>
    <x v="1"/>
  </r>
  <r>
    <x v="1"/>
    <x v="0"/>
    <x v="1"/>
    <x v="2"/>
  </r>
  <r>
    <x v="0"/>
    <x v="0"/>
    <x v="0"/>
    <x v="0"/>
  </r>
  <r>
    <x v="1"/>
    <x v="0"/>
    <x v="1"/>
    <x v="0"/>
  </r>
  <r>
    <x v="1"/>
    <x v="1"/>
    <x v="1"/>
    <x v="1"/>
  </r>
  <r>
    <x v="2"/>
    <x v="1"/>
    <x v="1"/>
    <x v="2"/>
  </r>
  <r>
    <x v="2"/>
    <x v="1"/>
    <x v="1"/>
    <x v="1"/>
  </r>
  <r>
    <x v="0"/>
    <x v="1"/>
    <x v="1"/>
    <x v="2"/>
  </r>
  <r>
    <x v="0"/>
    <x v="1"/>
    <x v="0"/>
    <x v="1"/>
  </r>
  <r>
    <x v="1"/>
    <x v="0"/>
    <x v="1"/>
    <x v="2"/>
  </r>
  <r>
    <x v="1"/>
    <x v="1"/>
    <x v="1"/>
    <x v="2"/>
  </r>
  <r>
    <x v="2"/>
    <x v="0"/>
    <x v="1"/>
    <x v="2"/>
  </r>
  <r>
    <x v="1"/>
    <x v="0"/>
    <x v="0"/>
    <x v="1"/>
  </r>
  <r>
    <x v="1"/>
    <x v="2"/>
    <x v="1"/>
    <x v="2"/>
  </r>
  <r>
    <x v="0"/>
    <x v="0"/>
    <x v="1"/>
    <x v="0"/>
  </r>
  <r>
    <x v="2"/>
    <x v="0"/>
    <x v="1"/>
    <x v="0"/>
  </r>
  <r>
    <x v="1"/>
    <x v="1"/>
    <x v="1"/>
    <x v="0"/>
  </r>
  <r>
    <x v="1"/>
    <x v="0"/>
    <x v="0"/>
    <x v="0"/>
  </r>
  <r>
    <x v="1"/>
    <x v="0"/>
    <x v="1"/>
    <x v="1"/>
  </r>
  <r>
    <x v="1"/>
    <x v="0"/>
    <x v="1"/>
    <x v="2"/>
  </r>
  <r>
    <x v="2"/>
    <x v="2"/>
    <x v="1"/>
    <x v="2"/>
  </r>
  <r>
    <x v="2"/>
    <x v="0"/>
    <x v="0"/>
    <x v="1"/>
  </r>
  <r>
    <x v="2"/>
    <x v="1"/>
    <x v="1"/>
    <x v="0"/>
  </r>
  <r>
    <x v="2"/>
    <x v="2"/>
    <x v="1"/>
    <x v="0"/>
  </r>
  <r>
    <x v="0"/>
    <x v="0"/>
    <x v="0"/>
    <x v="2"/>
  </r>
  <r>
    <x v="1"/>
    <x v="0"/>
    <x v="1"/>
    <x v="0"/>
  </r>
  <r>
    <x v="1"/>
    <x v="1"/>
    <x v="1"/>
    <x v="0"/>
  </r>
  <r>
    <x v="1"/>
    <x v="1"/>
    <x v="1"/>
    <x v="2"/>
  </r>
  <r>
    <x v="1"/>
    <x v="0"/>
    <x v="0"/>
    <x v="1"/>
  </r>
  <r>
    <x v="2"/>
    <x v="2"/>
    <x v="1"/>
    <x v="2"/>
  </r>
  <r>
    <x v="2"/>
    <x v="1"/>
    <x v="1"/>
    <x v="0"/>
  </r>
  <r>
    <x v="0"/>
    <x v="1"/>
    <x v="2"/>
    <x v="2"/>
  </r>
  <r>
    <x v="1"/>
    <x v="0"/>
    <x v="0"/>
    <x v="0"/>
  </r>
  <r>
    <x v="1"/>
    <x v="0"/>
    <x v="1"/>
    <x v="0"/>
  </r>
  <r>
    <x v="2"/>
    <x v="1"/>
    <x v="1"/>
    <x v="0"/>
  </r>
  <r>
    <x v="1"/>
    <x v="2"/>
    <x v="1"/>
    <x v="0"/>
  </r>
  <r>
    <x v="2"/>
    <x v="0"/>
    <x v="1"/>
    <x v="0"/>
  </r>
  <r>
    <x v="2"/>
    <x v="2"/>
    <x v="0"/>
    <x v="2"/>
  </r>
  <r>
    <x v="2"/>
    <x v="0"/>
    <x v="1"/>
    <x v="0"/>
  </r>
  <r>
    <x v="2"/>
    <x v="0"/>
    <x v="1"/>
    <x v="0"/>
  </r>
  <r>
    <x v="1"/>
    <x v="0"/>
    <x v="0"/>
    <x v="0"/>
  </r>
  <r>
    <x v="1"/>
    <x v="1"/>
    <x v="1"/>
    <x v="0"/>
  </r>
  <r>
    <x v="1"/>
    <x v="0"/>
    <x v="1"/>
    <x v="1"/>
  </r>
  <r>
    <x v="2"/>
    <x v="0"/>
    <x v="1"/>
    <x v="2"/>
  </r>
  <r>
    <x v="1"/>
    <x v="1"/>
    <x v="1"/>
    <x v="0"/>
  </r>
  <r>
    <x v="1"/>
    <x v="2"/>
    <x v="1"/>
    <x v="0"/>
  </r>
  <r>
    <x v="2"/>
    <x v="0"/>
    <x v="1"/>
    <x v="0"/>
  </r>
  <r>
    <x v="2"/>
    <x v="0"/>
    <x v="1"/>
    <x v="2"/>
  </r>
  <r>
    <x v="2"/>
    <x v="1"/>
    <x v="1"/>
    <x v="0"/>
  </r>
  <r>
    <x v="1"/>
    <x v="1"/>
    <x v="1"/>
    <x v="0"/>
  </r>
  <r>
    <x v="1"/>
    <x v="0"/>
    <x v="1"/>
    <x v="1"/>
  </r>
  <r>
    <x v="2"/>
    <x v="0"/>
    <x v="1"/>
    <x v="2"/>
  </r>
  <r>
    <x v="1"/>
    <x v="2"/>
    <x v="1"/>
    <x v="1"/>
  </r>
  <r>
    <x v="2"/>
    <x v="2"/>
    <x v="1"/>
    <x v="2"/>
  </r>
  <r>
    <x v="2"/>
    <x v="0"/>
    <x v="1"/>
    <x v="2"/>
  </r>
  <r>
    <x v="0"/>
    <x v="1"/>
    <x v="1"/>
    <x v="0"/>
  </r>
  <r>
    <x v="1"/>
    <x v="1"/>
    <x v="1"/>
    <x v="1"/>
  </r>
  <r>
    <x v="1"/>
    <x v="2"/>
    <x v="1"/>
    <x v="0"/>
  </r>
  <r>
    <x v="0"/>
    <x v="0"/>
    <x v="0"/>
    <x v="1"/>
  </r>
  <r>
    <x v="2"/>
    <x v="0"/>
    <x v="1"/>
    <x v="1"/>
  </r>
  <r>
    <x v="1"/>
    <x v="0"/>
    <x v="0"/>
    <x v="0"/>
  </r>
  <r>
    <x v="1"/>
    <x v="0"/>
    <x v="1"/>
    <x v="2"/>
  </r>
  <r>
    <x v="1"/>
    <x v="0"/>
    <x v="1"/>
    <x v="2"/>
  </r>
  <r>
    <x v="1"/>
    <x v="0"/>
    <x v="0"/>
    <x v="1"/>
  </r>
  <r>
    <x v="2"/>
    <x v="1"/>
    <x v="1"/>
    <x v="2"/>
  </r>
  <r>
    <x v="2"/>
    <x v="0"/>
    <x v="1"/>
    <x v="0"/>
  </r>
  <r>
    <x v="2"/>
    <x v="1"/>
    <x v="0"/>
    <x v="1"/>
  </r>
  <r>
    <x v="1"/>
    <x v="0"/>
    <x v="1"/>
    <x v="2"/>
  </r>
  <r>
    <x v="2"/>
    <x v="0"/>
    <x v="1"/>
    <x v="1"/>
  </r>
  <r>
    <x v="0"/>
    <x v="1"/>
    <x v="0"/>
    <x v="2"/>
  </r>
  <r>
    <x v="0"/>
    <x v="2"/>
    <x v="1"/>
    <x v="2"/>
  </r>
  <r>
    <x v="1"/>
    <x v="2"/>
    <x v="1"/>
    <x v="2"/>
  </r>
  <r>
    <x v="2"/>
    <x v="1"/>
    <x v="1"/>
    <x v="2"/>
  </r>
  <r>
    <x v="1"/>
    <x v="0"/>
    <x v="1"/>
    <x v="2"/>
  </r>
  <r>
    <x v="2"/>
    <x v="1"/>
    <x v="1"/>
    <x v="1"/>
  </r>
  <r>
    <x v="2"/>
    <x v="0"/>
    <x v="1"/>
    <x v="2"/>
  </r>
  <r>
    <x v="2"/>
    <x v="0"/>
    <x v="1"/>
    <x v="0"/>
  </r>
  <r>
    <x v="0"/>
    <x v="2"/>
    <x v="0"/>
    <x v="2"/>
  </r>
  <r>
    <x v="2"/>
    <x v="1"/>
    <x v="1"/>
    <x v="2"/>
  </r>
  <r>
    <x v="2"/>
    <x v="1"/>
    <x v="1"/>
    <x v="1"/>
  </r>
  <r>
    <x v="2"/>
    <x v="0"/>
    <x v="1"/>
    <x v="1"/>
  </r>
  <r>
    <x v="1"/>
    <x v="0"/>
    <x v="1"/>
    <x v="1"/>
  </r>
  <r>
    <x v="2"/>
    <x v="0"/>
    <x v="0"/>
    <x v="2"/>
  </r>
  <r>
    <x v="1"/>
    <x v="0"/>
    <x v="1"/>
    <x v="1"/>
  </r>
  <r>
    <x v="0"/>
    <x v="2"/>
    <x v="1"/>
    <x v="0"/>
  </r>
  <r>
    <x v="2"/>
    <x v="1"/>
    <x v="1"/>
    <x v="2"/>
  </r>
  <r>
    <x v="2"/>
    <x v="1"/>
    <x v="1"/>
    <x v="2"/>
  </r>
  <r>
    <x v="2"/>
    <x v="1"/>
    <x v="1"/>
    <x v="2"/>
  </r>
  <r>
    <x v="2"/>
    <x v="2"/>
    <x v="1"/>
    <x v="2"/>
  </r>
  <r>
    <x v="1"/>
    <x v="1"/>
    <x v="1"/>
    <x v="1"/>
  </r>
  <r>
    <x v="0"/>
    <x v="0"/>
    <x v="1"/>
    <x v="0"/>
  </r>
  <r>
    <x v="2"/>
    <x v="0"/>
    <x v="1"/>
    <x v="1"/>
  </r>
  <r>
    <x v="0"/>
    <x v="0"/>
    <x v="2"/>
    <x v="1"/>
  </r>
  <r>
    <x v="0"/>
    <x v="2"/>
    <x v="1"/>
    <x v="0"/>
  </r>
  <r>
    <x v="1"/>
    <x v="0"/>
    <x v="1"/>
    <x v="0"/>
  </r>
  <r>
    <x v="0"/>
    <x v="2"/>
    <x v="1"/>
    <x v="0"/>
  </r>
  <r>
    <x v="1"/>
    <x v="0"/>
    <x v="1"/>
    <x v="0"/>
  </r>
  <r>
    <x v="2"/>
    <x v="2"/>
    <x v="1"/>
    <x v="1"/>
  </r>
  <r>
    <x v="2"/>
    <x v="1"/>
    <x v="1"/>
    <x v="2"/>
  </r>
  <r>
    <x v="2"/>
    <x v="1"/>
    <x v="1"/>
    <x v="0"/>
  </r>
  <r>
    <x v="1"/>
    <x v="1"/>
    <x v="1"/>
    <x v="2"/>
  </r>
  <r>
    <x v="2"/>
    <x v="0"/>
    <x v="2"/>
    <x v="1"/>
  </r>
  <r>
    <x v="0"/>
    <x v="1"/>
    <x v="1"/>
    <x v="1"/>
  </r>
  <r>
    <x v="1"/>
    <x v="1"/>
    <x v="1"/>
    <x v="0"/>
  </r>
  <r>
    <x v="2"/>
    <x v="1"/>
    <x v="1"/>
    <x v="2"/>
  </r>
  <r>
    <x v="1"/>
    <x v="0"/>
    <x v="1"/>
    <x v="1"/>
  </r>
  <r>
    <x v="2"/>
    <x v="0"/>
    <x v="1"/>
    <x v="2"/>
  </r>
  <r>
    <x v="1"/>
    <x v="0"/>
    <x v="0"/>
    <x v="1"/>
  </r>
  <r>
    <x v="2"/>
    <x v="0"/>
    <x v="1"/>
    <x v="0"/>
  </r>
  <r>
    <x v="2"/>
    <x v="0"/>
    <x v="1"/>
    <x v="1"/>
  </r>
  <r>
    <x v="0"/>
    <x v="0"/>
    <x v="2"/>
    <x v="1"/>
  </r>
  <r>
    <x v="1"/>
    <x v="1"/>
    <x v="0"/>
    <x v="2"/>
  </r>
  <r>
    <x v="2"/>
    <x v="1"/>
    <x v="1"/>
    <x v="1"/>
  </r>
  <r>
    <x v="0"/>
    <x v="0"/>
    <x v="1"/>
    <x v="2"/>
  </r>
  <r>
    <x v="0"/>
    <x v="0"/>
    <x v="0"/>
    <x v="2"/>
  </r>
  <r>
    <x v="1"/>
    <x v="0"/>
    <x v="1"/>
    <x v="2"/>
  </r>
  <r>
    <x v="1"/>
    <x v="1"/>
    <x v="1"/>
    <x v="0"/>
  </r>
  <r>
    <x v="1"/>
    <x v="0"/>
    <x v="0"/>
    <x v="0"/>
  </r>
  <r>
    <x v="2"/>
    <x v="1"/>
    <x v="1"/>
    <x v="2"/>
  </r>
  <r>
    <x v="1"/>
    <x v="1"/>
    <x v="1"/>
    <x v="1"/>
  </r>
  <r>
    <x v="1"/>
    <x v="0"/>
    <x v="0"/>
    <x v="1"/>
  </r>
  <r>
    <x v="1"/>
    <x v="1"/>
    <x v="1"/>
    <x v="2"/>
  </r>
  <r>
    <x v="0"/>
    <x v="0"/>
    <x v="0"/>
    <x v="0"/>
  </r>
  <r>
    <x v="1"/>
    <x v="0"/>
    <x v="1"/>
    <x v="1"/>
  </r>
  <r>
    <x v="2"/>
    <x v="0"/>
    <x v="1"/>
    <x v="2"/>
  </r>
  <r>
    <x v="2"/>
    <x v="2"/>
    <x v="1"/>
    <x v="1"/>
  </r>
  <r>
    <x v="0"/>
    <x v="2"/>
    <x v="1"/>
    <x v="1"/>
  </r>
  <r>
    <x v="2"/>
    <x v="2"/>
    <x v="2"/>
    <x v="0"/>
  </r>
  <r>
    <x v="2"/>
    <x v="0"/>
    <x v="2"/>
    <x v="2"/>
  </r>
  <r>
    <x v="0"/>
    <x v="0"/>
    <x v="0"/>
    <x v="0"/>
  </r>
  <r>
    <x v="2"/>
    <x v="0"/>
    <x v="1"/>
    <x v="0"/>
  </r>
  <r>
    <x v="2"/>
    <x v="1"/>
    <x v="1"/>
    <x v="1"/>
  </r>
  <r>
    <x v="0"/>
    <x v="1"/>
    <x v="0"/>
    <x v="1"/>
  </r>
  <r>
    <x v="1"/>
    <x v="0"/>
    <x v="1"/>
    <x v="2"/>
  </r>
  <r>
    <x v="2"/>
    <x v="0"/>
    <x v="0"/>
    <x v="1"/>
  </r>
  <r>
    <x v="2"/>
    <x v="2"/>
    <x v="0"/>
    <x v="1"/>
  </r>
  <r>
    <x v="2"/>
    <x v="2"/>
    <x v="1"/>
    <x v="1"/>
  </r>
  <r>
    <x v="1"/>
    <x v="1"/>
    <x v="1"/>
    <x v="0"/>
  </r>
  <r>
    <x v="2"/>
    <x v="1"/>
    <x v="1"/>
    <x v="1"/>
  </r>
  <r>
    <x v="1"/>
    <x v="0"/>
    <x v="0"/>
    <x v="1"/>
  </r>
  <r>
    <x v="2"/>
    <x v="1"/>
    <x v="1"/>
    <x v="2"/>
  </r>
  <r>
    <x v="1"/>
    <x v="1"/>
    <x v="1"/>
    <x v="0"/>
  </r>
  <r>
    <x v="1"/>
    <x v="0"/>
    <x v="1"/>
    <x v="2"/>
  </r>
  <r>
    <x v="2"/>
    <x v="1"/>
    <x v="1"/>
    <x v="0"/>
  </r>
  <r>
    <x v="2"/>
    <x v="1"/>
    <x v="1"/>
    <x v="0"/>
  </r>
  <r>
    <x v="0"/>
    <x v="1"/>
    <x v="1"/>
    <x v="2"/>
  </r>
  <r>
    <x v="2"/>
    <x v="1"/>
    <x v="1"/>
    <x v="0"/>
  </r>
  <r>
    <x v="2"/>
    <x v="2"/>
    <x v="1"/>
    <x v="2"/>
  </r>
  <r>
    <x v="2"/>
    <x v="0"/>
    <x v="1"/>
    <x v="0"/>
  </r>
  <r>
    <x v="1"/>
    <x v="2"/>
    <x v="2"/>
    <x v="1"/>
  </r>
  <r>
    <x v="1"/>
    <x v="1"/>
    <x v="0"/>
    <x v="0"/>
  </r>
  <r>
    <x v="2"/>
    <x v="1"/>
    <x v="0"/>
    <x v="1"/>
  </r>
  <r>
    <x v="2"/>
    <x v="2"/>
    <x v="2"/>
    <x v="0"/>
  </r>
  <r>
    <x v="2"/>
    <x v="0"/>
    <x v="1"/>
    <x v="2"/>
  </r>
  <r>
    <x v="1"/>
    <x v="0"/>
    <x v="1"/>
    <x v="0"/>
  </r>
  <r>
    <x v="0"/>
    <x v="0"/>
    <x v="1"/>
    <x v="1"/>
  </r>
  <r>
    <x v="2"/>
    <x v="1"/>
    <x v="2"/>
    <x v="2"/>
  </r>
  <r>
    <x v="2"/>
    <x v="0"/>
    <x v="1"/>
    <x v="2"/>
  </r>
  <r>
    <x v="1"/>
    <x v="2"/>
    <x v="1"/>
    <x v="2"/>
  </r>
  <r>
    <x v="1"/>
    <x v="0"/>
    <x v="1"/>
    <x v="2"/>
  </r>
  <r>
    <x v="2"/>
    <x v="1"/>
    <x v="1"/>
    <x v="2"/>
  </r>
  <r>
    <x v="0"/>
    <x v="1"/>
    <x v="1"/>
    <x v="1"/>
  </r>
  <r>
    <x v="1"/>
    <x v="2"/>
    <x v="1"/>
    <x v="1"/>
  </r>
  <r>
    <x v="2"/>
    <x v="2"/>
    <x v="1"/>
    <x v="2"/>
  </r>
  <r>
    <x v="1"/>
    <x v="2"/>
    <x v="2"/>
    <x v="2"/>
  </r>
  <r>
    <x v="2"/>
    <x v="1"/>
    <x v="1"/>
    <x v="0"/>
  </r>
  <r>
    <x v="2"/>
    <x v="1"/>
    <x v="1"/>
    <x v="0"/>
  </r>
  <r>
    <x v="2"/>
    <x v="1"/>
    <x v="2"/>
    <x v="2"/>
  </r>
  <r>
    <x v="2"/>
    <x v="0"/>
    <x v="1"/>
    <x v="2"/>
  </r>
  <r>
    <x v="1"/>
    <x v="0"/>
    <x v="2"/>
    <x v="2"/>
  </r>
  <r>
    <x v="1"/>
    <x v="0"/>
    <x v="1"/>
    <x v="1"/>
  </r>
  <r>
    <x v="2"/>
    <x v="1"/>
    <x v="1"/>
    <x v="2"/>
  </r>
  <r>
    <x v="2"/>
    <x v="1"/>
    <x v="1"/>
    <x v="1"/>
  </r>
  <r>
    <x v="0"/>
    <x v="2"/>
    <x v="1"/>
    <x v="0"/>
  </r>
  <r>
    <x v="1"/>
    <x v="2"/>
    <x v="1"/>
    <x v="2"/>
  </r>
  <r>
    <x v="1"/>
    <x v="2"/>
    <x v="1"/>
    <x v="1"/>
  </r>
  <r>
    <x v="1"/>
    <x v="1"/>
    <x v="1"/>
    <x v="0"/>
  </r>
  <r>
    <x v="0"/>
    <x v="1"/>
    <x v="1"/>
    <x v="2"/>
  </r>
  <r>
    <x v="2"/>
    <x v="2"/>
    <x v="0"/>
    <x v="2"/>
  </r>
  <r>
    <x v="2"/>
    <x v="1"/>
    <x v="1"/>
    <x v="2"/>
  </r>
  <r>
    <x v="0"/>
    <x v="1"/>
    <x v="0"/>
    <x v="2"/>
  </r>
  <r>
    <x v="2"/>
    <x v="0"/>
    <x v="1"/>
    <x v="1"/>
  </r>
  <r>
    <x v="1"/>
    <x v="0"/>
    <x v="1"/>
    <x v="2"/>
  </r>
  <r>
    <x v="2"/>
    <x v="0"/>
    <x v="1"/>
    <x v="2"/>
  </r>
  <r>
    <x v="1"/>
    <x v="1"/>
    <x v="0"/>
    <x v="1"/>
  </r>
  <r>
    <x v="2"/>
    <x v="0"/>
    <x v="1"/>
    <x v="1"/>
  </r>
  <r>
    <x v="0"/>
    <x v="0"/>
    <x v="0"/>
    <x v="0"/>
  </r>
  <r>
    <x v="0"/>
    <x v="0"/>
    <x v="1"/>
    <x v="2"/>
  </r>
  <r>
    <x v="0"/>
    <x v="1"/>
    <x v="1"/>
    <x v="0"/>
  </r>
  <r>
    <x v="2"/>
    <x v="0"/>
    <x v="2"/>
    <x v="0"/>
  </r>
  <r>
    <x v="1"/>
    <x v="1"/>
    <x v="1"/>
    <x v="2"/>
  </r>
  <r>
    <x v="2"/>
    <x v="2"/>
    <x v="1"/>
    <x v="2"/>
  </r>
  <r>
    <x v="1"/>
    <x v="1"/>
    <x v="1"/>
    <x v="1"/>
  </r>
  <r>
    <x v="2"/>
    <x v="1"/>
    <x v="1"/>
    <x v="0"/>
  </r>
  <r>
    <x v="1"/>
    <x v="0"/>
    <x v="1"/>
    <x v="0"/>
  </r>
  <r>
    <x v="2"/>
    <x v="1"/>
    <x v="0"/>
    <x v="2"/>
  </r>
  <r>
    <x v="2"/>
    <x v="1"/>
    <x v="1"/>
    <x v="0"/>
  </r>
  <r>
    <x v="0"/>
    <x v="1"/>
    <x v="1"/>
    <x v="2"/>
  </r>
  <r>
    <x v="2"/>
    <x v="0"/>
    <x v="0"/>
    <x v="2"/>
  </r>
  <r>
    <x v="2"/>
    <x v="0"/>
    <x v="2"/>
    <x v="2"/>
  </r>
  <r>
    <x v="2"/>
    <x v="2"/>
    <x v="1"/>
    <x v="2"/>
  </r>
  <r>
    <x v="1"/>
    <x v="1"/>
    <x v="2"/>
    <x v="2"/>
  </r>
  <r>
    <x v="1"/>
    <x v="0"/>
    <x v="1"/>
    <x v="1"/>
  </r>
  <r>
    <x v="1"/>
    <x v="1"/>
    <x v="1"/>
    <x v="2"/>
  </r>
  <r>
    <x v="1"/>
    <x v="1"/>
    <x v="1"/>
    <x v="2"/>
  </r>
  <r>
    <x v="1"/>
    <x v="0"/>
    <x v="1"/>
    <x v="2"/>
  </r>
  <r>
    <x v="2"/>
    <x v="1"/>
    <x v="1"/>
    <x v="1"/>
  </r>
  <r>
    <x v="1"/>
    <x v="0"/>
    <x v="0"/>
    <x v="2"/>
  </r>
  <r>
    <x v="1"/>
    <x v="0"/>
    <x v="0"/>
    <x v="2"/>
  </r>
  <r>
    <x v="2"/>
    <x v="0"/>
    <x v="1"/>
    <x v="1"/>
  </r>
  <r>
    <x v="1"/>
    <x v="1"/>
    <x v="1"/>
    <x v="2"/>
  </r>
  <r>
    <x v="2"/>
    <x v="1"/>
    <x v="1"/>
    <x v="2"/>
  </r>
  <r>
    <x v="1"/>
    <x v="0"/>
    <x v="0"/>
    <x v="2"/>
  </r>
  <r>
    <x v="1"/>
    <x v="1"/>
    <x v="1"/>
    <x v="2"/>
  </r>
  <r>
    <x v="0"/>
    <x v="2"/>
    <x v="1"/>
    <x v="0"/>
  </r>
  <r>
    <x v="1"/>
    <x v="1"/>
    <x v="1"/>
    <x v="2"/>
  </r>
  <r>
    <x v="2"/>
    <x v="0"/>
    <x v="1"/>
    <x v="1"/>
  </r>
  <r>
    <x v="2"/>
    <x v="2"/>
    <x v="1"/>
    <x v="1"/>
  </r>
  <r>
    <x v="2"/>
    <x v="1"/>
    <x v="1"/>
    <x v="2"/>
  </r>
  <r>
    <x v="2"/>
    <x v="2"/>
    <x v="1"/>
    <x v="1"/>
  </r>
  <r>
    <x v="1"/>
    <x v="0"/>
    <x v="1"/>
    <x v="0"/>
  </r>
  <r>
    <x v="2"/>
    <x v="0"/>
    <x v="1"/>
    <x v="2"/>
  </r>
  <r>
    <x v="0"/>
    <x v="1"/>
    <x v="1"/>
    <x v="2"/>
  </r>
  <r>
    <x v="1"/>
    <x v="1"/>
    <x v="1"/>
    <x v="2"/>
  </r>
  <r>
    <x v="0"/>
    <x v="0"/>
    <x v="0"/>
    <x v="2"/>
  </r>
  <r>
    <x v="1"/>
    <x v="1"/>
    <x v="0"/>
    <x v="2"/>
  </r>
  <r>
    <x v="0"/>
    <x v="0"/>
    <x v="0"/>
    <x v="2"/>
  </r>
  <r>
    <x v="0"/>
    <x v="1"/>
    <x v="0"/>
    <x v="1"/>
  </r>
  <r>
    <x v="2"/>
    <x v="1"/>
    <x v="1"/>
    <x v="2"/>
  </r>
  <r>
    <x v="2"/>
    <x v="0"/>
    <x v="0"/>
    <x v="2"/>
  </r>
  <r>
    <x v="0"/>
    <x v="0"/>
    <x v="1"/>
    <x v="2"/>
  </r>
  <r>
    <x v="1"/>
    <x v="0"/>
    <x v="0"/>
    <x v="1"/>
  </r>
  <r>
    <x v="0"/>
    <x v="0"/>
    <x v="1"/>
    <x v="1"/>
  </r>
  <r>
    <x v="0"/>
    <x v="2"/>
    <x v="1"/>
    <x v="0"/>
  </r>
  <r>
    <x v="2"/>
    <x v="2"/>
    <x v="1"/>
    <x v="1"/>
  </r>
  <r>
    <x v="1"/>
    <x v="0"/>
    <x v="0"/>
    <x v="1"/>
  </r>
  <r>
    <x v="1"/>
    <x v="0"/>
    <x v="1"/>
    <x v="2"/>
  </r>
  <r>
    <x v="2"/>
    <x v="1"/>
    <x v="1"/>
    <x v="2"/>
  </r>
  <r>
    <x v="2"/>
    <x v="1"/>
    <x v="1"/>
    <x v="0"/>
  </r>
  <r>
    <x v="1"/>
    <x v="1"/>
    <x v="1"/>
    <x v="2"/>
  </r>
  <r>
    <x v="0"/>
    <x v="0"/>
    <x v="1"/>
    <x v="2"/>
  </r>
  <r>
    <x v="2"/>
    <x v="1"/>
    <x v="1"/>
    <x v="1"/>
  </r>
  <r>
    <x v="1"/>
    <x v="2"/>
    <x v="1"/>
    <x v="2"/>
  </r>
  <r>
    <x v="0"/>
    <x v="1"/>
    <x v="0"/>
    <x v="1"/>
  </r>
  <r>
    <x v="1"/>
    <x v="1"/>
    <x v="0"/>
    <x v="0"/>
  </r>
  <r>
    <x v="2"/>
    <x v="1"/>
    <x v="1"/>
    <x v="1"/>
  </r>
  <r>
    <x v="2"/>
    <x v="0"/>
    <x v="1"/>
    <x v="1"/>
  </r>
  <r>
    <x v="2"/>
    <x v="1"/>
    <x v="1"/>
    <x v="2"/>
  </r>
  <r>
    <x v="2"/>
    <x v="1"/>
    <x v="1"/>
    <x v="2"/>
  </r>
  <r>
    <x v="0"/>
    <x v="1"/>
    <x v="1"/>
    <x v="2"/>
  </r>
  <r>
    <x v="2"/>
    <x v="1"/>
    <x v="1"/>
    <x v="2"/>
  </r>
  <r>
    <x v="2"/>
    <x v="1"/>
    <x v="1"/>
    <x v="1"/>
  </r>
  <r>
    <x v="2"/>
    <x v="0"/>
    <x v="1"/>
    <x v="2"/>
  </r>
  <r>
    <x v="2"/>
    <x v="1"/>
    <x v="1"/>
    <x v="2"/>
  </r>
  <r>
    <x v="2"/>
    <x v="0"/>
    <x v="1"/>
    <x v="2"/>
  </r>
  <r>
    <x v="2"/>
    <x v="2"/>
    <x v="1"/>
    <x v="0"/>
  </r>
  <r>
    <x v="2"/>
    <x v="0"/>
    <x v="1"/>
    <x v="0"/>
  </r>
  <r>
    <x v="0"/>
    <x v="0"/>
    <x v="1"/>
    <x v="2"/>
  </r>
  <r>
    <x v="2"/>
    <x v="0"/>
    <x v="1"/>
    <x v="2"/>
  </r>
  <r>
    <x v="1"/>
    <x v="1"/>
    <x v="1"/>
    <x v="2"/>
  </r>
  <r>
    <x v="2"/>
    <x v="1"/>
    <x v="1"/>
    <x v="2"/>
  </r>
  <r>
    <x v="0"/>
    <x v="0"/>
    <x v="1"/>
    <x v="0"/>
  </r>
  <r>
    <x v="1"/>
    <x v="0"/>
    <x v="1"/>
    <x v="2"/>
  </r>
  <r>
    <x v="0"/>
    <x v="1"/>
    <x v="0"/>
    <x v="2"/>
  </r>
  <r>
    <x v="1"/>
    <x v="1"/>
    <x v="1"/>
    <x v="0"/>
  </r>
  <r>
    <x v="2"/>
    <x v="1"/>
    <x v="0"/>
    <x v="2"/>
  </r>
  <r>
    <x v="2"/>
    <x v="1"/>
    <x v="1"/>
    <x v="2"/>
  </r>
  <r>
    <x v="2"/>
    <x v="2"/>
    <x v="1"/>
    <x v="1"/>
  </r>
  <r>
    <x v="1"/>
    <x v="1"/>
    <x v="0"/>
    <x v="2"/>
  </r>
  <r>
    <x v="0"/>
    <x v="1"/>
    <x v="0"/>
    <x v="1"/>
  </r>
  <r>
    <x v="2"/>
    <x v="0"/>
    <x v="0"/>
    <x v="1"/>
  </r>
  <r>
    <x v="1"/>
    <x v="1"/>
    <x v="1"/>
    <x v="1"/>
  </r>
  <r>
    <x v="0"/>
    <x v="1"/>
    <x v="0"/>
    <x v="2"/>
  </r>
  <r>
    <x v="1"/>
    <x v="0"/>
    <x v="0"/>
    <x v="2"/>
  </r>
  <r>
    <x v="0"/>
    <x v="0"/>
    <x v="0"/>
    <x v="2"/>
  </r>
  <r>
    <x v="2"/>
    <x v="0"/>
    <x v="1"/>
    <x v="2"/>
  </r>
  <r>
    <x v="1"/>
    <x v="0"/>
    <x v="1"/>
    <x v="0"/>
  </r>
  <r>
    <x v="1"/>
    <x v="1"/>
    <x v="1"/>
    <x v="0"/>
  </r>
  <r>
    <x v="0"/>
    <x v="1"/>
    <x v="1"/>
    <x v="2"/>
  </r>
  <r>
    <x v="1"/>
    <x v="1"/>
    <x v="1"/>
    <x v="2"/>
  </r>
  <r>
    <x v="2"/>
    <x v="1"/>
    <x v="2"/>
    <x v="2"/>
  </r>
  <r>
    <x v="2"/>
    <x v="0"/>
    <x v="1"/>
    <x v="0"/>
  </r>
  <r>
    <x v="1"/>
    <x v="1"/>
    <x v="2"/>
    <x v="1"/>
  </r>
  <r>
    <x v="0"/>
    <x v="0"/>
    <x v="1"/>
    <x v="1"/>
  </r>
  <r>
    <x v="0"/>
    <x v="1"/>
    <x v="0"/>
    <x v="2"/>
  </r>
  <r>
    <x v="1"/>
    <x v="0"/>
    <x v="1"/>
    <x v="2"/>
  </r>
  <r>
    <x v="1"/>
    <x v="0"/>
    <x v="1"/>
    <x v="1"/>
  </r>
  <r>
    <x v="0"/>
    <x v="0"/>
    <x v="1"/>
    <x v="2"/>
  </r>
  <r>
    <x v="2"/>
    <x v="0"/>
    <x v="1"/>
    <x v="1"/>
  </r>
  <r>
    <x v="1"/>
    <x v="1"/>
    <x v="0"/>
    <x v="2"/>
  </r>
  <r>
    <x v="0"/>
    <x v="2"/>
    <x v="0"/>
    <x v="2"/>
  </r>
  <r>
    <x v="0"/>
    <x v="1"/>
    <x v="0"/>
    <x v="2"/>
  </r>
  <r>
    <x v="2"/>
    <x v="2"/>
    <x v="2"/>
    <x v="2"/>
  </r>
  <r>
    <x v="1"/>
    <x v="1"/>
    <x v="1"/>
    <x v="1"/>
  </r>
  <r>
    <x v="1"/>
    <x v="1"/>
    <x v="1"/>
    <x v="0"/>
  </r>
  <r>
    <x v="2"/>
    <x v="2"/>
    <x v="1"/>
    <x v="2"/>
  </r>
  <r>
    <x v="2"/>
    <x v="1"/>
    <x v="1"/>
    <x v="2"/>
  </r>
  <r>
    <x v="1"/>
    <x v="0"/>
    <x v="1"/>
    <x v="0"/>
  </r>
  <r>
    <x v="2"/>
    <x v="1"/>
    <x v="1"/>
    <x v="2"/>
  </r>
  <r>
    <x v="2"/>
    <x v="1"/>
    <x v="0"/>
    <x v="1"/>
  </r>
  <r>
    <x v="0"/>
    <x v="0"/>
    <x v="2"/>
    <x v="1"/>
  </r>
  <r>
    <x v="1"/>
    <x v="0"/>
    <x v="1"/>
    <x v="1"/>
  </r>
  <r>
    <x v="1"/>
    <x v="1"/>
    <x v="1"/>
    <x v="0"/>
  </r>
  <r>
    <x v="1"/>
    <x v="2"/>
    <x v="1"/>
    <x v="0"/>
  </r>
  <r>
    <x v="2"/>
    <x v="0"/>
    <x v="1"/>
    <x v="0"/>
  </r>
  <r>
    <x v="0"/>
    <x v="0"/>
    <x v="0"/>
    <x v="0"/>
  </r>
  <r>
    <x v="1"/>
    <x v="0"/>
    <x v="1"/>
    <x v="2"/>
  </r>
  <r>
    <x v="1"/>
    <x v="1"/>
    <x v="2"/>
    <x v="2"/>
  </r>
  <r>
    <x v="2"/>
    <x v="0"/>
    <x v="1"/>
    <x v="2"/>
  </r>
  <r>
    <x v="0"/>
    <x v="1"/>
    <x v="2"/>
    <x v="1"/>
  </r>
  <r>
    <x v="1"/>
    <x v="1"/>
    <x v="1"/>
    <x v="2"/>
  </r>
  <r>
    <x v="1"/>
    <x v="1"/>
    <x v="0"/>
    <x v="0"/>
  </r>
  <r>
    <x v="2"/>
    <x v="0"/>
    <x v="1"/>
    <x v="0"/>
  </r>
  <r>
    <x v="0"/>
    <x v="1"/>
    <x v="1"/>
    <x v="2"/>
  </r>
  <r>
    <x v="1"/>
    <x v="2"/>
    <x v="1"/>
    <x v="1"/>
  </r>
  <r>
    <x v="2"/>
    <x v="2"/>
    <x v="1"/>
    <x v="2"/>
  </r>
  <r>
    <x v="1"/>
    <x v="0"/>
    <x v="2"/>
    <x v="2"/>
  </r>
  <r>
    <x v="1"/>
    <x v="0"/>
    <x v="1"/>
    <x v="0"/>
  </r>
  <r>
    <x v="1"/>
    <x v="1"/>
    <x v="1"/>
    <x v="2"/>
  </r>
  <r>
    <x v="2"/>
    <x v="1"/>
    <x v="0"/>
    <x v="0"/>
  </r>
  <r>
    <x v="1"/>
    <x v="0"/>
    <x v="1"/>
    <x v="2"/>
  </r>
  <r>
    <x v="2"/>
    <x v="2"/>
    <x v="1"/>
    <x v="2"/>
  </r>
  <r>
    <x v="2"/>
    <x v="1"/>
    <x v="1"/>
    <x v="2"/>
  </r>
  <r>
    <x v="1"/>
    <x v="1"/>
    <x v="1"/>
    <x v="2"/>
  </r>
  <r>
    <x v="1"/>
    <x v="1"/>
    <x v="1"/>
    <x v="2"/>
  </r>
  <r>
    <x v="2"/>
    <x v="1"/>
    <x v="1"/>
    <x v="0"/>
  </r>
  <r>
    <x v="0"/>
    <x v="2"/>
    <x v="0"/>
    <x v="2"/>
  </r>
  <r>
    <x v="0"/>
    <x v="2"/>
    <x v="0"/>
    <x v="2"/>
  </r>
  <r>
    <x v="2"/>
    <x v="2"/>
    <x v="1"/>
    <x v="2"/>
  </r>
  <r>
    <x v="2"/>
    <x v="1"/>
    <x v="1"/>
    <x v="2"/>
  </r>
  <r>
    <x v="1"/>
    <x v="0"/>
    <x v="1"/>
    <x v="2"/>
  </r>
  <r>
    <x v="0"/>
    <x v="1"/>
    <x v="0"/>
    <x v="2"/>
  </r>
  <r>
    <x v="1"/>
    <x v="0"/>
    <x v="1"/>
    <x v="2"/>
  </r>
  <r>
    <x v="0"/>
    <x v="1"/>
    <x v="0"/>
    <x v="2"/>
  </r>
  <r>
    <x v="0"/>
    <x v="1"/>
    <x v="1"/>
    <x v="2"/>
  </r>
  <r>
    <x v="1"/>
    <x v="1"/>
    <x v="0"/>
    <x v="0"/>
  </r>
  <r>
    <x v="0"/>
    <x v="0"/>
    <x v="1"/>
    <x v="2"/>
  </r>
  <r>
    <x v="2"/>
    <x v="0"/>
    <x v="1"/>
    <x v="2"/>
  </r>
  <r>
    <x v="2"/>
    <x v="1"/>
    <x v="1"/>
    <x v="2"/>
  </r>
  <r>
    <x v="2"/>
    <x v="0"/>
    <x v="1"/>
    <x v="2"/>
  </r>
  <r>
    <x v="2"/>
    <x v="0"/>
    <x v="1"/>
    <x v="2"/>
  </r>
  <r>
    <x v="0"/>
    <x v="1"/>
    <x v="1"/>
    <x v="2"/>
  </r>
  <r>
    <x v="1"/>
    <x v="1"/>
    <x v="1"/>
    <x v="0"/>
  </r>
  <r>
    <x v="0"/>
    <x v="2"/>
    <x v="0"/>
    <x v="1"/>
  </r>
  <r>
    <x v="0"/>
    <x v="0"/>
    <x v="0"/>
    <x v="2"/>
  </r>
  <r>
    <x v="2"/>
    <x v="0"/>
    <x v="1"/>
    <x v="2"/>
  </r>
  <r>
    <x v="2"/>
    <x v="2"/>
    <x v="1"/>
    <x v="2"/>
  </r>
  <r>
    <x v="2"/>
    <x v="1"/>
    <x v="1"/>
    <x v="2"/>
  </r>
  <r>
    <x v="2"/>
    <x v="2"/>
    <x v="0"/>
    <x v="2"/>
  </r>
  <r>
    <x v="0"/>
    <x v="1"/>
    <x v="1"/>
    <x v="2"/>
  </r>
  <r>
    <x v="1"/>
    <x v="1"/>
    <x v="1"/>
    <x v="2"/>
  </r>
  <r>
    <x v="2"/>
    <x v="0"/>
    <x v="1"/>
    <x v="2"/>
  </r>
  <r>
    <x v="2"/>
    <x v="1"/>
    <x v="1"/>
    <x v="2"/>
  </r>
  <r>
    <x v="1"/>
    <x v="1"/>
    <x v="1"/>
    <x v="0"/>
  </r>
  <r>
    <x v="0"/>
    <x v="0"/>
    <x v="0"/>
    <x v="1"/>
  </r>
  <r>
    <x v="2"/>
    <x v="0"/>
    <x v="1"/>
    <x v="1"/>
  </r>
  <r>
    <x v="2"/>
    <x v="0"/>
    <x v="1"/>
    <x v="2"/>
  </r>
  <r>
    <x v="1"/>
    <x v="1"/>
    <x v="0"/>
    <x v="2"/>
  </r>
  <r>
    <x v="2"/>
    <x v="1"/>
    <x v="1"/>
    <x v="2"/>
  </r>
  <r>
    <x v="0"/>
    <x v="1"/>
    <x v="1"/>
    <x v="2"/>
  </r>
  <r>
    <x v="2"/>
    <x v="0"/>
    <x v="1"/>
    <x v="2"/>
  </r>
  <r>
    <x v="1"/>
    <x v="1"/>
    <x v="2"/>
    <x v="2"/>
  </r>
  <r>
    <x v="1"/>
    <x v="2"/>
    <x v="1"/>
    <x v="2"/>
  </r>
  <r>
    <x v="1"/>
    <x v="1"/>
    <x v="1"/>
    <x v="2"/>
  </r>
  <r>
    <x v="2"/>
    <x v="0"/>
    <x v="1"/>
    <x v="2"/>
  </r>
  <r>
    <x v="1"/>
    <x v="0"/>
    <x v="1"/>
    <x v="2"/>
  </r>
  <r>
    <x v="2"/>
    <x v="1"/>
    <x v="0"/>
    <x v="2"/>
  </r>
  <r>
    <x v="0"/>
    <x v="1"/>
    <x v="1"/>
    <x v="2"/>
  </r>
  <r>
    <x v="1"/>
    <x v="0"/>
    <x v="1"/>
    <x v="2"/>
  </r>
  <r>
    <x v="0"/>
    <x v="0"/>
    <x v="1"/>
    <x v="1"/>
  </r>
  <r>
    <x v="0"/>
    <x v="1"/>
    <x v="1"/>
    <x v="2"/>
  </r>
  <r>
    <x v="2"/>
    <x v="1"/>
    <x v="1"/>
    <x v="2"/>
  </r>
  <r>
    <x v="2"/>
    <x v="0"/>
    <x v="0"/>
    <x v="2"/>
  </r>
  <r>
    <x v="1"/>
    <x v="0"/>
    <x v="1"/>
    <x v="1"/>
  </r>
  <r>
    <x v="1"/>
    <x v="0"/>
    <x v="1"/>
    <x v="2"/>
  </r>
  <r>
    <x v="1"/>
    <x v="0"/>
    <x v="1"/>
    <x v="2"/>
  </r>
  <r>
    <x v="1"/>
    <x v="1"/>
    <x v="1"/>
    <x v="2"/>
  </r>
  <r>
    <x v="1"/>
    <x v="0"/>
    <x v="1"/>
    <x v="2"/>
  </r>
  <r>
    <x v="0"/>
    <x v="1"/>
    <x v="0"/>
    <x v="2"/>
  </r>
  <r>
    <x v="0"/>
    <x v="1"/>
    <x v="1"/>
    <x v="2"/>
  </r>
  <r>
    <x v="2"/>
    <x v="0"/>
    <x v="0"/>
    <x v="2"/>
  </r>
  <r>
    <x v="0"/>
    <x v="0"/>
    <x v="0"/>
    <x v="2"/>
  </r>
  <r>
    <x v="2"/>
    <x v="1"/>
    <x v="1"/>
    <x v="1"/>
  </r>
  <r>
    <x v="1"/>
    <x v="1"/>
    <x v="1"/>
    <x v="2"/>
  </r>
  <r>
    <x v="1"/>
    <x v="0"/>
    <x v="0"/>
    <x v="2"/>
  </r>
  <r>
    <x v="2"/>
    <x v="1"/>
    <x v="1"/>
    <x v="2"/>
  </r>
  <r>
    <x v="2"/>
    <x v="0"/>
    <x v="2"/>
    <x v="1"/>
  </r>
  <r>
    <x v="2"/>
    <x v="1"/>
    <x v="1"/>
    <x v="2"/>
  </r>
  <r>
    <x v="2"/>
    <x v="2"/>
    <x v="1"/>
    <x v="2"/>
  </r>
  <r>
    <x v="1"/>
    <x v="1"/>
    <x v="0"/>
    <x v="2"/>
  </r>
  <r>
    <x v="1"/>
    <x v="2"/>
    <x v="1"/>
    <x v="2"/>
  </r>
  <r>
    <x v="2"/>
    <x v="1"/>
    <x v="1"/>
    <x v="2"/>
  </r>
  <r>
    <x v="2"/>
    <x v="0"/>
    <x v="1"/>
    <x v="2"/>
  </r>
  <r>
    <x v="1"/>
    <x v="1"/>
    <x v="1"/>
    <x v="2"/>
  </r>
  <r>
    <x v="2"/>
    <x v="0"/>
    <x v="1"/>
    <x v="2"/>
  </r>
  <r>
    <x v="2"/>
    <x v="1"/>
    <x v="1"/>
    <x v="2"/>
  </r>
  <r>
    <x v="2"/>
    <x v="0"/>
    <x v="1"/>
    <x v="2"/>
  </r>
  <r>
    <x v="1"/>
    <x v="0"/>
    <x v="1"/>
    <x v="2"/>
  </r>
  <r>
    <x v="0"/>
    <x v="0"/>
    <x v="0"/>
    <x v="2"/>
  </r>
  <r>
    <x v="0"/>
    <x v="0"/>
    <x v="2"/>
    <x v="2"/>
  </r>
  <r>
    <x v="0"/>
    <x v="0"/>
    <x v="1"/>
    <x v="2"/>
  </r>
  <r>
    <x v="2"/>
    <x v="0"/>
    <x v="1"/>
    <x v="2"/>
  </r>
  <r>
    <x v="2"/>
    <x v="1"/>
    <x v="1"/>
    <x v="2"/>
  </r>
  <r>
    <x v="0"/>
    <x v="1"/>
    <x v="1"/>
    <x v="2"/>
  </r>
  <r>
    <x v="2"/>
    <x v="0"/>
    <x v="1"/>
    <x v="2"/>
  </r>
  <r>
    <x v="2"/>
    <x v="0"/>
    <x v="1"/>
    <x v="2"/>
  </r>
  <r>
    <x v="1"/>
    <x v="0"/>
    <x v="1"/>
    <x v="2"/>
  </r>
  <r>
    <x v="1"/>
    <x v="2"/>
    <x v="0"/>
    <x v="2"/>
  </r>
  <r>
    <x v="1"/>
    <x v="1"/>
    <x v="1"/>
    <x v="2"/>
  </r>
  <r>
    <x v="2"/>
    <x v="0"/>
    <x v="2"/>
    <x v="2"/>
  </r>
  <r>
    <x v="2"/>
    <x v="0"/>
    <x v="1"/>
    <x v="2"/>
  </r>
  <r>
    <x v="2"/>
    <x v="0"/>
    <x v="1"/>
    <x v="1"/>
  </r>
  <r>
    <x v="1"/>
    <x v="1"/>
    <x v="0"/>
    <x v="2"/>
  </r>
  <r>
    <x v="1"/>
    <x v="1"/>
    <x v="1"/>
    <x v="2"/>
  </r>
  <r>
    <x v="0"/>
    <x v="1"/>
    <x v="0"/>
    <x v="2"/>
  </r>
  <r>
    <x v="1"/>
    <x v="0"/>
    <x v="1"/>
    <x v="2"/>
  </r>
  <r>
    <x v="1"/>
    <x v="0"/>
    <x v="1"/>
    <x v="2"/>
  </r>
  <r>
    <x v="2"/>
    <x v="1"/>
    <x v="1"/>
    <x v="2"/>
  </r>
  <r>
    <x v="2"/>
    <x v="0"/>
    <x v="1"/>
    <x v="0"/>
  </r>
  <r>
    <x v="1"/>
    <x v="0"/>
    <x v="0"/>
    <x v="2"/>
  </r>
  <r>
    <x v="2"/>
    <x v="1"/>
    <x v="1"/>
    <x v="2"/>
  </r>
  <r>
    <x v="1"/>
    <x v="1"/>
    <x v="1"/>
    <x v="2"/>
  </r>
  <r>
    <x v="2"/>
    <x v="2"/>
    <x v="1"/>
    <x v="2"/>
  </r>
  <r>
    <x v="1"/>
    <x v="0"/>
    <x v="0"/>
    <x v="2"/>
  </r>
  <r>
    <x v="1"/>
    <x v="1"/>
    <x v="0"/>
    <x v="2"/>
  </r>
  <r>
    <x v="2"/>
    <x v="1"/>
    <x v="1"/>
    <x v="2"/>
  </r>
  <r>
    <x v="0"/>
    <x v="0"/>
    <x v="1"/>
    <x v="2"/>
  </r>
  <r>
    <x v="1"/>
    <x v="1"/>
    <x v="0"/>
    <x v="2"/>
  </r>
  <r>
    <x v="2"/>
    <x v="1"/>
    <x v="1"/>
    <x v="2"/>
  </r>
  <r>
    <x v="0"/>
    <x v="0"/>
    <x v="0"/>
    <x v="2"/>
  </r>
  <r>
    <x v="0"/>
    <x v="1"/>
    <x v="2"/>
    <x v="2"/>
  </r>
  <r>
    <x v="1"/>
    <x v="0"/>
    <x v="1"/>
    <x v="2"/>
  </r>
  <r>
    <x v="1"/>
    <x v="0"/>
    <x v="1"/>
    <x v="2"/>
  </r>
  <r>
    <x v="2"/>
    <x v="1"/>
    <x v="1"/>
    <x v="2"/>
  </r>
  <r>
    <x v="1"/>
    <x v="1"/>
    <x v="1"/>
    <x v="2"/>
  </r>
  <r>
    <x v="2"/>
    <x v="0"/>
    <x v="1"/>
    <x v="2"/>
  </r>
  <r>
    <x v="2"/>
    <x v="0"/>
    <x v="1"/>
    <x v="2"/>
  </r>
  <r>
    <x v="2"/>
    <x v="0"/>
    <x v="1"/>
    <x v="2"/>
  </r>
  <r>
    <x v="0"/>
    <x v="0"/>
    <x v="0"/>
    <x v="1"/>
  </r>
  <r>
    <x v="2"/>
    <x v="1"/>
    <x v="1"/>
    <x v="2"/>
  </r>
  <r>
    <x v="2"/>
    <x v="1"/>
    <x v="1"/>
    <x v="1"/>
  </r>
  <r>
    <x v="1"/>
    <x v="2"/>
    <x v="1"/>
    <x v="2"/>
  </r>
  <r>
    <x v="0"/>
    <x v="2"/>
    <x v="1"/>
    <x v="2"/>
  </r>
  <r>
    <x v="2"/>
    <x v="0"/>
    <x v="1"/>
    <x v="2"/>
  </r>
  <r>
    <x v="2"/>
    <x v="1"/>
    <x v="1"/>
    <x v="2"/>
  </r>
  <r>
    <x v="2"/>
    <x v="2"/>
    <x v="0"/>
    <x v="2"/>
  </r>
  <r>
    <x v="1"/>
    <x v="0"/>
    <x v="1"/>
    <x v="2"/>
  </r>
  <r>
    <x v="1"/>
    <x v="1"/>
    <x v="2"/>
    <x v="2"/>
  </r>
  <r>
    <x v="2"/>
    <x v="0"/>
    <x v="0"/>
    <x v="2"/>
  </r>
  <r>
    <x v="0"/>
    <x v="1"/>
    <x v="2"/>
    <x v="2"/>
  </r>
  <r>
    <x v="1"/>
    <x v="1"/>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x v="0"/>
    <x v="0"/>
    <x v="0"/>
    <x v="0"/>
  </r>
  <r>
    <x v="1"/>
    <x v="1"/>
    <x v="1"/>
    <x v="1"/>
  </r>
  <r>
    <x v="0"/>
    <x v="1"/>
    <x v="2"/>
    <x v="2"/>
  </r>
  <r>
    <x v="1"/>
    <x v="0"/>
    <x v="1"/>
    <x v="0"/>
  </r>
  <r>
    <x v="2"/>
    <x v="0"/>
    <x v="1"/>
    <x v="0"/>
  </r>
  <r>
    <x v="2"/>
    <x v="0"/>
    <x v="1"/>
    <x v="0"/>
  </r>
  <r>
    <x v="1"/>
    <x v="0"/>
    <x v="1"/>
    <x v="0"/>
  </r>
  <r>
    <x v="2"/>
    <x v="1"/>
    <x v="1"/>
    <x v="0"/>
  </r>
  <r>
    <x v="1"/>
    <x v="1"/>
    <x v="1"/>
    <x v="1"/>
  </r>
  <r>
    <x v="1"/>
    <x v="0"/>
    <x v="0"/>
    <x v="0"/>
  </r>
  <r>
    <x v="1"/>
    <x v="0"/>
    <x v="0"/>
    <x v="0"/>
  </r>
  <r>
    <x v="2"/>
    <x v="1"/>
    <x v="1"/>
    <x v="0"/>
  </r>
  <r>
    <x v="1"/>
    <x v="0"/>
    <x v="1"/>
    <x v="1"/>
  </r>
  <r>
    <x v="1"/>
    <x v="2"/>
    <x v="1"/>
    <x v="0"/>
  </r>
  <r>
    <x v="1"/>
    <x v="0"/>
    <x v="0"/>
    <x v="2"/>
  </r>
  <r>
    <x v="1"/>
    <x v="0"/>
    <x v="0"/>
    <x v="1"/>
  </r>
  <r>
    <x v="1"/>
    <x v="1"/>
    <x v="1"/>
    <x v="1"/>
  </r>
  <r>
    <x v="1"/>
    <x v="1"/>
    <x v="1"/>
    <x v="1"/>
  </r>
  <r>
    <x v="2"/>
    <x v="0"/>
    <x v="1"/>
    <x v="0"/>
  </r>
  <r>
    <x v="2"/>
    <x v="1"/>
    <x v="1"/>
    <x v="0"/>
  </r>
  <r>
    <x v="2"/>
    <x v="0"/>
    <x v="1"/>
    <x v="0"/>
  </r>
  <r>
    <x v="0"/>
    <x v="1"/>
    <x v="0"/>
    <x v="0"/>
  </r>
  <r>
    <x v="2"/>
    <x v="0"/>
    <x v="1"/>
    <x v="2"/>
  </r>
  <r>
    <x v="2"/>
    <x v="0"/>
    <x v="0"/>
    <x v="0"/>
  </r>
  <r>
    <x v="1"/>
    <x v="0"/>
    <x v="1"/>
    <x v="2"/>
  </r>
  <r>
    <x v="2"/>
    <x v="2"/>
    <x v="1"/>
    <x v="1"/>
  </r>
  <r>
    <x v="1"/>
    <x v="0"/>
    <x v="2"/>
    <x v="0"/>
  </r>
  <r>
    <x v="1"/>
    <x v="1"/>
    <x v="1"/>
    <x v="0"/>
  </r>
  <r>
    <x v="0"/>
    <x v="1"/>
    <x v="1"/>
    <x v="1"/>
  </r>
  <r>
    <x v="2"/>
    <x v="0"/>
    <x v="1"/>
    <x v="0"/>
  </r>
  <r>
    <x v="1"/>
    <x v="1"/>
    <x v="1"/>
    <x v="2"/>
  </r>
  <r>
    <x v="1"/>
    <x v="2"/>
    <x v="1"/>
    <x v="0"/>
  </r>
  <r>
    <x v="1"/>
    <x v="1"/>
    <x v="1"/>
    <x v="1"/>
  </r>
  <r>
    <x v="2"/>
    <x v="1"/>
    <x v="1"/>
    <x v="0"/>
  </r>
  <r>
    <x v="1"/>
    <x v="2"/>
    <x v="1"/>
    <x v="2"/>
  </r>
  <r>
    <x v="1"/>
    <x v="1"/>
    <x v="1"/>
    <x v="1"/>
  </r>
  <r>
    <x v="2"/>
    <x v="0"/>
    <x v="1"/>
    <x v="0"/>
  </r>
  <r>
    <x v="0"/>
    <x v="2"/>
    <x v="1"/>
    <x v="0"/>
  </r>
  <r>
    <x v="0"/>
    <x v="0"/>
    <x v="1"/>
    <x v="0"/>
  </r>
  <r>
    <x v="2"/>
    <x v="1"/>
    <x v="0"/>
    <x v="1"/>
  </r>
  <r>
    <x v="1"/>
    <x v="0"/>
    <x v="1"/>
    <x v="0"/>
  </r>
  <r>
    <x v="2"/>
    <x v="0"/>
    <x v="1"/>
    <x v="0"/>
  </r>
  <r>
    <x v="2"/>
    <x v="1"/>
    <x v="1"/>
    <x v="0"/>
  </r>
  <r>
    <x v="1"/>
    <x v="1"/>
    <x v="1"/>
    <x v="0"/>
  </r>
  <r>
    <x v="1"/>
    <x v="0"/>
    <x v="1"/>
    <x v="2"/>
  </r>
  <r>
    <x v="2"/>
    <x v="2"/>
    <x v="1"/>
    <x v="0"/>
  </r>
  <r>
    <x v="0"/>
    <x v="2"/>
    <x v="1"/>
    <x v="1"/>
  </r>
  <r>
    <x v="2"/>
    <x v="0"/>
    <x v="1"/>
    <x v="1"/>
  </r>
  <r>
    <x v="1"/>
    <x v="0"/>
    <x v="1"/>
    <x v="0"/>
  </r>
  <r>
    <x v="2"/>
    <x v="1"/>
    <x v="1"/>
    <x v="0"/>
  </r>
  <r>
    <x v="1"/>
    <x v="0"/>
    <x v="0"/>
    <x v="2"/>
  </r>
  <r>
    <x v="2"/>
    <x v="1"/>
    <x v="1"/>
    <x v="0"/>
  </r>
  <r>
    <x v="1"/>
    <x v="1"/>
    <x v="0"/>
    <x v="1"/>
  </r>
  <r>
    <x v="1"/>
    <x v="1"/>
    <x v="0"/>
    <x v="1"/>
  </r>
  <r>
    <x v="1"/>
    <x v="1"/>
    <x v="0"/>
    <x v="1"/>
  </r>
  <r>
    <x v="2"/>
    <x v="1"/>
    <x v="0"/>
    <x v="2"/>
  </r>
  <r>
    <x v="2"/>
    <x v="1"/>
    <x v="1"/>
    <x v="2"/>
  </r>
  <r>
    <x v="2"/>
    <x v="0"/>
    <x v="1"/>
    <x v="0"/>
  </r>
  <r>
    <x v="2"/>
    <x v="0"/>
    <x v="1"/>
    <x v="1"/>
  </r>
  <r>
    <x v="1"/>
    <x v="1"/>
    <x v="1"/>
    <x v="1"/>
  </r>
  <r>
    <x v="2"/>
    <x v="1"/>
    <x v="1"/>
    <x v="0"/>
  </r>
  <r>
    <x v="2"/>
    <x v="1"/>
    <x v="1"/>
    <x v="1"/>
  </r>
  <r>
    <x v="1"/>
    <x v="1"/>
    <x v="1"/>
    <x v="2"/>
  </r>
  <r>
    <x v="1"/>
    <x v="1"/>
    <x v="0"/>
    <x v="0"/>
  </r>
  <r>
    <x v="2"/>
    <x v="0"/>
    <x v="1"/>
    <x v="0"/>
  </r>
  <r>
    <x v="2"/>
    <x v="1"/>
    <x v="1"/>
    <x v="0"/>
  </r>
  <r>
    <x v="1"/>
    <x v="2"/>
    <x v="1"/>
    <x v="2"/>
  </r>
  <r>
    <x v="2"/>
    <x v="0"/>
    <x v="2"/>
    <x v="0"/>
  </r>
  <r>
    <x v="1"/>
    <x v="1"/>
    <x v="1"/>
    <x v="0"/>
  </r>
  <r>
    <x v="1"/>
    <x v="0"/>
    <x v="1"/>
    <x v="0"/>
  </r>
  <r>
    <x v="2"/>
    <x v="1"/>
    <x v="2"/>
    <x v="2"/>
  </r>
  <r>
    <x v="2"/>
    <x v="0"/>
    <x v="1"/>
    <x v="2"/>
  </r>
  <r>
    <x v="1"/>
    <x v="0"/>
    <x v="1"/>
    <x v="1"/>
  </r>
  <r>
    <x v="2"/>
    <x v="0"/>
    <x v="1"/>
    <x v="2"/>
  </r>
  <r>
    <x v="2"/>
    <x v="0"/>
    <x v="1"/>
    <x v="2"/>
  </r>
  <r>
    <x v="2"/>
    <x v="2"/>
    <x v="1"/>
    <x v="2"/>
  </r>
  <r>
    <x v="2"/>
    <x v="0"/>
    <x v="0"/>
    <x v="0"/>
  </r>
  <r>
    <x v="1"/>
    <x v="1"/>
    <x v="1"/>
    <x v="0"/>
  </r>
  <r>
    <x v="1"/>
    <x v="2"/>
    <x v="0"/>
    <x v="1"/>
  </r>
  <r>
    <x v="2"/>
    <x v="1"/>
    <x v="0"/>
    <x v="0"/>
  </r>
  <r>
    <x v="2"/>
    <x v="1"/>
    <x v="0"/>
    <x v="1"/>
  </r>
  <r>
    <x v="2"/>
    <x v="1"/>
    <x v="1"/>
    <x v="0"/>
  </r>
  <r>
    <x v="2"/>
    <x v="1"/>
    <x v="1"/>
    <x v="1"/>
  </r>
  <r>
    <x v="2"/>
    <x v="1"/>
    <x v="1"/>
    <x v="1"/>
  </r>
  <r>
    <x v="2"/>
    <x v="1"/>
    <x v="0"/>
    <x v="2"/>
  </r>
  <r>
    <x v="2"/>
    <x v="1"/>
    <x v="1"/>
    <x v="2"/>
  </r>
  <r>
    <x v="1"/>
    <x v="0"/>
    <x v="1"/>
    <x v="1"/>
  </r>
  <r>
    <x v="2"/>
    <x v="1"/>
    <x v="1"/>
    <x v="1"/>
  </r>
  <r>
    <x v="2"/>
    <x v="1"/>
    <x v="1"/>
    <x v="0"/>
  </r>
  <r>
    <x v="0"/>
    <x v="2"/>
    <x v="0"/>
    <x v="2"/>
  </r>
  <r>
    <x v="1"/>
    <x v="1"/>
    <x v="1"/>
    <x v="2"/>
  </r>
  <r>
    <x v="2"/>
    <x v="1"/>
    <x v="1"/>
    <x v="2"/>
  </r>
  <r>
    <x v="2"/>
    <x v="1"/>
    <x v="1"/>
    <x v="2"/>
  </r>
  <r>
    <x v="2"/>
    <x v="1"/>
    <x v="1"/>
    <x v="2"/>
  </r>
  <r>
    <x v="2"/>
    <x v="0"/>
    <x v="1"/>
    <x v="2"/>
  </r>
  <r>
    <x v="0"/>
    <x v="0"/>
    <x v="0"/>
    <x v="2"/>
  </r>
  <r>
    <x v="2"/>
    <x v="1"/>
    <x v="1"/>
    <x v="2"/>
  </r>
  <r>
    <x v="0"/>
    <x v="0"/>
    <x v="0"/>
    <x v="1"/>
  </r>
  <r>
    <x v="2"/>
    <x v="1"/>
    <x v="1"/>
    <x v="1"/>
  </r>
  <r>
    <x v="2"/>
    <x v="0"/>
    <x v="1"/>
    <x v="0"/>
  </r>
  <r>
    <x v="2"/>
    <x v="0"/>
    <x v="2"/>
    <x v="0"/>
  </r>
  <r>
    <x v="1"/>
    <x v="2"/>
    <x v="1"/>
    <x v="1"/>
  </r>
  <r>
    <x v="1"/>
    <x v="1"/>
    <x v="2"/>
    <x v="0"/>
  </r>
  <r>
    <x v="1"/>
    <x v="2"/>
    <x v="1"/>
    <x v="2"/>
  </r>
  <r>
    <x v="2"/>
    <x v="0"/>
    <x v="1"/>
    <x v="0"/>
  </r>
  <r>
    <x v="2"/>
    <x v="1"/>
    <x v="1"/>
    <x v="0"/>
  </r>
  <r>
    <x v="0"/>
    <x v="1"/>
    <x v="1"/>
    <x v="2"/>
  </r>
  <r>
    <x v="1"/>
    <x v="0"/>
    <x v="1"/>
    <x v="0"/>
  </r>
  <r>
    <x v="2"/>
    <x v="1"/>
    <x v="0"/>
    <x v="2"/>
  </r>
  <r>
    <x v="2"/>
    <x v="2"/>
    <x v="1"/>
    <x v="0"/>
  </r>
  <r>
    <x v="2"/>
    <x v="2"/>
    <x v="0"/>
    <x v="1"/>
  </r>
  <r>
    <x v="2"/>
    <x v="0"/>
    <x v="1"/>
    <x v="1"/>
  </r>
  <r>
    <x v="1"/>
    <x v="1"/>
    <x v="1"/>
    <x v="0"/>
  </r>
  <r>
    <x v="1"/>
    <x v="0"/>
    <x v="1"/>
    <x v="1"/>
  </r>
  <r>
    <x v="1"/>
    <x v="2"/>
    <x v="1"/>
    <x v="0"/>
  </r>
  <r>
    <x v="2"/>
    <x v="0"/>
    <x v="1"/>
    <x v="0"/>
  </r>
  <r>
    <x v="0"/>
    <x v="0"/>
    <x v="1"/>
    <x v="0"/>
  </r>
  <r>
    <x v="0"/>
    <x v="1"/>
    <x v="0"/>
    <x v="1"/>
  </r>
  <r>
    <x v="2"/>
    <x v="0"/>
    <x v="1"/>
    <x v="1"/>
  </r>
  <r>
    <x v="1"/>
    <x v="0"/>
    <x v="1"/>
    <x v="2"/>
  </r>
  <r>
    <x v="0"/>
    <x v="0"/>
    <x v="0"/>
    <x v="0"/>
  </r>
  <r>
    <x v="1"/>
    <x v="0"/>
    <x v="1"/>
    <x v="0"/>
  </r>
  <r>
    <x v="1"/>
    <x v="1"/>
    <x v="1"/>
    <x v="1"/>
  </r>
  <r>
    <x v="2"/>
    <x v="1"/>
    <x v="1"/>
    <x v="2"/>
  </r>
  <r>
    <x v="2"/>
    <x v="1"/>
    <x v="1"/>
    <x v="1"/>
  </r>
  <r>
    <x v="0"/>
    <x v="1"/>
    <x v="1"/>
    <x v="2"/>
  </r>
  <r>
    <x v="0"/>
    <x v="1"/>
    <x v="0"/>
    <x v="1"/>
  </r>
  <r>
    <x v="1"/>
    <x v="0"/>
    <x v="1"/>
    <x v="2"/>
  </r>
  <r>
    <x v="1"/>
    <x v="1"/>
    <x v="1"/>
    <x v="2"/>
  </r>
  <r>
    <x v="2"/>
    <x v="0"/>
    <x v="1"/>
    <x v="2"/>
  </r>
  <r>
    <x v="1"/>
    <x v="0"/>
    <x v="0"/>
    <x v="1"/>
  </r>
  <r>
    <x v="1"/>
    <x v="2"/>
    <x v="1"/>
    <x v="2"/>
  </r>
  <r>
    <x v="0"/>
    <x v="0"/>
    <x v="1"/>
    <x v="0"/>
  </r>
  <r>
    <x v="2"/>
    <x v="0"/>
    <x v="1"/>
    <x v="0"/>
  </r>
  <r>
    <x v="1"/>
    <x v="1"/>
    <x v="1"/>
    <x v="0"/>
  </r>
  <r>
    <x v="1"/>
    <x v="0"/>
    <x v="0"/>
    <x v="0"/>
  </r>
  <r>
    <x v="1"/>
    <x v="0"/>
    <x v="1"/>
    <x v="1"/>
  </r>
  <r>
    <x v="1"/>
    <x v="0"/>
    <x v="1"/>
    <x v="2"/>
  </r>
  <r>
    <x v="2"/>
    <x v="2"/>
    <x v="1"/>
    <x v="2"/>
  </r>
  <r>
    <x v="2"/>
    <x v="0"/>
    <x v="0"/>
    <x v="1"/>
  </r>
  <r>
    <x v="2"/>
    <x v="1"/>
    <x v="1"/>
    <x v="0"/>
  </r>
  <r>
    <x v="2"/>
    <x v="2"/>
    <x v="1"/>
    <x v="0"/>
  </r>
  <r>
    <x v="0"/>
    <x v="0"/>
    <x v="0"/>
    <x v="2"/>
  </r>
  <r>
    <x v="1"/>
    <x v="0"/>
    <x v="1"/>
    <x v="0"/>
  </r>
  <r>
    <x v="1"/>
    <x v="1"/>
    <x v="1"/>
    <x v="0"/>
  </r>
  <r>
    <x v="1"/>
    <x v="1"/>
    <x v="1"/>
    <x v="2"/>
  </r>
  <r>
    <x v="1"/>
    <x v="0"/>
    <x v="0"/>
    <x v="1"/>
  </r>
  <r>
    <x v="2"/>
    <x v="2"/>
    <x v="1"/>
    <x v="2"/>
  </r>
  <r>
    <x v="2"/>
    <x v="1"/>
    <x v="1"/>
    <x v="0"/>
  </r>
  <r>
    <x v="0"/>
    <x v="1"/>
    <x v="2"/>
    <x v="2"/>
  </r>
  <r>
    <x v="1"/>
    <x v="0"/>
    <x v="0"/>
    <x v="0"/>
  </r>
  <r>
    <x v="1"/>
    <x v="0"/>
    <x v="1"/>
    <x v="0"/>
  </r>
  <r>
    <x v="2"/>
    <x v="1"/>
    <x v="1"/>
    <x v="0"/>
  </r>
  <r>
    <x v="1"/>
    <x v="2"/>
    <x v="1"/>
    <x v="0"/>
  </r>
  <r>
    <x v="2"/>
    <x v="0"/>
    <x v="1"/>
    <x v="0"/>
  </r>
  <r>
    <x v="2"/>
    <x v="2"/>
    <x v="0"/>
    <x v="2"/>
  </r>
  <r>
    <x v="2"/>
    <x v="0"/>
    <x v="1"/>
    <x v="0"/>
  </r>
  <r>
    <x v="2"/>
    <x v="0"/>
    <x v="1"/>
    <x v="0"/>
  </r>
  <r>
    <x v="1"/>
    <x v="0"/>
    <x v="0"/>
    <x v="0"/>
  </r>
  <r>
    <x v="1"/>
    <x v="1"/>
    <x v="1"/>
    <x v="0"/>
  </r>
  <r>
    <x v="1"/>
    <x v="0"/>
    <x v="1"/>
    <x v="1"/>
  </r>
  <r>
    <x v="2"/>
    <x v="0"/>
    <x v="1"/>
    <x v="2"/>
  </r>
  <r>
    <x v="1"/>
    <x v="1"/>
    <x v="1"/>
    <x v="0"/>
  </r>
  <r>
    <x v="1"/>
    <x v="2"/>
    <x v="1"/>
    <x v="0"/>
  </r>
  <r>
    <x v="2"/>
    <x v="0"/>
    <x v="1"/>
    <x v="0"/>
  </r>
  <r>
    <x v="2"/>
    <x v="0"/>
    <x v="1"/>
    <x v="2"/>
  </r>
  <r>
    <x v="2"/>
    <x v="1"/>
    <x v="1"/>
    <x v="0"/>
  </r>
  <r>
    <x v="1"/>
    <x v="1"/>
    <x v="1"/>
    <x v="0"/>
  </r>
  <r>
    <x v="1"/>
    <x v="0"/>
    <x v="1"/>
    <x v="1"/>
  </r>
  <r>
    <x v="2"/>
    <x v="0"/>
    <x v="1"/>
    <x v="2"/>
  </r>
  <r>
    <x v="1"/>
    <x v="2"/>
    <x v="1"/>
    <x v="1"/>
  </r>
  <r>
    <x v="2"/>
    <x v="2"/>
    <x v="1"/>
    <x v="2"/>
  </r>
  <r>
    <x v="2"/>
    <x v="0"/>
    <x v="1"/>
    <x v="2"/>
  </r>
  <r>
    <x v="0"/>
    <x v="1"/>
    <x v="1"/>
    <x v="0"/>
  </r>
  <r>
    <x v="1"/>
    <x v="1"/>
    <x v="1"/>
    <x v="1"/>
  </r>
  <r>
    <x v="1"/>
    <x v="2"/>
    <x v="1"/>
    <x v="0"/>
  </r>
  <r>
    <x v="0"/>
    <x v="0"/>
    <x v="0"/>
    <x v="1"/>
  </r>
  <r>
    <x v="2"/>
    <x v="0"/>
    <x v="1"/>
    <x v="1"/>
  </r>
  <r>
    <x v="1"/>
    <x v="0"/>
    <x v="0"/>
    <x v="0"/>
  </r>
  <r>
    <x v="1"/>
    <x v="0"/>
    <x v="1"/>
    <x v="2"/>
  </r>
  <r>
    <x v="1"/>
    <x v="0"/>
    <x v="1"/>
    <x v="2"/>
  </r>
  <r>
    <x v="1"/>
    <x v="0"/>
    <x v="0"/>
    <x v="1"/>
  </r>
  <r>
    <x v="2"/>
    <x v="1"/>
    <x v="1"/>
    <x v="2"/>
  </r>
  <r>
    <x v="2"/>
    <x v="0"/>
    <x v="1"/>
    <x v="0"/>
  </r>
  <r>
    <x v="2"/>
    <x v="1"/>
    <x v="0"/>
    <x v="1"/>
  </r>
  <r>
    <x v="1"/>
    <x v="0"/>
    <x v="1"/>
    <x v="2"/>
  </r>
  <r>
    <x v="2"/>
    <x v="0"/>
    <x v="1"/>
    <x v="1"/>
  </r>
  <r>
    <x v="0"/>
    <x v="1"/>
    <x v="0"/>
    <x v="2"/>
  </r>
  <r>
    <x v="0"/>
    <x v="2"/>
    <x v="1"/>
    <x v="2"/>
  </r>
  <r>
    <x v="1"/>
    <x v="2"/>
    <x v="1"/>
    <x v="2"/>
  </r>
  <r>
    <x v="2"/>
    <x v="1"/>
    <x v="1"/>
    <x v="2"/>
  </r>
  <r>
    <x v="1"/>
    <x v="0"/>
    <x v="1"/>
    <x v="2"/>
  </r>
  <r>
    <x v="2"/>
    <x v="1"/>
    <x v="1"/>
    <x v="1"/>
  </r>
  <r>
    <x v="2"/>
    <x v="0"/>
    <x v="1"/>
    <x v="2"/>
  </r>
  <r>
    <x v="2"/>
    <x v="0"/>
    <x v="1"/>
    <x v="0"/>
  </r>
  <r>
    <x v="0"/>
    <x v="2"/>
    <x v="0"/>
    <x v="2"/>
  </r>
  <r>
    <x v="2"/>
    <x v="1"/>
    <x v="1"/>
    <x v="2"/>
  </r>
  <r>
    <x v="2"/>
    <x v="1"/>
    <x v="1"/>
    <x v="1"/>
  </r>
  <r>
    <x v="2"/>
    <x v="0"/>
    <x v="1"/>
    <x v="1"/>
  </r>
  <r>
    <x v="1"/>
    <x v="0"/>
    <x v="1"/>
    <x v="1"/>
  </r>
  <r>
    <x v="2"/>
    <x v="0"/>
    <x v="0"/>
    <x v="2"/>
  </r>
  <r>
    <x v="1"/>
    <x v="0"/>
    <x v="1"/>
    <x v="1"/>
  </r>
  <r>
    <x v="0"/>
    <x v="2"/>
    <x v="1"/>
    <x v="0"/>
  </r>
  <r>
    <x v="2"/>
    <x v="1"/>
    <x v="1"/>
    <x v="2"/>
  </r>
  <r>
    <x v="2"/>
    <x v="1"/>
    <x v="1"/>
    <x v="2"/>
  </r>
  <r>
    <x v="2"/>
    <x v="1"/>
    <x v="1"/>
    <x v="2"/>
  </r>
  <r>
    <x v="2"/>
    <x v="2"/>
    <x v="1"/>
    <x v="2"/>
  </r>
  <r>
    <x v="1"/>
    <x v="1"/>
    <x v="1"/>
    <x v="1"/>
  </r>
  <r>
    <x v="0"/>
    <x v="0"/>
    <x v="1"/>
    <x v="0"/>
  </r>
  <r>
    <x v="2"/>
    <x v="0"/>
    <x v="1"/>
    <x v="1"/>
  </r>
  <r>
    <x v="0"/>
    <x v="0"/>
    <x v="2"/>
    <x v="1"/>
  </r>
  <r>
    <x v="0"/>
    <x v="2"/>
    <x v="1"/>
    <x v="0"/>
  </r>
  <r>
    <x v="1"/>
    <x v="0"/>
    <x v="1"/>
    <x v="0"/>
  </r>
  <r>
    <x v="0"/>
    <x v="2"/>
    <x v="1"/>
    <x v="0"/>
  </r>
  <r>
    <x v="1"/>
    <x v="0"/>
    <x v="1"/>
    <x v="0"/>
  </r>
  <r>
    <x v="2"/>
    <x v="2"/>
    <x v="1"/>
    <x v="1"/>
  </r>
  <r>
    <x v="2"/>
    <x v="1"/>
    <x v="1"/>
    <x v="2"/>
  </r>
  <r>
    <x v="2"/>
    <x v="1"/>
    <x v="1"/>
    <x v="0"/>
  </r>
  <r>
    <x v="1"/>
    <x v="1"/>
    <x v="1"/>
    <x v="2"/>
  </r>
  <r>
    <x v="2"/>
    <x v="0"/>
    <x v="2"/>
    <x v="1"/>
  </r>
  <r>
    <x v="0"/>
    <x v="1"/>
    <x v="1"/>
    <x v="1"/>
  </r>
  <r>
    <x v="1"/>
    <x v="1"/>
    <x v="1"/>
    <x v="0"/>
  </r>
  <r>
    <x v="2"/>
    <x v="1"/>
    <x v="1"/>
    <x v="2"/>
  </r>
  <r>
    <x v="1"/>
    <x v="0"/>
    <x v="1"/>
    <x v="1"/>
  </r>
  <r>
    <x v="2"/>
    <x v="0"/>
    <x v="1"/>
    <x v="2"/>
  </r>
  <r>
    <x v="1"/>
    <x v="0"/>
    <x v="0"/>
    <x v="1"/>
  </r>
  <r>
    <x v="2"/>
    <x v="0"/>
    <x v="1"/>
    <x v="0"/>
  </r>
  <r>
    <x v="2"/>
    <x v="0"/>
    <x v="1"/>
    <x v="1"/>
  </r>
  <r>
    <x v="0"/>
    <x v="0"/>
    <x v="2"/>
    <x v="1"/>
  </r>
  <r>
    <x v="1"/>
    <x v="1"/>
    <x v="0"/>
    <x v="2"/>
  </r>
  <r>
    <x v="2"/>
    <x v="1"/>
    <x v="1"/>
    <x v="1"/>
  </r>
  <r>
    <x v="0"/>
    <x v="0"/>
    <x v="1"/>
    <x v="2"/>
  </r>
  <r>
    <x v="0"/>
    <x v="0"/>
    <x v="0"/>
    <x v="2"/>
  </r>
  <r>
    <x v="1"/>
    <x v="0"/>
    <x v="1"/>
    <x v="2"/>
  </r>
  <r>
    <x v="1"/>
    <x v="1"/>
    <x v="1"/>
    <x v="0"/>
  </r>
  <r>
    <x v="1"/>
    <x v="0"/>
    <x v="0"/>
    <x v="0"/>
  </r>
  <r>
    <x v="2"/>
    <x v="1"/>
    <x v="1"/>
    <x v="2"/>
  </r>
  <r>
    <x v="1"/>
    <x v="1"/>
    <x v="1"/>
    <x v="1"/>
  </r>
  <r>
    <x v="1"/>
    <x v="0"/>
    <x v="0"/>
    <x v="1"/>
  </r>
  <r>
    <x v="1"/>
    <x v="1"/>
    <x v="1"/>
    <x v="2"/>
  </r>
  <r>
    <x v="0"/>
    <x v="0"/>
    <x v="0"/>
    <x v="0"/>
  </r>
  <r>
    <x v="1"/>
    <x v="0"/>
    <x v="1"/>
    <x v="1"/>
  </r>
  <r>
    <x v="2"/>
    <x v="0"/>
    <x v="1"/>
    <x v="2"/>
  </r>
  <r>
    <x v="2"/>
    <x v="2"/>
    <x v="1"/>
    <x v="1"/>
  </r>
  <r>
    <x v="0"/>
    <x v="2"/>
    <x v="1"/>
    <x v="1"/>
  </r>
  <r>
    <x v="2"/>
    <x v="2"/>
    <x v="2"/>
    <x v="0"/>
  </r>
  <r>
    <x v="2"/>
    <x v="0"/>
    <x v="2"/>
    <x v="2"/>
  </r>
  <r>
    <x v="0"/>
    <x v="0"/>
    <x v="0"/>
    <x v="0"/>
  </r>
  <r>
    <x v="2"/>
    <x v="0"/>
    <x v="1"/>
    <x v="0"/>
  </r>
  <r>
    <x v="2"/>
    <x v="1"/>
    <x v="1"/>
    <x v="1"/>
  </r>
  <r>
    <x v="0"/>
    <x v="1"/>
    <x v="0"/>
    <x v="1"/>
  </r>
  <r>
    <x v="1"/>
    <x v="0"/>
    <x v="1"/>
    <x v="2"/>
  </r>
  <r>
    <x v="2"/>
    <x v="0"/>
    <x v="0"/>
    <x v="1"/>
  </r>
  <r>
    <x v="2"/>
    <x v="2"/>
    <x v="0"/>
    <x v="1"/>
  </r>
  <r>
    <x v="2"/>
    <x v="2"/>
    <x v="1"/>
    <x v="1"/>
  </r>
  <r>
    <x v="1"/>
    <x v="1"/>
    <x v="1"/>
    <x v="0"/>
  </r>
  <r>
    <x v="2"/>
    <x v="1"/>
    <x v="1"/>
    <x v="1"/>
  </r>
  <r>
    <x v="1"/>
    <x v="0"/>
    <x v="0"/>
    <x v="1"/>
  </r>
  <r>
    <x v="2"/>
    <x v="1"/>
    <x v="1"/>
    <x v="2"/>
  </r>
  <r>
    <x v="1"/>
    <x v="1"/>
    <x v="1"/>
    <x v="0"/>
  </r>
  <r>
    <x v="1"/>
    <x v="0"/>
    <x v="1"/>
    <x v="2"/>
  </r>
  <r>
    <x v="2"/>
    <x v="1"/>
    <x v="1"/>
    <x v="0"/>
  </r>
  <r>
    <x v="2"/>
    <x v="1"/>
    <x v="1"/>
    <x v="0"/>
  </r>
  <r>
    <x v="0"/>
    <x v="1"/>
    <x v="1"/>
    <x v="2"/>
  </r>
  <r>
    <x v="2"/>
    <x v="1"/>
    <x v="1"/>
    <x v="0"/>
  </r>
  <r>
    <x v="2"/>
    <x v="2"/>
    <x v="1"/>
    <x v="2"/>
  </r>
  <r>
    <x v="2"/>
    <x v="0"/>
    <x v="1"/>
    <x v="0"/>
  </r>
  <r>
    <x v="1"/>
    <x v="2"/>
    <x v="2"/>
    <x v="1"/>
  </r>
  <r>
    <x v="1"/>
    <x v="1"/>
    <x v="0"/>
    <x v="0"/>
  </r>
  <r>
    <x v="2"/>
    <x v="1"/>
    <x v="0"/>
    <x v="1"/>
  </r>
  <r>
    <x v="2"/>
    <x v="2"/>
    <x v="2"/>
    <x v="0"/>
  </r>
  <r>
    <x v="2"/>
    <x v="0"/>
    <x v="1"/>
    <x v="2"/>
  </r>
  <r>
    <x v="1"/>
    <x v="0"/>
    <x v="1"/>
    <x v="0"/>
  </r>
  <r>
    <x v="0"/>
    <x v="0"/>
    <x v="1"/>
    <x v="1"/>
  </r>
  <r>
    <x v="2"/>
    <x v="1"/>
    <x v="2"/>
    <x v="2"/>
  </r>
  <r>
    <x v="2"/>
    <x v="0"/>
    <x v="1"/>
    <x v="2"/>
  </r>
  <r>
    <x v="1"/>
    <x v="2"/>
    <x v="1"/>
    <x v="2"/>
  </r>
  <r>
    <x v="1"/>
    <x v="0"/>
    <x v="1"/>
    <x v="2"/>
  </r>
  <r>
    <x v="2"/>
    <x v="1"/>
    <x v="1"/>
    <x v="2"/>
  </r>
  <r>
    <x v="0"/>
    <x v="1"/>
    <x v="1"/>
    <x v="1"/>
  </r>
  <r>
    <x v="1"/>
    <x v="2"/>
    <x v="1"/>
    <x v="1"/>
  </r>
  <r>
    <x v="2"/>
    <x v="2"/>
    <x v="1"/>
    <x v="2"/>
  </r>
  <r>
    <x v="1"/>
    <x v="2"/>
    <x v="2"/>
    <x v="2"/>
  </r>
  <r>
    <x v="2"/>
    <x v="1"/>
    <x v="1"/>
    <x v="0"/>
  </r>
  <r>
    <x v="2"/>
    <x v="1"/>
    <x v="1"/>
    <x v="0"/>
  </r>
  <r>
    <x v="2"/>
    <x v="1"/>
    <x v="2"/>
    <x v="2"/>
  </r>
  <r>
    <x v="2"/>
    <x v="0"/>
    <x v="1"/>
    <x v="2"/>
  </r>
  <r>
    <x v="1"/>
    <x v="0"/>
    <x v="2"/>
    <x v="2"/>
  </r>
  <r>
    <x v="1"/>
    <x v="0"/>
    <x v="1"/>
    <x v="1"/>
  </r>
  <r>
    <x v="2"/>
    <x v="1"/>
    <x v="1"/>
    <x v="2"/>
  </r>
  <r>
    <x v="2"/>
    <x v="1"/>
    <x v="1"/>
    <x v="1"/>
  </r>
  <r>
    <x v="0"/>
    <x v="2"/>
    <x v="1"/>
    <x v="0"/>
  </r>
  <r>
    <x v="1"/>
    <x v="2"/>
    <x v="1"/>
    <x v="2"/>
  </r>
  <r>
    <x v="1"/>
    <x v="2"/>
    <x v="1"/>
    <x v="1"/>
  </r>
  <r>
    <x v="1"/>
    <x v="1"/>
    <x v="1"/>
    <x v="0"/>
  </r>
  <r>
    <x v="0"/>
    <x v="1"/>
    <x v="1"/>
    <x v="2"/>
  </r>
  <r>
    <x v="2"/>
    <x v="2"/>
    <x v="0"/>
    <x v="2"/>
  </r>
  <r>
    <x v="2"/>
    <x v="1"/>
    <x v="1"/>
    <x v="2"/>
  </r>
  <r>
    <x v="0"/>
    <x v="1"/>
    <x v="0"/>
    <x v="2"/>
  </r>
  <r>
    <x v="2"/>
    <x v="0"/>
    <x v="1"/>
    <x v="1"/>
  </r>
  <r>
    <x v="1"/>
    <x v="0"/>
    <x v="1"/>
    <x v="2"/>
  </r>
  <r>
    <x v="2"/>
    <x v="0"/>
    <x v="1"/>
    <x v="2"/>
  </r>
  <r>
    <x v="1"/>
    <x v="1"/>
    <x v="0"/>
    <x v="1"/>
  </r>
  <r>
    <x v="2"/>
    <x v="0"/>
    <x v="1"/>
    <x v="1"/>
  </r>
  <r>
    <x v="0"/>
    <x v="0"/>
    <x v="0"/>
    <x v="0"/>
  </r>
  <r>
    <x v="0"/>
    <x v="0"/>
    <x v="1"/>
    <x v="2"/>
  </r>
  <r>
    <x v="0"/>
    <x v="1"/>
    <x v="1"/>
    <x v="0"/>
  </r>
  <r>
    <x v="2"/>
    <x v="0"/>
    <x v="2"/>
    <x v="0"/>
  </r>
  <r>
    <x v="1"/>
    <x v="1"/>
    <x v="1"/>
    <x v="2"/>
  </r>
  <r>
    <x v="2"/>
    <x v="2"/>
    <x v="1"/>
    <x v="2"/>
  </r>
  <r>
    <x v="1"/>
    <x v="1"/>
    <x v="1"/>
    <x v="1"/>
  </r>
  <r>
    <x v="2"/>
    <x v="1"/>
    <x v="1"/>
    <x v="0"/>
  </r>
  <r>
    <x v="1"/>
    <x v="0"/>
    <x v="1"/>
    <x v="0"/>
  </r>
  <r>
    <x v="2"/>
    <x v="1"/>
    <x v="0"/>
    <x v="2"/>
  </r>
  <r>
    <x v="2"/>
    <x v="1"/>
    <x v="1"/>
    <x v="0"/>
  </r>
  <r>
    <x v="0"/>
    <x v="1"/>
    <x v="1"/>
    <x v="2"/>
  </r>
  <r>
    <x v="2"/>
    <x v="0"/>
    <x v="0"/>
    <x v="2"/>
  </r>
  <r>
    <x v="2"/>
    <x v="0"/>
    <x v="2"/>
    <x v="2"/>
  </r>
  <r>
    <x v="2"/>
    <x v="2"/>
    <x v="1"/>
    <x v="2"/>
  </r>
  <r>
    <x v="1"/>
    <x v="1"/>
    <x v="2"/>
    <x v="2"/>
  </r>
  <r>
    <x v="1"/>
    <x v="0"/>
    <x v="1"/>
    <x v="1"/>
  </r>
  <r>
    <x v="1"/>
    <x v="1"/>
    <x v="1"/>
    <x v="2"/>
  </r>
  <r>
    <x v="1"/>
    <x v="1"/>
    <x v="1"/>
    <x v="2"/>
  </r>
  <r>
    <x v="1"/>
    <x v="0"/>
    <x v="1"/>
    <x v="2"/>
  </r>
  <r>
    <x v="2"/>
    <x v="1"/>
    <x v="1"/>
    <x v="1"/>
  </r>
  <r>
    <x v="1"/>
    <x v="0"/>
    <x v="0"/>
    <x v="2"/>
  </r>
  <r>
    <x v="1"/>
    <x v="0"/>
    <x v="0"/>
    <x v="2"/>
  </r>
  <r>
    <x v="2"/>
    <x v="0"/>
    <x v="1"/>
    <x v="1"/>
  </r>
  <r>
    <x v="1"/>
    <x v="1"/>
    <x v="1"/>
    <x v="2"/>
  </r>
  <r>
    <x v="2"/>
    <x v="1"/>
    <x v="1"/>
    <x v="2"/>
  </r>
  <r>
    <x v="1"/>
    <x v="0"/>
    <x v="0"/>
    <x v="2"/>
  </r>
  <r>
    <x v="1"/>
    <x v="1"/>
    <x v="1"/>
    <x v="2"/>
  </r>
  <r>
    <x v="0"/>
    <x v="2"/>
    <x v="1"/>
    <x v="0"/>
  </r>
  <r>
    <x v="1"/>
    <x v="1"/>
    <x v="1"/>
    <x v="2"/>
  </r>
  <r>
    <x v="2"/>
    <x v="0"/>
    <x v="1"/>
    <x v="1"/>
  </r>
  <r>
    <x v="2"/>
    <x v="2"/>
    <x v="1"/>
    <x v="1"/>
  </r>
  <r>
    <x v="2"/>
    <x v="1"/>
    <x v="1"/>
    <x v="2"/>
  </r>
  <r>
    <x v="2"/>
    <x v="2"/>
    <x v="1"/>
    <x v="1"/>
  </r>
  <r>
    <x v="1"/>
    <x v="0"/>
    <x v="1"/>
    <x v="0"/>
  </r>
  <r>
    <x v="2"/>
    <x v="0"/>
    <x v="1"/>
    <x v="2"/>
  </r>
  <r>
    <x v="0"/>
    <x v="1"/>
    <x v="1"/>
    <x v="2"/>
  </r>
  <r>
    <x v="1"/>
    <x v="1"/>
    <x v="1"/>
    <x v="2"/>
  </r>
  <r>
    <x v="0"/>
    <x v="0"/>
    <x v="0"/>
    <x v="2"/>
  </r>
  <r>
    <x v="1"/>
    <x v="1"/>
    <x v="0"/>
    <x v="2"/>
  </r>
  <r>
    <x v="0"/>
    <x v="0"/>
    <x v="0"/>
    <x v="2"/>
  </r>
  <r>
    <x v="0"/>
    <x v="1"/>
    <x v="0"/>
    <x v="1"/>
  </r>
  <r>
    <x v="2"/>
    <x v="1"/>
    <x v="1"/>
    <x v="2"/>
  </r>
  <r>
    <x v="2"/>
    <x v="0"/>
    <x v="0"/>
    <x v="2"/>
  </r>
  <r>
    <x v="0"/>
    <x v="0"/>
    <x v="1"/>
    <x v="2"/>
  </r>
  <r>
    <x v="1"/>
    <x v="0"/>
    <x v="0"/>
    <x v="1"/>
  </r>
  <r>
    <x v="0"/>
    <x v="0"/>
    <x v="1"/>
    <x v="1"/>
  </r>
  <r>
    <x v="0"/>
    <x v="2"/>
    <x v="1"/>
    <x v="0"/>
  </r>
  <r>
    <x v="2"/>
    <x v="2"/>
    <x v="1"/>
    <x v="1"/>
  </r>
  <r>
    <x v="1"/>
    <x v="0"/>
    <x v="0"/>
    <x v="1"/>
  </r>
  <r>
    <x v="1"/>
    <x v="0"/>
    <x v="1"/>
    <x v="2"/>
  </r>
  <r>
    <x v="2"/>
    <x v="1"/>
    <x v="1"/>
    <x v="2"/>
  </r>
  <r>
    <x v="2"/>
    <x v="1"/>
    <x v="1"/>
    <x v="0"/>
  </r>
  <r>
    <x v="1"/>
    <x v="1"/>
    <x v="1"/>
    <x v="2"/>
  </r>
  <r>
    <x v="0"/>
    <x v="0"/>
    <x v="1"/>
    <x v="2"/>
  </r>
  <r>
    <x v="2"/>
    <x v="1"/>
    <x v="1"/>
    <x v="1"/>
  </r>
  <r>
    <x v="1"/>
    <x v="2"/>
    <x v="1"/>
    <x v="2"/>
  </r>
  <r>
    <x v="0"/>
    <x v="1"/>
    <x v="0"/>
    <x v="1"/>
  </r>
  <r>
    <x v="1"/>
    <x v="1"/>
    <x v="0"/>
    <x v="0"/>
  </r>
  <r>
    <x v="2"/>
    <x v="1"/>
    <x v="1"/>
    <x v="1"/>
  </r>
  <r>
    <x v="2"/>
    <x v="0"/>
    <x v="1"/>
    <x v="1"/>
  </r>
  <r>
    <x v="2"/>
    <x v="1"/>
    <x v="1"/>
    <x v="2"/>
  </r>
  <r>
    <x v="2"/>
    <x v="1"/>
    <x v="1"/>
    <x v="2"/>
  </r>
  <r>
    <x v="0"/>
    <x v="1"/>
    <x v="1"/>
    <x v="2"/>
  </r>
  <r>
    <x v="2"/>
    <x v="1"/>
    <x v="1"/>
    <x v="2"/>
  </r>
  <r>
    <x v="2"/>
    <x v="1"/>
    <x v="1"/>
    <x v="1"/>
  </r>
  <r>
    <x v="2"/>
    <x v="0"/>
    <x v="1"/>
    <x v="2"/>
  </r>
  <r>
    <x v="2"/>
    <x v="1"/>
    <x v="1"/>
    <x v="2"/>
  </r>
  <r>
    <x v="2"/>
    <x v="0"/>
    <x v="1"/>
    <x v="2"/>
  </r>
  <r>
    <x v="2"/>
    <x v="2"/>
    <x v="1"/>
    <x v="0"/>
  </r>
  <r>
    <x v="2"/>
    <x v="0"/>
    <x v="1"/>
    <x v="0"/>
  </r>
  <r>
    <x v="0"/>
    <x v="0"/>
    <x v="1"/>
    <x v="2"/>
  </r>
  <r>
    <x v="2"/>
    <x v="0"/>
    <x v="1"/>
    <x v="2"/>
  </r>
  <r>
    <x v="1"/>
    <x v="1"/>
    <x v="1"/>
    <x v="2"/>
  </r>
  <r>
    <x v="2"/>
    <x v="1"/>
    <x v="1"/>
    <x v="2"/>
  </r>
  <r>
    <x v="0"/>
    <x v="0"/>
    <x v="1"/>
    <x v="0"/>
  </r>
  <r>
    <x v="1"/>
    <x v="0"/>
    <x v="1"/>
    <x v="2"/>
  </r>
  <r>
    <x v="0"/>
    <x v="1"/>
    <x v="0"/>
    <x v="2"/>
  </r>
  <r>
    <x v="1"/>
    <x v="1"/>
    <x v="1"/>
    <x v="0"/>
  </r>
  <r>
    <x v="2"/>
    <x v="1"/>
    <x v="0"/>
    <x v="2"/>
  </r>
  <r>
    <x v="2"/>
    <x v="1"/>
    <x v="1"/>
    <x v="2"/>
  </r>
  <r>
    <x v="2"/>
    <x v="2"/>
    <x v="1"/>
    <x v="1"/>
  </r>
  <r>
    <x v="1"/>
    <x v="1"/>
    <x v="0"/>
    <x v="2"/>
  </r>
  <r>
    <x v="0"/>
    <x v="1"/>
    <x v="0"/>
    <x v="1"/>
  </r>
  <r>
    <x v="2"/>
    <x v="0"/>
    <x v="0"/>
    <x v="1"/>
  </r>
  <r>
    <x v="1"/>
    <x v="1"/>
    <x v="1"/>
    <x v="1"/>
  </r>
  <r>
    <x v="0"/>
    <x v="1"/>
    <x v="0"/>
    <x v="2"/>
  </r>
  <r>
    <x v="1"/>
    <x v="0"/>
    <x v="0"/>
    <x v="2"/>
  </r>
  <r>
    <x v="0"/>
    <x v="0"/>
    <x v="0"/>
    <x v="2"/>
  </r>
  <r>
    <x v="2"/>
    <x v="0"/>
    <x v="1"/>
    <x v="2"/>
  </r>
  <r>
    <x v="1"/>
    <x v="0"/>
    <x v="1"/>
    <x v="0"/>
  </r>
  <r>
    <x v="1"/>
    <x v="1"/>
    <x v="1"/>
    <x v="0"/>
  </r>
  <r>
    <x v="0"/>
    <x v="1"/>
    <x v="1"/>
    <x v="2"/>
  </r>
  <r>
    <x v="1"/>
    <x v="1"/>
    <x v="1"/>
    <x v="2"/>
  </r>
  <r>
    <x v="2"/>
    <x v="1"/>
    <x v="2"/>
    <x v="2"/>
  </r>
  <r>
    <x v="2"/>
    <x v="0"/>
    <x v="1"/>
    <x v="0"/>
  </r>
  <r>
    <x v="1"/>
    <x v="1"/>
    <x v="2"/>
    <x v="1"/>
  </r>
  <r>
    <x v="0"/>
    <x v="0"/>
    <x v="1"/>
    <x v="1"/>
  </r>
  <r>
    <x v="0"/>
    <x v="1"/>
    <x v="0"/>
    <x v="2"/>
  </r>
  <r>
    <x v="1"/>
    <x v="0"/>
    <x v="1"/>
    <x v="2"/>
  </r>
  <r>
    <x v="1"/>
    <x v="0"/>
    <x v="1"/>
    <x v="1"/>
  </r>
  <r>
    <x v="0"/>
    <x v="0"/>
    <x v="1"/>
    <x v="2"/>
  </r>
  <r>
    <x v="2"/>
    <x v="0"/>
    <x v="1"/>
    <x v="1"/>
  </r>
  <r>
    <x v="1"/>
    <x v="1"/>
    <x v="0"/>
    <x v="2"/>
  </r>
  <r>
    <x v="0"/>
    <x v="2"/>
    <x v="0"/>
    <x v="2"/>
  </r>
  <r>
    <x v="0"/>
    <x v="1"/>
    <x v="0"/>
    <x v="2"/>
  </r>
  <r>
    <x v="2"/>
    <x v="2"/>
    <x v="2"/>
    <x v="2"/>
  </r>
  <r>
    <x v="1"/>
    <x v="1"/>
    <x v="1"/>
    <x v="1"/>
  </r>
  <r>
    <x v="1"/>
    <x v="1"/>
    <x v="1"/>
    <x v="0"/>
  </r>
  <r>
    <x v="2"/>
    <x v="2"/>
    <x v="1"/>
    <x v="2"/>
  </r>
  <r>
    <x v="2"/>
    <x v="1"/>
    <x v="1"/>
    <x v="2"/>
  </r>
  <r>
    <x v="1"/>
    <x v="0"/>
    <x v="1"/>
    <x v="0"/>
  </r>
  <r>
    <x v="2"/>
    <x v="1"/>
    <x v="1"/>
    <x v="2"/>
  </r>
  <r>
    <x v="2"/>
    <x v="1"/>
    <x v="0"/>
    <x v="1"/>
  </r>
  <r>
    <x v="0"/>
    <x v="0"/>
    <x v="2"/>
    <x v="1"/>
  </r>
  <r>
    <x v="1"/>
    <x v="0"/>
    <x v="1"/>
    <x v="1"/>
  </r>
  <r>
    <x v="1"/>
    <x v="1"/>
    <x v="1"/>
    <x v="0"/>
  </r>
  <r>
    <x v="1"/>
    <x v="2"/>
    <x v="1"/>
    <x v="0"/>
  </r>
  <r>
    <x v="2"/>
    <x v="0"/>
    <x v="1"/>
    <x v="0"/>
  </r>
  <r>
    <x v="0"/>
    <x v="0"/>
    <x v="0"/>
    <x v="0"/>
  </r>
  <r>
    <x v="1"/>
    <x v="0"/>
    <x v="1"/>
    <x v="2"/>
  </r>
  <r>
    <x v="1"/>
    <x v="1"/>
    <x v="2"/>
    <x v="2"/>
  </r>
  <r>
    <x v="2"/>
    <x v="0"/>
    <x v="1"/>
    <x v="2"/>
  </r>
  <r>
    <x v="0"/>
    <x v="1"/>
    <x v="2"/>
    <x v="1"/>
  </r>
  <r>
    <x v="1"/>
    <x v="1"/>
    <x v="1"/>
    <x v="2"/>
  </r>
  <r>
    <x v="1"/>
    <x v="1"/>
    <x v="0"/>
    <x v="0"/>
  </r>
  <r>
    <x v="2"/>
    <x v="0"/>
    <x v="1"/>
    <x v="0"/>
  </r>
  <r>
    <x v="0"/>
    <x v="1"/>
    <x v="1"/>
    <x v="2"/>
  </r>
  <r>
    <x v="1"/>
    <x v="2"/>
    <x v="1"/>
    <x v="1"/>
  </r>
  <r>
    <x v="2"/>
    <x v="2"/>
    <x v="1"/>
    <x v="2"/>
  </r>
  <r>
    <x v="1"/>
    <x v="0"/>
    <x v="2"/>
    <x v="2"/>
  </r>
  <r>
    <x v="1"/>
    <x v="0"/>
    <x v="1"/>
    <x v="0"/>
  </r>
  <r>
    <x v="1"/>
    <x v="1"/>
    <x v="1"/>
    <x v="2"/>
  </r>
  <r>
    <x v="2"/>
    <x v="1"/>
    <x v="0"/>
    <x v="0"/>
  </r>
  <r>
    <x v="1"/>
    <x v="0"/>
    <x v="1"/>
    <x v="2"/>
  </r>
  <r>
    <x v="2"/>
    <x v="2"/>
    <x v="1"/>
    <x v="2"/>
  </r>
  <r>
    <x v="2"/>
    <x v="1"/>
    <x v="1"/>
    <x v="2"/>
  </r>
  <r>
    <x v="1"/>
    <x v="1"/>
    <x v="1"/>
    <x v="2"/>
  </r>
  <r>
    <x v="1"/>
    <x v="1"/>
    <x v="1"/>
    <x v="2"/>
  </r>
  <r>
    <x v="2"/>
    <x v="1"/>
    <x v="1"/>
    <x v="0"/>
  </r>
  <r>
    <x v="0"/>
    <x v="2"/>
    <x v="0"/>
    <x v="2"/>
  </r>
  <r>
    <x v="0"/>
    <x v="2"/>
    <x v="0"/>
    <x v="2"/>
  </r>
  <r>
    <x v="2"/>
    <x v="2"/>
    <x v="1"/>
    <x v="2"/>
  </r>
  <r>
    <x v="2"/>
    <x v="1"/>
    <x v="1"/>
    <x v="2"/>
  </r>
  <r>
    <x v="1"/>
    <x v="0"/>
    <x v="1"/>
    <x v="2"/>
  </r>
  <r>
    <x v="0"/>
    <x v="1"/>
    <x v="0"/>
    <x v="2"/>
  </r>
  <r>
    <x v="1"/>
    <x v="0"/>
    <x v="1"/>
    <x v="2"/>
  </r>
  <r>
    <x v="0"/>
    <x v="1"/>
    <x v="0"/>
    <x v="2"/>
  </r>
  <r>
    <x v="0"/>
    <x v="1"/>
    <x v="1"/>
    <x v="2"/>
  </r>
  <r>
    <x v="1"/>
    <x v="1"/>
    <x v="0"/>
    <x v="0"/>
  </r>
  <r>
    <x v="0"/>
    <x v="0"/>
    <x v="1"/>
    <x v="2"/>
  </r>
  <r>
    <x v="2"/>
    <x v="0"/>
    <x v="1"/>
    <x v="2"/>
  </r>
  <r>
    <x v="2"/>
    <x v="1"/>
    <x v="1"/>
    <x v="2"/>
  </r>
  <r>
    <x v="2"/>
    <x v="0"/>
    <x v="1"/>
    <x v="2"/>
  </r>
  <r>
    <x v="2"/>
    <x v="0"/>
    <x v="1"/>
    <x v="2"/>
  </r>
  <r>
    <x v="0"/>
    <x v="1"/>
    <x v="1"/>
    <x v="2"/>
  </r>
  <r>
    <x v="1"/>
    <x v="1"/>
    <x v="1"/>
    <x v="0"/>
  </r>
  <r>
    <x v="0"/>
    <x v="2"/>
    <x v="0"/>
    <x v="1"/>
  </r>
  <r>
    <x v="0"/>
    <x v="0"/>
    <x v="0"/>
    <x v="2"/>
  </r>
  <r>
    <x v="2"/>
    <x v="0"/>
    <x v="1"/>
    <x v="2"/>
  </r>
  <r>
    <x v="2"/>
    <x v="2"/>
    <x v="1"/>
    <x v="2"/>
  </r>
  <r>
    <x v="2"/>
    <x v="1"/>
    <x v="1"/>
    <x v="2"/>
  </r>
  <r>
    <x v="2"/>
    <x v="2"/>
    <x v="0"/>
    <x v="2"/>
  </r>
  <r>
    <x v="0"/>
    <x v="1"/>
    <x v="1"/>
    <x v="2"/>
  </r>
  <r>
    <x v="1"/>
    <x v="1"/>
    <x v="1"/>
    <x v="2"/>
  </r>
  <r>
    <x v="2"/>
    <x v="0"/>
    <x v="1"/>
    <x v="2"/>
  </r>
  <r>
    <x v="2"/>
    <x v="1"/>
    <x v="1"/>
    <x v="2"/>
  </r>
  <r>
    <x v="1"/>
    <x v="1"/>
    <x v="1"/>
    <x v="0"/>
  </r>
  <r>
    <x v="0"/>
    <x v="0"/>
    <x v="0"/>
    <x v="1"/>
  </r>
  <r>
    <x v="2"/>
    <x v="0"/>
    <x v="1"/>
    <x v="1"/>
  </r>
  <r>
    <x v="2"/>
    <x v="0"/>
    <x v="1"/>
    <x v="2"/>
  </r>
  <r>
    <x v="1"/>
    <x v="1"/>
    <x v="0"/>
    <x v="2"/>
  </r>
  <r>
    <x v="2"/>
    <x v="1"/>
    <x v="1"/>
    <x v="2"/>
  </r>
  <r>
    <x v="0"/>
    <x v="1"/>
    <x v="1"/>
    <x v="2"/>
  </r>
  <r>
    <x v="2"/>
    <x v="0"/>
    <x v="1"/>
    <x v="2"/>
  </r>
  <r>
    <x v="1"/>
    <x v="1"/>
    <x v="2"/>
    <x v="2"/>
  </r>
  <r>
    <x v="1"/>
    <x v="2"/>
    <x v="1"/>
    <x v="2"/>
  </r>
  <r>
    <x v="1"/>
    <x v="1"/>
    <x v="1"/>
    <x v="2"/>
  </r>
  <r>
    <x v="2"/>
    <x v="0"/>
    <x v="1"/>
    <x v="2"/>
  </r>
  <r>
    <x v="1"/>
    <x v="0"/>
    <x v="1"/>
    <x v="2"/>
  </r>
  <r>
    <x v="2"/>
    <x v="1"/>
    <x v="0"/>
    <x v="2"/>
  </r>
  <r>
    <x v="0"/>
    <x v="1"/>
    <x v="1"/>
    <x v="2"/>
  </r>
  <r>
    <x v="1"/>
    <x v="0"/>
    <x v="1"/>
    <x v="2"/>
  </r>
  <r>
    <x v="0"/>
    <x v="0"/>
    <x v="1"/>
    <x v="1"/>
  </r>
  <r>
    <x v="0"/>
    <x v="1"/>
    <x v="1"/>
    <x v="2"/>
  </r>
  <r>
    <x v="2"/>
    <x v="1"/>
    <x v="1"/>
    <x v="2"/>
  </r>
  <r>
    <x v="2"/>
    <x v="0"/>
    <x v="0"/>
    <x v="2"/>
  </r>
  <r>
    <x v="1"/>
    <x v="0"/>
    <x v="1"/>
    <x v="1"/>
  </r>
  <r>
    <x v="1"/>
    <x v="0"/>
    <x v="1"/>
    <x v="2"/>
  </r>
  <r>
    <x v="1"/>
    <x v="0"/>
    <x v="1"/>
    <x v="2"/>
  </r>
  <r>
    <x v="1"/>
    <x v="1"/>
    <x v="1"/>
    <x v="2"/>
  </r>
  <r>
    <x v="1"/>
    <x v="0"/>
    <x v="1"/>
    <x v="2"/>
  </r>
  <r>
    <x v="0"/>
    <x v="1"/>
    <x v="0"/>
    <x v="2"/>
  </r>
  <r>
    <x v="0"/>
    <x v="1"/>
    <x v="1"/>
    <x v="2"/>
  </r>
  <r>
    <x v="2"/>
    <x v="0"/>
    <x v="0"/>
    <x v="2"/>
  </r>
  <r>
    <x v="0"/>
    <x v="0"/>
    <x v="0"/>
    <x v="2"/>
  </r>
  <r>
    <x v="2"/>
    <x v="1"/>
    <x v="1"/>
    <x v="1"/>
  </r>
  <r>
    <x v="1"/>
    <x v="1"/>
    <x v="1"/>
    <x v="2"/>
  </r>
  <r>
    <x v="1"/>
    <x v="0"/>
    <x v="0"/>
    <x v="2"/>
  </r>
  <r>
    <x v="2"/>
    <x v="1"/>
    <x v="1"/>
    <x v="2"/>
  </r>
  <r>
    <x v="2"/>
    <x v="0"/>
    <x v="2"/>
    <x v="1"/>
  </r>
  <r>
    <x v="2"/>
    <x v="1"/>
    <x v="1"/>
    <x v="2"/>
  </r>
  <r>
    <x v="2"/>
    <x v="2"/>
    <x v="1"/>
    <x v="2"/>
  </r>
  <r>
    <x v="1"/>
    <x v="1"/>
    <x v="0"/>
    <x v="2"/>
  </r>
  <r>
    <x v="1"/>
    <x v="2"/>
    <x v="1"/>
    <x v="2"/>
  </r>
  <r>
    <x v="2"/>
    <x v="1"/>
    <x v="1"/>
    <x v="2"/>
  </r>
  <r>
    <x v="2"/>
    <x v="0"/>
    <x v="1"/>
    <x v="2"/>
  </r>
  <r>
    <x v="1"/>
    <x v="1"/>
    <x v="1"/>
    <x v="2"/>
  </r>
  <r>
    <x v="2"/>
    <x v="0"/>
    <x v="1"/>
    <x v="2"/>
  </r>
  <r>
    <x v="2"/>
    <x v="1"/>
    <x v="1"/>
    <x v="2"/>
  </r>
  <r>
    <x v="2"/>
    <x v="0"/>
    <x v="1"/>
    <x v="2"/>
  </r>
  <r>
    <x v="1"/>
    <x v="0"/>
    <x v="1"/>
    <x v="2"/>
  </r>
  <r>
    <x v="0"/>
    <x v="0"/>
    <x v="0"/>
    <x v="2"/>
  </r>
  <r>
    <x v="0"/>
    <x v="0"/>
    <x v="2"/>
    <x v="2"/>
  </r>
  <r>
    <x v="0"/>
    <x v="0"/>
    <x v="1"/>
    <x v="2"/>
  </r>
  <r>
    <x v="2"/>
    <x v="0"/>
    <x v="1"/>
    <x v="2"/>
  </r>
  <r>
    <x v="2"/>
    <x v="1"/>
    <x v="1"/>
    <x v="2"/>
  </r>
  <r>
    <x v="0"/>
    <x v="1"/>
    <x v="1"/>
    <x v="2"/>
  </r>
  <r>
    <x v="2"/>
    <x v="0"/>
    <x v="1"/>
    <x v="2"/>
  </r>
  <r>
    <x v="2"/>
    <x v="0"/>
    <x v="1"/>
    <x v="2"/>
  </r>
  <r>
    <x v="1"/>
    <x v="0"/>
    <x v="1"/>
    <x v="2"/>
  </r>
  <r>
    <x v="1"/>
    <x v="2"/>
    <x v="0"/>
    <x v="2"/>
  </r>
  <r>
    <x v="1"/>
    <x v="1"/>
    <x v="1"/>
    <x v="2"/>
  </r>
  <r>
    <x v="2"/>
    <x v="0"/>
    <x v="2"/>
    <x v="2"/>
  </r>
  <r>
    <x v="2"/>
    <x v="0"/>
    <x v="1"/>
    <x v="2"/>
  </r>
  <r>
    <x v="2"/>
    <x v="0"/>
    <x v="1"/>
    <x v="1"/>
  </r>
  <r>
    <x v="1"/>
    <x v="1"/>
    <x v="0"/>
    <x v="2"/>
  </r>
  <r>
    <x v="1"/>
    <x v="1"/>
    <x v="1"/>
    <x v="2"/>
  </r>
  <r>
    <x v="0"/>
    <x v="1"/>
    <x v="0"/>
    <x v="2"/>
  </r>
  <r>
    <x v="1"/>
    <x v="0"/>
    <x v="1"/>
    <x v="2"/>
  </r>
  <r>
    <x v="1"/>
    <x v="0"/>
    <x v="1"/>
    <x v="2"/>
  </r>
  <r>
    <x v="2"/>
    <x v="1"/>
    <x v="1"/>
    <x v="2"/>
  </r>
  <r>
    <x v="2"/>
    <x v="0"/>
    <x v="1"/>
    <x v="0"/>
  </r>
  <r>
    <x v="1"/>
    <x v="0"/>
    <x v="0"/>
    <x v="2"/>
  </r>
  <r>
    <x v="2"/>
    <x v="1"/>
    <x v="1"/>
    <x v="2"/>
  </r>
  <r>
    <x v="1"/>
    <x v="1"/>
    <x v="1"/>
    <x v="2"/>
  </r>
  <r>
    <x v="2"/>
    <x v="2"/>
    <x v="1"/>
    <x v="2"/>
  </r>
  <r>
    <x v="1"/>
    <x v="0"/>
    <x v="0"/>
    <x v="2"/>
  </r>
  <r>
    <x v="1"/>
    <x v="1"/>
    <x v="0"/>
    <x v="2"/>
  </r>
  <r>
    <x v="2"/>
    <x v="1"/>
    <x v="1"/>
    <x v="2"/>
  </r>
  <r>
    <x v="0"/>
    <x v="0"/>
    <x v="1"/>
    <x v="2"/>
  </r>
  <r>
    <x v="1"/>
    <x v="1"/>
    <x v="0"/>
    <x v="2"/>
  </r>
  <r>
    <x v="2"/>
    <x v="1"/>
    <x v="1"/>
    <x v="2"/>
  </r>
  <r>
    <x v="0"/>
    <x v="0"/>
    <x v="0"/>
    <x v="2"/>
  </r>
  <r>
    <x v="0"/>
    <x v="1"/>
    <x v="2"/>
    <x v="2"/>
  </r>
  <r>
    <x v="1"/>
    <x v="0"/>
    <x v="1"/>
    <x v="2"/>
  </r>
  <r>
    <x v="1"/>
    <x v="0"/>
    <x v="1"/>
    <x v="2"/>
  </r>
  <r>
    <x v="2"/>
    <x v="1"/>
    <x v="1"/>
    <x v="2"/>
  </r>
  <r>
    <x v="1"/>
    <x v="1"/>
    <x v="1"/>
    <x v="2"/>
  </r>
  <r>
    <x v="2"/>
    <x v="0"/>
    <x v="1"/>
    <x v="2"/>
  </r>
  <r>
    <x v="2"/>
    <x v="0"/>
    <x v="1"/>
    <x v="2"/>
  </r>
  <r>
    <x v="2"/>
    <x v="0"/>
    <x v="1"/>
    <x v="2"/>
  </r>
  <r>
    <x v="0"/>
    <x v="0"/>
    <x v="0"/>
    <x v="1"/>
  </r>
  <r>
    <x v="2"/>
    <x v="1"/>
    <x v="1"/>
    <x v="2"/>
  </r>
  <r>
    <x v="2"/>
    <x v="1"/>
    <x v="1"/>
    <x v="1"/>
  </r>
  <r>
    <x v="1"/>
    <x v="2"/>
    <x v="1"/>
    <x v="2"/>
  </r>
  <r>
    <x v="0"/>
    <x v="2"/>
    <x v="1"/>
    <x v="2"/>
  </r>
  <r>
    <x v="2"/>
    <x v="0"/>
    <x v="1"/>
    <x v="2"/>
  </r>
  <r>
    <x v="2"/>
    <x v="1"/>
    <x v="1"/>
    <x v="2"/>
  </r>
  <r>
    <x v="2"/>
    <x v="2"/>
    <x v="0"/>
    <x v="2"/>
  </r>
  <r>
    <x v="1"/>
    <x v="0"/>
    <x v="1"/>
    <x v="2"/>
  </r>
  <r>
    <x v="1"/>
    <x v="1"/>
    <x v="2"/>
    <x v="2"/>
  </r>
  <r>
    <x v="2"/>
    <x v="0"/>
    <x v="0"/>
    <x v="2"/>
  </r>
  <r>
    <x v="0"/>
    <x v="1"/>
    <x v="2"/>
    <x v="2"/>
  </r>
  <r>
    <x v="1"/>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482997-DE57-46B2-9536-2BFF20E10A56}" name="PivotTable10" cacheId="11" applyNumberFormats="0" applyBorderFormats="0" applyFontFormats="0" applyPatternFormats="0" applyAlignmentFormats="0" applyWidthHeightFormats="1" dataCaption="Values" grandTotalCaption="Total Observations" updatedVersion="8" minRefreshableVersion="3" itemPrintTitles="1" createdVersion="8" indent="0" outline="1" outlineData="1" multipleFieldFilters="0">
  <location ref="BB6:BC10" firstHeaderRow="1" firstDataRow="1" firstDataCol="1"/>
  <pivotFields count="4">
    <pivotField showAll="0">
      <items count="4">
        <item x="0"/>
        <item x="1"/>
        <item x="2"/>
        <item t="default"/>
      </items>
    </pivotField>
    <pivotField showAll="0"/>
    <pivotField axis="axisRow" dataField="1" showAll="0">
      <items count="4">
        <item x="0"/>
        <item x="2"/>
        <item x="1"/>
        <item t="default"/>
      </items>
    </pivotField>
    <pivotField showAll="0">
      <items count="4">
        <item x="2"/>
        <item x="1"/>
        <item x="0"/>
        <item t="default"/>
      </items>
    </pivotField>
  </pivotFields>
  <rowFields count="1">
    <field x="2"/>
  </rowFields>
  <rowItems count="4">
    <i>
      <x/>
    </i>
    <i>
      <x v="1"/>
    </i>
    <i>
      <x v="2"/>
    </i>
    <i t="grand">
      <x/>
    </i>
  </rowItems>
  <colItems count="1">
    <i/>
  </colItems>
  <dataFields count="1">
    <dataField name="Count of Nationality" fld="2" subtotal="count" baseField="0" baseItem="0"/>
  </dataFields>
  <formats count="6">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3DB46C-5DCA-4D30-83B4-36540A0EDD80}" name="PivotTable8" cacheId="11" applyNumberFormats="0" applyBorderFormats="0" applyFontFormats="0" applyPatternFormats="0" applyAlignmentFormats="0" applyWidthHeightFormats="1" dataCaption="Values" grandTotalCaption="Total Observations" updatedVersion="8" minRefreshableVersion="3" useAutoFormatting="1" itemPrintTitles="1" createdVersion="8" indent="0" outline="1" outlineData="1" multipleFieldFilters="0">
  <location ref="BB16:BC20" firstHeaderRow="1" firstDataRow="1" firstDataCol="1"/>
  <pivotFields count="4">
    <pivotField showAll="0">
      <items count="4">
        <item x="0"/>
        <item x="1"/>
        <item x="2"/>
        <item t="default"/>
      </items>
    </pivotField>
    <pivotField showAll="0"/>
    <pivotField showAll="0"/>
    <pivotField axis="axisRow" dataField="1" showAll="0">
      <items count="4">
        <item x="2"/>
        <item x="1"/>
        <item x="0"/>
        <item t="default"/>
      </items>
    </pivotField>
  </pivotFields>
  <rowFields count="1">
    <field x="3"/>
  </rowFields>
  <rowItems count="4">
    <i>
      <x/>
    </i>
    <i>
      <x v="1"/>
    </i>
    <i>
      <x v="2"/>
    </i>
    <i t="grand">
      <x/>
    </i>
  </rowItems>
  <colItems count="1">
    <i/>
  </colItems>
  <dataFields count="1">
    <dataField name="Count of Draft_Group" fld="3" subtotal="count" baseField="0" baseItem="0"/>
  </dataFields>
  <formats count="6">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A086EA-3173-4350-8740-98551C29521F}" name="PivotTable4" cacheId="11" applyNumberFormats="0" applyBorderFormats="0" applyFontFormats="0" applyPatternFormats="0" applyAlignmentFormats="0" applyWidthHeightFormats="1" dataCaption="Values" grandTotalCaption="Total Observations" updatedVersion="8" minRefreshableVersion="3" useAutoFormatting="1" itemPrintTitles="1" createdVersion="8" indent="0" outline="1" outlineData="1" multipleFieldFilters="0">
  <location ref="AY16:AZ20" firstHeaderRow="1" firstDataRow="1" firstDataCol="1"/>
  <pivotFields count="4">
    <pivotField showAll="0">
      <items count="4">
        <item x="0"/>
        <item x="1"/>
        <item x="2"/>
        <item t="default"/>
      </items>
    </pivotField>
    <pivotField axis="axisRow" dataField="1" showAll="0">
      <items count="4">
        <item x="1"/>
        <item x="2"/>
        <item x="0"/>
        <item t="default"/>
      </items>
    </pivotField>
    <pivotField showAll="0"/>
    <pivotField showAll="0"/>
  </pivotFields>
  <rowFields count="1">
    <field x="1"/>
  </rowFields>
  <rowItems count="4">
    <i>
      <x/>
    </i>
    <i>
      <x v="1"/>
    </i>
    <i>
      <x v="2"/>
    </i>
    <i t="grand">
      <x/>
    </i>
  </rowItems>
  <colItems count="1">
    <i/>
  </colItems>
  <dataFields count="1">
    <dataField name="Count of Conference" fld="1" subtotal="count" baseField="0" baseItem="0"/>
  </dataFields>
  <formats count="6">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6C5F6F-667E-47EE-B3F8-E7D792D6A9F1}" name="PivotTable3" cacheId="11" applyNumberFormats="0" applyBorderFormats="0" applyFontFormats="0" applyPatternFormats="0" applyAlignmentFormats="0" applyWidthHeightFormats="1" dataCaption="Values" grandTotalCaption="Total Observations" updatedVersion="8" minRefreshableVersion="3" useAutoFormatting="1" itemPrintTitles="1" createdVersion="8" indent="0" outline="1" outlineData="1" multipleFieldFilters="0">
  <location ref="AY6:AZ10" firstHeaderRow="1" firstDataRow="1" firstDataCol="1"/>
  <pivotFields count="4">
    <pivotField axis="axisRow" dataField="1" showAll="0">
      <items count="4">
        <item x="0"/>
        <item x="1"/>
        <item x="2"/>
        <item t="default"/>
      </items>
    </pivotField>
    <pivotField showAll="0"/>
    <pivotField showAll="0"/>
    <pivotField showAll="0"/>
  </pivotFields>
  <rowFields count="1">
    <field x="0"/>
  </rowFields>
  <rowItems count="4">
    <i>
      <x/>
    </i>
    <i>
      <x v="1"/>
    </i>
    <i>
      <x v="2"/>
    </i>
    <i t="grand">
      <x/>
    </i>
  </rowItems>
  <colItems count="1">
    <i/>
  </colItems>
  <dataFields count="1">
    <dataField name="Count of Position" fld="0" subtotal="count" baseField="0" baseItem="0"/>
  </dataFields>
  <formats count="6">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B68701-4BBC-4EDB-A422-6B70735FA24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P7" firstHeaderRow="0" firstDataRow="1" firstDataCol="1"/>
  <pivotFields count="4">
    <pivotField showAll="0">
      <items count="4">
        <item x="0"/>
        <item x="1"/>
        <item x="2"/>
        <item t="default"/>
      </items>
    </pivotField>
    <pivotField showAll="0">
      <items count="4">
        <item x="2"/>
        <item x="1"/>
        <item x="0"/>
        <item t="default"/>
      </items>
    </pivotField>
    <pivotField axis="axisRow" dataField="1" showAll="0">
      <items count="4">
        <item x="0"/>
        <item x="1"/>
        <item x="2"/>
        <item t="default"/>
      </items>
    </pivotField>
    <pivotField showAll="0"/>
  </pivotFields>
  <rowFields count="1">
    <field x="2"/>
  </rowFields>
  <rowItems count="4">
    <i>
      <x/>
    </i>
    <i>
      <x v="1"/>
    </i>
    <i>
      <x v="2"/>
    </i>
    <i t="grand">
      <x/>
    </i>
  </rowItems>
  <colFields count="1">
    <field x="-2"/>
  </colFields>
  <colItems count="2">
    <i>
      <x/>
    </i>
    <i i="1">
      <x v="1"/>
    </i>
  </colItems>
  <dataFields count="2">
    <dataField name="Frequency" fld="2" subtotal="count" baseField="2" baseItem="0"/>
    <dataField name="Relative Frequency" fld="2" subtotal="count" showDataAs="percentOfTotal" baseField="2" baseItem="0" numFmtId="10"/>
  </dataFields>
  <formats count="3">
    <format dxfId="14">
      <pivotArea field="0" type="button" dataOnly="0" labelOnly="1" outline="0"/>
    </format>
    <format dxfId="13">
      <pivotArea field="0" type="button" dataOnly="0" labelOnly="1" outline="0"/>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4FFB4B-F30A-4C66-863B-ABE2873B0558}"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7" firstHeaderRow="0" firstDataRow="1" firstDataCol="1"/>
  <pivotFields count="4">
    <pivotField showAll="0">
      <items count="4">
        <item x="0"/>
        <item x="1"/>
        <item x="2"/>
        <item t="default"/>
      </items>
    </pivotField>
    <pivotField axis="axisRow" dataField="1" showAll="0">
      <items count="4">
        <item x="2"/>
        <item x="1"/>
        <item x="0"/>
        <item t="default"/>
      </items>
    </pivotField>
    <pivotField showAll="0"/>
    <pivotField showAll="0"/>
  </pivotFields>
  <rowFields count="1">
    <field x="1"/>
  </rowFields>
  <rowItems count="4">
    <i>
      <x/>
    </i>
    <i>
      <x v="1"/>
    </i>
    <i>
      <x v="2"/>
    </i>
    <i t="grand">
      <x/>
    </i>
  </rowItems>
  <colFields count="1">
    <field x="-2"/>
  </colFields>
  <colItems count="2">
    <i>
      <x/>
    </i>
    <i i="1">
      <x v="1"/>
    </i>
  </colItems>
  <dataFields count="2">
    <dataField name="Frequency" fld="1" subtotal="count" baseField="1" baseItem="0"/>
    <dataField name="Relative Frequency" fld="1" subtotal="count" showDataAs="percentOfTotal" baseField="1" baseItem="0" numFmtId="10"/>
  </dataFields>
  <formats count="4">
    <format dxfId="18">
      <pivotArea field="0" type="button" dataOnly="0" labelOnly="1" outline="0"/>
    </format>
    <format dxfId="17">
      <pivotArea field="0" type="button" dataOnly="0" labelOnly="1" outline="0"/>
    </format>
    <format dxfId="16">
      <pivotArea outline="0" fieldPosition="0">
        <references count="1">
          <reference field="4294967294" count="1">
            <x v="1"/>
          </reference>
        </references>
      </pivotArea>
    </format>
    <format dxfId="1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920954-66E9-4220-8D3D-8988D81FEA2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7" firstHeaderRow="0" firstDataRow="1" firstDataCol="1"/>
  <pivotFields count="4">
    <pivotField axis="axisRow" dataField="1" showAll="0">
      <items count="4">
        <item x="0"/>
        <item x="1"/>
        <item x="2"/>
        <item t="default"/>
      </items>
    </pivotField>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Frequency" fld="0" subtotal="count" baseField="0" baseItem="0"/>
    <dataField name="Relative Frequency" fld="0" subtotal="count" showDataAs="percentOfTotal" baseField="0" baseItem="1" numFmtId="10"/>
  </dataFields>
  <formats count="4">
    <format dxfId="22">
      <pivotArea dataOnly="0" labelOnly="1" outline="0" fieldPosition="0">
        <references count="1">
          <reference field="4294967294" count="2">
            <x v="0"/>
            <x v="1"/>
          </reference>
        </references>
      </pivotArea>
    </format>
    <format dxfId="21">
      <pivotArea dataOnly="0" labelOnly="1" outline="0" fieldPosition="0">
        <references count="1">
          <reference field="4294967294" count="2">
            <x v="0"/>
            <x v="1"/>
          </reference>
        </references>
      </pivotArea>
    </format>
    <format dxfId="20">
      <pivotArea field="0" type="button" dataOnly="0" labelOnly="1" outline="0" axis="axisRow" fieldPosition="0"/>
    </format>
    <format dxfId="19">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5BFCAA-CC97-46CF-A507-29964D1DC82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T7" firstHeaderRow="0" firstDataRow="1" firstDataCol="1"/>
  <pivotFields count="4">
    <pivotField showAll="0"/>
    <pivotField showAll="0"/>
    <pivotField showAll="0"/>
    <pivotField axis="axisRow" dataField="1" showAll="0">
      <items count="4">
        <item x="2"/>
        <item x="1"/>
        <item x="0"/>
        <item t="default"/>
      </items>
    </pivotField>
  </pivotFields>
  <rowFields count="1">
    <field x="3"/>
  </rowFields>
  <rowItems count="4">
    <i>
      <x/>
    </i>
    <i>
      <x v="1"/>
    </i>
    <i>
      <x v="2"/>
    </i>
    <i t="grand">
      <x/>
    </i>
  </rowItems>
  <colFields count="1">
    <field x="-2"/>
  </colFields>
  <colItems count="2">
    <i>
      <x/>
    </i>
    <i i="1">
      <x v="1"/>
    </i>
  </colItems>
  <dataFields count="2">
    <dataField name="Frequency" fld="3" subtotal="count" baseField="3" baseItem="0"/>
    <dataField name="Relative Frequency" fld="3" subtotal="count" showDataAs="percentOfTotal" baseField="3"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18CD44-212E-4869-8147-5CAC3C6E7BDD}" name="PivotTable2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9" firstHeaderRow="1" firstDataRow="1" firstDataCol="1"/>
  <pivotFields count="4">
    <pivotField showAll="0">
      <items count="4">
        <item x="0"/>
        <item x="1"/>
        <item x="2"/>
        <item t="default"/>
      </items>
    </pivotField>
    <pivotField axis="axisRow" dataField="1" showAll="0">
      <items count="4">
        <item x="2"/>
        <item x="1"/>
        <item x="0"/>
        <item t="default"/>
      </items>
    </pivotField>
    <pivotField showAll="0"/>
    <pivotField showAll="0"/>
  </pivotFields>
  <rowFields count="1">
    <field x="1"/>
  </rowFields>
  <rowItems count="4">
    <i>
      <x/>
    </i>
    <i>
      <x v="1"/>
    </i>
    <i>
      <x v="2"/>
    </i>
    <i t="grand">
      <x/>
    </i>
  </rowItems>
  <colItems count="1">
    <i/>
  </colItems>
  <dataFields count="1">
    <dataField name="Frequency" fld="1" subtotal="count" baseField="1" baseItem="0"/>
  </dataFields>
  <formats count="3">
    <format dxfId="2">
      <pivotArea field="0" type="button" dataOnly="0" labelOnly="1" outline="0"/>
    </format>
    <format dxfId="1">
      <pivotArea field="0" type="button" dataOnly="0" labelOnly="1" outline="0"/>
    </format>
    <format dxfId="0">
      <pivotArea dataOnly="0" labelOnly="1"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87CB96-E895-4438-9E3C-8327303C4049}" name="PivotTable3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9" firstHeaderRow="1" firstDataRow="1" firstDataCol="1"/>
  <pivotFields count="4">
    <pivotField showAll="0">
      <items count="4">
        <item x="0"/>
        <item x="1"/>
        <item x="2"/>
        <item t="default"/>
      </items>
    </pivotField>
    <pivotField showAll="0">
      <items count="4">
        <item x="2"/>
        <item x="1"/>
        <item x="0"/>
        <item t="default"/>
      </items>
    </pivotField>
    <pivotField axis="axisRow" dataField="1" showAll="0">
      <items count="4">
        <item x="0"/>
        <item x="1"/>
        <item x="2"/>
        <item t="default"/>
      </items>
    </pivotField>
    <pivotField showAll="0"/>
  </pivotFields>
  <rowFields count="1">
    <field x="2"/>
  </rowFields>
  <rowItems count="4">
    <i>
      <x/>
    </i>
    <i>
      <x v="1"/>
    </i>
    <i>
      <x v="2"/>
    </i>
    <i t="grand">
      <x/>
    </i>
  </rowItems>
  <colItems count="1">
    <i/>
  </colItems>
  <dataFields count="1">
    <dataField name="Frequency" fld="2" subtotal="count" baseField="2" baseItem="0"/>
  </dataFields>
  <formats count="2">
    <format dxfId="4">
      <pivotArea field="0" type="button" dataOnly="0" labelOnly="1" outline="0"/>
    </format>
    <format dxfId="3">
      <pivotArea field="0" type="button" dataOnly="0" labelOnly="1" outline="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1D0D9E-8015-48DF-BEFC-56A9A571A165}" name="PivotTable2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S9" firstHeaderRow="1" firstDataRow="1" firstDataCol="1"/>
  <pivotFields count="4">
    <pivotField showAll="0">
      <items count="4">
        <item x="0"/>
        <item x="1"/>
        <item x="2"/>
        <item t="default"/>
      </items>
    </pivotField>
    <pivotField showAll="0">
      <items count="4">
        <item x="2"/>
        <item x="1"/>
        <item x="0"/>
        <item t="default"/>
      </items>
    </pivotField>
    <pivotField showAll="0">
      <items count="4">
        <item x="0"/>
        <item x="1"/>
        <item x="2"/>
        <item t="default"/>
      </items>
    </pivotField>
    <pivotField axis="axisRow" dataField="1" showAll="0">
      <items count="4">
        <item x="2"/>
        <item x="1"/>
        <item x="0"/>
        <item t="default"/>
      </items>
    </pivotField>
  </pivotFields>
  <rowFields count="1">
    <field x="3"/>
  </rowFields>
  <rowItems count="4">
    <i>
      <x/>
    </i>
    <i>
      <x v="1"/>
    </i>
    <i>
      <x v="2"/>
    </i>
    <i t="grand">
      <x/>
    </i>
  </rowItems>
  <colItems count="1">
    <i/>
  </colItems>
  <dataFields count="1">
    <dataField name="Frequency" fld="3" subtotal="count" baseField="3" baseItem="0"/>
  </dataFields>
  <formats count="3">
    <format dxfId="7">
      <pivotArea field="0" type="button" dataOnly="0" labelOnly="1" outline="0"/>
    </format>
    <format dxfId="6">
      <pivotArea field="0" type="button" dataOnly="0" labelOnly="1" outline="0"/>
    </format>
    <format dxfId="5">
      <pivotArea dataOnly="0" labelOnly="1"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F75409-AF3A-49AF-8538-1A748C7B634D}" name="PivotTable2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5:D9" firstHeaderRow="1" firstDataRow="1" firstDataCol="1"/>
  <pivotFields count="4">
    <pivotField axis="axisRow" dataField="1" showAll="0">
      <items count="4">
        <item x="0"/>
        <item x="1"/>
        <item x="2"/>
        <item t="default"/>
      </items>
    </pivotField>
    <pivotField showAll="0"/>
    <pivotField showAll="0"/>
    <pivotField showAll="0"/>
  </pivotFields>
  <rowFields count="1">
    <field x="0"/>
  </rowFields>
  <rowItems count="4">
    <i>
      <x/>
    </i>
    <i>
      <x v="1"/>
    </i>
    <i>
      <x v="2"/>
    </i>
    <i t="grand">
      <x/>
    </i>
  </rowItems>
  <colItems count="1">
    <i/>
  </colItems>
  <dataFields count="1">
    <dataField name="Frequency" fld="0" subtotal="count" baseField="0" baseItem="0"/>
  </dataFields>
  <formats count="4">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0"/>
          </reference>
        </references>
      </pivotArea>
    </format>
    <format dxfId="9">
      <pivotArea field="0" type="button" dataOnly="0" labelOnly="1" outline="0" axis="axisRow" fieldPosition="0"/>
    </format>
    <format dxfId="8">
      <pivotArea field="0"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1.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70"/>
  <sheetViews>
    <sheetView zoomScale="29" zoomScaleNormal="55" workbookViewId="0">
      <selection activeCell="I22" sqref="I22"/>
    </sheetView>
  </sheetViews>
  <sheetFormatPr defaultColWidth="8.81640625" defaultRowHeight="14.5" x14ac:dyDescent="0.35"/>
  <cols>
    <col min="1" max="1" width="22.453125" style="3" bestFit="1" customWidth="1"/>
    <col min="2" max="2" width="7.6328125" style="1" bestFit="1" customWidth="1"/>
    <col min="3" max="3" width="10.36328125" style="1" bestFit="1" customWidth="1"/>
    <col min="4" max="4" width="15.1796875" style="1" bestFit="1" customWidth="1"/>
    <col min="5" max="5" width="11.453125" style="1" bestFit="1" customWidth="1"/>
    <col min="6" max="6" width="8.6328125" style="4"/>
    <col min="8" max="8" width="17.1796875" bestFit="1" customWidth="1"/>
    <col min="9" max="9" width="21" bestFit="1" customWidth="1"/>
    <col min="19" max="19" width="13.6328125" bestFit="1" customWidth="1"/>
    <col min="27" max="27" width="15.6328125" bestFit="1" customWidth="1"/>
    <col min="29" max="29" width="20.453125" bestFit="1" customWidth="1"/>
  </cols>
  <sheetData>
    <row r="1" spans="1:29" s="2" customFormat="1" x14ac:dyDescent="0.35">
      <c r="A1" s="2" t="s">
        <v>0</v>
      </c>
      <c r="B1" s="2" t="s">
        <v>596</v>
      </c>
      <c r="C1" s="2" t="s">
        <v>595</v>
      </c>
      <c r="D1" s="2" t="s">
        <v>13</v>
      </c>
      <c r="E1" s="2" t="s">
        <v>16</v>
      </c>
      <c r="F1" s="2" t="s">
        <v>14</v>
      </c>
      <c r="G1" s="2" t="s">
        <v>1</v>
      </c>
      <c r="H1" s="2" t="s">
        <v>621</v>
      </c>
      <c r="I1" s="2" t="s">
        <v>622</v>
      </c>
      <c r="J1" s="2" t="s">
        <v>3</v>
      </c>
      <c r="K1" s="2" t="s">
        <v>4</v>
      </c>
      <c r="L1" s="2" t="s">
        <v>5</v>
      </c>
      <c r="M1" s="2" t="s">
        <v>6</v>
      </c>
      <c r="N1" s="2" t="s">
        <v>7</v>
      </c>
      <c r="O1" s="2" t="s">
        <v>8</v>
      </c>
      <c r="P1" s="2" t="s">
        <v>9</v>
      </c>
      <c r="Q1" s="2" t="s">
        <v>10</v>
      </c>
      <c r="R1" s="2" t="s">
        <v>11</v>
      </c>
      <c r="S1" s="2" t="s">
        <v>616</v>
      </c>
      <c r="T1" s="2" t="s">
        <v>617</v>
      </c>
      <c r="U1" s="2" t="s">
        <v>618</v>
      </c>
      <c r="V1" s="2" t="s">
        <v>619</v>
      </c>
      <c r="W1" s="2" t="s">
        <v>620</v>
      </c>
      <c r="X1" s="2" t="s">
        <v>623</v>
      </c>
      <c r="Y1" s="2" t="s">
        <v>624</v>
      </c>
      <c r="Z1" s="2" t="s">
        <v>12</v>
      </c>
      <c r="AA1" s="2" t="s">
        <v>625</v>
      </c>
      <c r="AB1" s="2" t="s">
        <v>15</v>
      </c>
      <c r="AC1" s="2" t="s">
        <v>626</v>
      </c>
    </row>
    <row r="2" spans="1:29" x14ac:dyDescent="0.35">
      <c r="A2" s="3" t="s">
        <v>170</v>
      </c>
      <c r="B2" s="1" t="s">
        <v>18</v>
      </c>
      <c r="C2" s="1" t="s">
        <v>598</v>
      </c>
      <c r="D2" s="1" t="s">
        <v>19</v>
      </c>
      <c r="E2" s="1" t="s">
        <v>28</v>
      </c>
      <c r="F2" s="4">
        <v>0</v>
      </c>
      <c r="G2">
        <v>24</v>
      </c>
      <c r="H2">
        <v>2</v>
      </c>
      <c r="I2">
        <v>2.5</v>
      </c>
      <c r="J2">
        <v>0</v>
      </c>
      <c r="K2" t="s">
        <v>599</v>
      </c>
      <c r="L2">
        <v>0</v>
      </c>
      <c r="M2" t="s">
        <v>599</v>
      </c>
      <c r="N2">
        <v>0</v>
      </c>
      <c r="O2" t="s">
        <v>599</v>
      </c>
      <c r="P2" t="s">
        <v>599</v>
      </c>
      <c r="Q2">
        <v>0</v>
      </c>
      <c r="R2" t="s">
        <v>599</v>
      </c>
      <c r="S2">
        <v>0</v>
      </c>
      <c r="T2">
        <v>0.5</v>
      </c>
      <c r="U2">
        <v>0</v>
      </c>
      <c r="V2">
        <v>0</v>
      </c>
      <c r="W2">
        <v>0</v>
      </c>
      <c r="X2">
        <v>1</v>
      </c>
      <c r="Y2">
        <v>0</v>
      </c>
      <c r="Z2">
        <v>0</v>
      </c>
      <c r="AA2">
        <v>-4</v>
      </c>
      <c r="AB2">
        <v>-0.1</v>
      </c>
      <c r="AC2">
        <v>0.111</v>
      </c>
    </row>
    <row r="3" spans="1:29" x14ac:dyDescent="0.35">
      <c r="A3" s="3" t="s">
        <v>355</v>
      </c>
      <c r="B3" s="1" t="s">
        <v>26</v>
      </c>
      <c r="C3" s="1" t="s">
        <v>597</v>
      </c>
      <c r="D3" s="1" t="s">
        <v>23</v>
      </c>
      <c r="E3" s="1" t="s">
        <v>50</v>
      </c>
      <c r="F3" s="4">
        <v>0</v>
      </c>
      <c r="G3">
        <v>27</v>
      </c>
      <c r="H3">
        <v>4</v>
      </c>
      <c r="I3">
        <v>1.8</v>
      </c>
      <c r="J3">
        <v>0</v>
      </c>
      <c r="K3" t="s">
        <v>599</v>
      </c>
      <c r="L3">
        <v>0</v>
      </c>
      <c r="M3" t="s">
        <v>599</v>
      </c>
      <c r="N3">
        <v>0</v>
      </c>
      <c r="O3" t="s">
        <v>599</v>
      </c>
      <c r="P3" t="s">
        <v>599</v>
      </c>
      <c r="Q3">
        <v>0</v>
      </c>
      <c r="R3" t="s">
        <v>599</v>
      </c>
      <c r="S3">
        <v>0</v>
      </c>
      <c r="T3">
        <v>0.3</v>
      </c>
      <c r="U3">
        <v>0.3</v>
      </c>
      <c r="V3">
        <v>0</v>
      </c>
      <c r="W3">
        <v>0</v>
      </c>
      <c r="X3">
        <v>0</v>
      </c>
      <c r="Y3">
        <v>0</v>
      </c>
      <c r="Z3">
        <v>5</v>
      </c>
      <c r="AA3">
        <v>5.6</v>
      </c>
      <c r="AB3">
        <v>10.9</v>
      </c>
      <c r="AC3">
        <v>0.114</v>
      </c>
    </row>
    <row r="4" spans="1:29" x14ac:dyDescent="0.35">
      <c r="A4" s="3" t="s">
        <v>405</v>
      </c>
      <c r="B4" s="1" t="s">
        <v>18</v>
      </c>
      <c r="C4" s="1" t="s">
        <v>597</v>
      </c>
      <c r="D4" s="1" t="s">
        <v>33</v>
      </c>
      <c r="E4" s="1" t="s">
        <v>20</v>
      </c>
      <c r="F4" s="4">
        <v>0</v>
      </c>
      <c r="G4">
        <v>29</v>
      </c>
      <c r="H4">
        <v>1</v>
      </c>
      <c r="I4">
        <v>3</v>
      </c>
      <c r="J4">
        <v>0</v>
      </c>
      <c r="K4" t="s">
        <v>599</v>
      </c>
      <c r="L4">
        <v>0</v>
      </c>
      <c r="M4" t="s">
        <v>599</v>
      </c>
      <c r="N4">
        <v>0</v>
      </c>
      <c r="O4" t="s">
        <v>599</v>
      </c>
      <c r="P4" t="s">
        <v>599</v>
      </c>
      <c r="Q4">
        <v>0</v>
      </c>
      <c r="R4" t="s">
        <v>599</v>
      </c>
      <c r="S4">
        <v>1</v>
      </c>
      <c r="T4">
        <v>1</v>
      </c>
      <c r="U4">
        <v>0</v>
      </c>
      <c r="V4">
        <v>0</v>
      </c>
      <c r="W4">
        <v>0</v>
      </c>
      <c r="X4">
        <v>0</v>
      </c>
      <c r="Y4">
        <v>0</v>
      </c>
      <c r="Z4">
        <v>6</v>
      </c>
      <c r="AA4">
        <v>7.5</v>
      </c>
      <c r="AB4">
        <v>13.8</v>
      </c>
      <c r="AC4">
        <v>0.19600000000000001</v>
      </c>
    </row>
    <row r="5" spans="1:29" x14ac:dyDescent="0.35">
      <c r="A5" s="3" t="s">
        <v>371</v>
      </c>
      <c r="B5" s="1" t="s">
        <v>26</v>
      </c>
      <c r="C5" s="1" t="s">
        <v>598</v>
      </c>
      <c r="D5" s="1" t="s">
        <v>23</v>
      </c>
      <c r="E5" s="1" t="s">
        <v>28</v>
      </c>
      <c r="F5" s="4">
        <v>0</v>
      </c>
      <c r="G5">
        <v>24</v>
      </c>
      <c r="H5">
        <v>1</v>
      </c>
      <c r="I5">
        <v>7</v>
      </c>
      <c r="J5">
        <v>1</v>
      </c>
      <c r="K5">
        <v>0</v>
      </c>
      <c r="L5">
        <v>1</v>
      </c>
      <c r="M5">
        <v>0</v>
      </c>
      <c r="N5">
        <v>0</v>
      </c>
      <c r="O5" t="s">
        <v>599</v>
      </c>
      <c r="P5">
        <v>0</v>
      </c>
      <c r="Q5">
        <v>0</v>
      </c>
      <c r="R5" t="s">
        <v>599</v>
      </c>
      <c r="S5">
        <v>2</v>
      </c>
      <c r="T5">
        <v>0</v>
      </c>
      <c r="U5">
        <v>0</v>
      </c>
      <c r="V5">
        <v>0</v>
      </c>
      <c r="W5">
        <v>0</v>
      </c>
      <c r="X5">
        <v>0</v>
      </c>
      <c r="Y5">
        <v>0</v>
      </c>
      <c r="Z5">
        <v>0</v>
      </c>
      <c r="AA5">
        <v>-11.8</v>
      </c>
      <c r="AB5">
        <v>-1.7</v>
      </c>
      <c r="AC5">
        <v>-0.114</v>
      </c>
    </row>
    <row r="6" spans="1:29" x14ac:dyDescent="0.35">
      <c r="A6" s="3" t="s">
        <v>410</v>
      </c>
      <c r="B6" s="1" t="s">
        <v>2</v>
      </c>
      <c r="C6" s="1" t="s">
        <v>598</v>
      </c>
      <c r="D6" s="1" t="s">
        <v>23</v>
      </c>
      <c r="E6" s="1" t="s">
        <v>28</v>
      </c>
      <c r="F6" s="4">
        <v>0</v>
      </c>
      <c r="G6">
        <v>23</v>
      </c>
      <c r="H6">
        <v>2</v>
      </c>
      <c r="I6">
        <v>5</v>
      </c>
      <c r="J6">
        <v>2.5</v>
      </c>
      <c r="K6">
        <v>0.2</v>
      </c>
      <c r="L6">
        <v>2.5</v>
      </c>
      <c r="M6">
        <v>0.2</v>
      </c>
      <c r="N6">
        <v>0</v>
      </c>
      <c r="O6" t="s">
        <v>599</v>
      </c>
      <c r="P6">
        <v>0.3</v>
      </c>
      <c r="Q6">
        <v>0</v>
      </c>
      <c r="R6" t="s">
        <v>599</v>
      </c>
      <c r="S6">
        <v>0</v>
      </c>
      <c r="T6">
        <v>0.5</v>
      </c>
      <c r="U6">
        <v>0</v>
      </c>
      <c r="V6">
        <v>0</v>
      </c>
      <c r="W6">
        <v>0.5</v>
      </c>
      <c r="X6">
        <v>0</v>
      </c>
      <c r="Y6">
        <v>1.5</v>
      </c>
      <c r="Z6">
        <v>0</v>
      </c>
      <c r="AA6">
        <v>-18.600000000000001</v>
      </c>
      <c r="AB6">
        <v>-5.2</v>
      </c>
      <c r="AC6">
        <v>-0.3</v>
      </c>
    </row>
    <row r="7" spans="1:29" x14ac:dyDescent="0.35">
      <c r="A7" s="3" t="s">
        <v>438</v>
      </c>
      <c r="B7" s="1" t="s">
        <v>2</v>
      </c>
      <c r="C7" s="1" t="s">
        <v>598</v>
      </c>
      <c r="D7" s="1" t="s">
        <v>23</v>
      </c>
      <c r="E7" s="1" t="s">
        <v>28</v>
      </c>
      <c r="F7" s="4">
        <v>0</v>
      </c>
      <c r="G7">
        <v>23</v>
      </c>
      <c r="H7">
        <v>3</v>
      </c>
      <c r="I7">
        <v>1</v>
      </c>
      <c r="J7">
        <v>0.3</v>
      </c>
      <c r="K7">
        <v>0</v>
      </c>
      <c r="L7">
        <v>0</v>
      </c>
      <c r="M7" t="s">
        <v>599</v>
      </c>
      <c r="N7">
        <v>0.3</v>
      </c>
      <c r="O7">
        <v>0</v>
      </c>
      <c r="P7">
        <v>0</v>
      </c>
      <c r="Q7">
        <v>0</v>
      </c>
      <c r="R7" t="s">
        <v>599</v>
      </c>
      <c r="S7">
        <v>0</v>
      </c>
      <c r="T7">
        <v>0</v>
      </c>
      <c r="U7">
        <v>0</v>
      </c>
      <c r="V7">
        <v>0</v>
      </c>
      <c r="W7">
        <v>0</v>
      </c>
      <c r="X7">
        <v>0</v>
      </c>
      <c r="Y7">
        <v>0</v>
      </c>
      <c r="Z7">
        <v>0</v>
      </c>
      <c r="AA7">
        <v>-22.7</v>
      </c>
      <c r="AB7">
        <v>-11.7</v>
      </c>
      <c r="AC7">
        <v>-0.30399999999999999</v>
      </c>
    </row>
    <row r="8" spans="1:29" x14ac:dyDescent="0.35">
      <c r="A8" s="3" t="s">
        <v>512</v>
      </c>
      <c r="B8" s="1" t="s">
        <v>26</v>
      </c>
      <c r="C8" s="1" t="s">
        <v>598</v>
      </c>
      <c r="D8" s="1" t="s">
        <v>23</v>
      </c>
      <c r="E8" s="1" t="s">
        <v>28</v>
      </c>
      <c r="F8" s="4">
        <v>0</v>
      </c>
      <c r="G8">
        <v>25</v>
      </c>
      <c r="H8">
        <v>3</v>
      </c>
      <c r="I8">
        <v>2</v>
      </c>
      <c r="J8">
        <v>0.3</v>
      </c>
      <c r="K8">
        <v>0</v>
      </c>
      <c r="L8">
        <v>0</v>
      </c>
      <c r="M8" t="s">
        <v>599</v>
      </c>
      <c r="N8">
        <v>0.3</v>
      </c>
      <c r="O8">
        <v>0</v>
      </c>
      <c r="P8">
        <v>0</v>
      </c>
      <c r="Q8">
        <v>0</v>
      </c>
      <c r="R8" t="s">
        <v>599</v>
      </c>
      <c r="S8">
        <v>0.3</v>
      </c>
      <c r="T8">
        <v>0.7</v>
      </c>
      <c r="U8">
        <v>0</v>
      </c>
      <c r="V8">
        <v>0</v>
      </c>
      <c r="W8">
        <v>0</v>
      </c>
      <c r="X8">
        <v>0</v>
      </c>
      <c r="Y8">
        <v>0</v>
      </c>
      <c r="Z8">
        <v>3</v>
      </c>
      <c r="AA8">
        <v>3.3</v>
      </c>
      <c r="AB8">
        <v>9.8000000000000007</v>
      </c>
      <c r="AC8">
        <v>4.9000000000000002E-2</v>
      </c>
    </row>
    <row r="9" spans="1:29" x14ac:dyDescent="0.35">
      <c r="A9" s="3" t="s">
        <v>503</v>
      </c>
      <c r="B9" s="1" t="s">
        <v>2</v>
      </c>
      <c r="C9" s="1" t="s">
        <v>597</v>
      </c>
      <c r="D9" s="1" t="s">
        <v>23</v>
      </c>
      <c r="E9" s="1" t="s">
        <v>28</v>
      </c>
      <c r="F9" s="4">
        <v>0</v>
      </c>
      <c r="G9">
        <v>24</v>
      </c>
      <c r="H9">
        <v>3</v>
      </c>
      <c r="I9">
        <v>2</v>
      </c>
      <c r="J9">
        <v>0.7</v>
      </c>
      <c r="K9">
        <v>0</v>
      </c>
      <c r="L9">
        <v>0.3</v>
      </c>
      <c r="M9">
        <v>0</v>
      </c>
      <c r="N9">
        <v>0.3</v>
      </c>
      <c r="O9">
        <v>0</v>
      </c>
      <c r="P9">
        <v>0</v>
      </c>
      <c r="Q9">
        <v>0</v>
      </c>
      <c r="R9" t="s">
        <v>599</v>
      </c>
      <c r="S9">
        <v>0.7</v>
      </c>
      <c r="T9">
        <v>0</v>
      </c>
      <c r="U9">
        <v>0.3</v>
      </c>
      <c r="V9">
        <v>0</v>
      </c>
      <c r="W9">
        <v>0</v>
      </c>
      <c r="X9">
        <v>0</v>
      </c>
      <c r="Y9">
        <v>0</v>
      </c>
      <c r="Z9">
        <v>0</v>
      </c>
      <c r="AA9">
        <v>-11.8</v>
      </c>
      <c r="AB9">
        <v>0.1</v>
      </c>
      <c r="AC9">
        <v>-0.19600000000000001</v>
      </c>
    </row>
    <row r="10" spans="1:29" x14ac:dyDescent="0.35">
      <c r="A10" s="3" t="s">
        <v>533</v>
      </c>
      <c r="B10" s="1" t="s">
        <v>26</v>
      </c>
      <c r="C10" s="1" t="s">
        <v>597</v>
      </c>
      <c r="D10" s="1" t="s">
        <v>23</v>
      </c>
      <c r="E10" s="1" t="s">
        <v>50</v>
      </c>
      <c r="F10" s="4">
        <v>-0.1</v>
      </c>
      <c r="G10">
        <v>39</v>
      </c>
      <c r="H10">
        <v>3</v>
      </c>
      <c r="I10">
        <v>19.3</v>
      </c>
      <c r="J10">
        <v>2.2999999999999998</v>
      </c>
      <c r="K10">
        <v>0.42899999999999999</v>
      </c>
      <c r="L10">
        <v>2</v>
      </c>
      <c r="M10">
        <v>0.5</v>
      </c>
      <c r="N10">
        <v>0.3</v>
      </c>
      <c r="O10">
        <v>0</v>
      </c>
      <c r="P10">
        <v>0.64300000000000002</v>
      </c>
      <c r="Q10">
        <v>0</v>
      </c>
      <c r="R10" t="s">
        <v>599</v>
      </c>
      <c r="S10">
        <v>2.7</v>
      </c>
      <c r="T10">
        <v>0</v>
      </c>
      <c r="U10">
        <v>0.3</v>
      </c>
      <c r="V10">
        <v>0.3</v>
      </c>
      <c r="W10">
        <v>0.3</v>
      </c>
      <c r="X10">
        <v>2.7</v>
      </c>
      <c r="Y10">
        <v>3</v>
      </c>
      <c r="Z10">
        <v>13</v>
      </c>
      <c r="AA10">
        <v>-7.2</v>
      </c>
      <c r="AB10">
        <v>5.5</v>
      </c>
      <c r="AC10">
        <v>7.0000000000000007E-2</v>
      </c>
    </row>
    <row r="11" spans="1:29" x14ac:dyDescent="0.35">
      <c r="A11" s="3" t="s">
        <v>253</v>
      </c>
      <c r="B11" s="1" t="s">
        <v>26</v>
      </c>
      <c r="C11" s="1" t="s">
        <v>598</v>
      </c>
      <c r="D11" s="1" t="s">
        <v>19</v>
      </c>
      <c r="E11" s="1" t="s">
        <v>28</v>
      </c>
      <c r="F11" s="4">
        <v>-0.1</v>
      </c>
      <c r="G11">
        <v>37</v>
      </c>
      <c r="H11">
        <v>19</v>
      </c>
      <c r="I11">
        <v>6</v>
      </c>
      <c r="J11">
        <v>1.2</v>
      </c>
      <c r="K11">
        <v>0.26100000000000001</v>
      </c>
      <c r="L11">
        <v>0.8</v>
      </c>
      <c r="M11">
        <v>0.2</v>
      </c>
      <c r="N11">
        <v>0.4</v>
      </c>
      <c r="O11">
        <v>0.375</v>
      </c>
      <c r="P11">
        <v>0.32600000000000001</v>
      </c>
      <c r="Q11">
        <v>0</v>
      </c>
      <c r="R11" t="s">
        <v>599</v>
      </c>
      <c r="S11">
        <v>0.6</v>
      </c>
      <c r="T11">
        <v>1.2</v>
      </c>
      <c r="U11">
        <v>0.1</v>
      </c>
      <c r="V11">
        <v>0</v>
      </c>
      <c r="W11">
        <v>0.5</v>
      </c>
      <c r="X11">
        <v>0.6</v>
      </c>
      <c r="Y11">
        <v>0.8</v>
      </c>
      <c r="Z11">
        <v>10</v>
      </c>
      <c r="AA11">
        <v>-7</v>
      </c>
      <c r="AB11">
        <v>2.4</v>
      </c>
      <c r="AC11">
        <v>-3.5000000000000003E-2</v>
      </c>
    </row>
    <row r="12" spans="1:29" x14ac:dyDescent="0.35">
      <c r="A12" s="3" t="s">
        <v>359</v>
      </c>
      <c r="B12" s="1" t="s">
        <v>26</v>
      </c>
      <c r="C12" s="1" t="s">
        <v>598</v>
      </c>
      <c r="D12" s="1" t="s">
        <v>19</v>
      </c>
      <c r="E12" s="1" t="s">
        <v>28</v>
      </c>
      <c r="F12" s="4">
        <v>-0.1</v>
      </c>
      <c r="G12">
        <v>28</v>
      </c>
      <c r="H12">
        <v>9</v>
      </c>
      <c r="I12">
        <v>4.8</v>
      </c>
      <c r="J12">
        <v>1.9</v>
      </c>
      <c r="K12">
        <v>0.29399999999999998</v>
      </c>
      <c r="L12">
        <v>1.4</v>
      </c>
      <c r="M12">
        <v>0.308</v>
      </c>
      <c r="N12">
        <v>0.4</v>
      </c>
      <c r="O12">
        <v>0.25</v>
      </c>
      <c r="P12">
        <v>0.41199999999999998</v>
      </c>
      <c r="Q12">
        <v>0</v>
      </c>
      <c r="R12" t="s">
        <v>599</v>
      </c>
      <c r="S12">
        <v>0.6</v>
      </c>
      <c r="T12">
        <v>0.1</v>
      </c>
      <c r="U12">
        <v>0</v>
      </c>
      <c r="V12">
        <v>0.2</v>
      </c>
      <c r="W12">
        <v>0.2</v>
      </c>
      <c r="X12">
        <v>0.3</v>
      </c>
      <c r="Y12">
        <v>1.6</v>
      </c>
      <c r="Z12">
        <v>0</v>
      </c>
      <c r="AA12">
        <v>-7.7</v>
      </c>
      <c r="AB12">
        <v>4</v>
      </c>
      <c r="AC12">
        <v>-3.1E-2</v>
      </c>
    </row>
    <row r="13" spans="1:29" x14ac:dyDescent="0.35">
      <c r="A13" s="3" t="s">
        <v>350</v>
      </c>
      <c r="B13" s="1" t="s">
        <v>2</v>
      </c>
      <c r="C13" s="1" t="s">
        <v>597</v>
      </c>
      <c r="D13" s="1" t="s">
        <v>23</v>
      </c>
      <c r="E13" s="1" t="s">
        <v>28</v>
      </c>
      <c r="F13" s="4">
        <v>0</v>
      </c>
      <c r="G13">
        <v>26</v>
      </c>
      <c r="H13">
        <v>2</v>
      </c>
      <c r="I13">
        <v>5</v>
      </c>
      <c r="J13">
        <v>1</v>
      </c>
      <c r="K13">
        <v>0</v>
      </c>
      <c r="L13">
        <v>0.5</v>
      </c>
      <c r="M13">
        <v>0</v>
      </c>
      <c r="N13">
        <v>0.5</v>
      </c>
      <c r="O13">
        <v>0</v>
      </c>
      <c r="P13">
        <v>0</v>
      </c>
      <c r="Q13">
        <v>0</v>
      </c>
      <c r="R13" t="s">
        <v>599</v>
      </c>
      <c r="S13">
        <v>0.5</v>
      </c>
      <c r="T13">
        <v>1.5</v>
      </c>
      <c r="U13">
        <v>0</v>
      </c>
      <c r="V13">
        <v>0</v>
      </c>
      <c r="W13">
        <v>0</v>
      </c>
      <c r="X13">
        <v>1</v>
      </c>
      <c r="Y13">
        <v>0</v>
      </c>
      <c r="Z13">
        <v>2</v>
      </c>
      <c r="AA13">
        <v>-11</v>
      </c>
      <c r="AB13">
        <v>-0.3</v>
      </c>
      <c r="AC13">
        <v>-4.7E-2</v>
      </c>
    </row>
    <row r="14" spans="1:29" x14ac:dyDescent="0.35">
      <c r="A14" s="3" t="s">
        <v>255</v>
      </c>
      <c r="B14" s="1" t="s">
        <v>26</v>
      </c>
      <c r="C14" s="1" t="s">
        <v>598</v>
      </c>
      <c r="D14" s="1" t="s">
        <v>23</v>
      </c>
      <c r="E14" s="1" t="s">
        <v>50</v>
      </c>
      <c r="F14" s="4">
        <v>0</v>
      </c>
      <c r="G14">
        <v>22</v>
      </c>
      <c r="H14">
        <v>5</v>
      </c>
      <c r="I14">
        <v>7</v>
      </c>
      <c r="J14">
        <v>0.8</v>
      </c>
      <c r="K14">
        <v>0.5</v>
      </c>
      <c r="L14">
        <v>0.2</v>
      </c>
      <c r="M14">
        <v>0</v>
      </c>
      <c r="N14">
        <v>0.6</v>
      </c>
      <c r="O14">
        <v>0.66700000000000004</v>
      </c>
      <c r="P14">
        <v>0.5</v>
      </c>
      <c r="Q14">
        <v>0</v>
      </c>
      <c r="R14" t="s">
        <v>599</v>
      </c>
      <c r="S14">
        <v>1.8</v>
      </c>
      <c r="T14">
        <v>0.6</v>
      </c>
      <c r="U14">
        <v>0.6</v>
      </c>
      <c r="V14">
        <v>0</v>
      </c>
      <c r="W14">
        <v>0.2</v>
      </c>
      <c r="X14">
        <v>0.4</v>
      </c>
      <c r="Y14">
        <v>0.8</v>
      </c>
      <c r="Z14">
        <v>0</v>
      </c>
      <c r="AA14">
        <v>-1.2</v>
      </c>
      <c r="AB14">
        <v>10.9</v>
      </c>
      <c r="AC14">
        <v>9.2999999999999999E-2</v>
      </c>
    </row>
    <row r="15" spans="1:29" x14ac:dyDescent="0.35">
      <c r="A15" s="3" t="s">
        <v>526</v>
      </c>
      <c r="B15" s="1" t="s">
        <v>26</v>
      </c>
      <c r="C15" s="1" t="s">
        <v>35</v>
      </c>
      <c r="D15" s="1" t="s">
        <v>23</v>
      </c>
      <c r="E15" s="1" t="s">
        <v>28</v>
      </c>
      <c r="F15" s="4">
        <v>0</v>
      </c>
      <c r="G15">
        <v>24</v>
      </c>
      <c r="H15">
        <v>17</v>
      </c>
      <c r="I15">
        <v>4.5</v>
      </c>
      <c r="J15">
        <v>1.3</v>
      </c>
      <c r="K15">
        <v>0.40899999999999997</v>
      </c>
      <c r="L15">
        <v>0.6</v>
      </c>
      <c r="M15">
        <v>0.5</v>
      </c>
      <c r="N15">
        <v>0.7</v>
      </c>
      <c r="O15">
        <v>0.33300000000000002</v>
      </c>
      <c r="P15">
        <v>0.52300000000000002</v>
      </c>
      <c r="Q15">
        <v>0</v>
      </c>
      <c r="R15" t="s">
        <v>599</v>
      </c>
      <c r="S15">
        <v>0.9</v>
      </c>
      <c r="T15">
        <v>0.4</v>
      </c>
      <c r="U15">
        <v>0.1</v>
      </c>
      <c r="V15">
        <v>0</v>
      </c>
      <c r="W15">
        <v>0.2</v>
      </c>
      <c r="X15">
        <v>0.2</v>
      </c>
      <c r="Y15">
        <v>1.4</v>
      </c>
      <c r="Z15">
        <v>1</v>
      </c>
      <c r="AA15">
        <v>-2.6</v>
      </c>
      <c r="AB15">
        <v>9.1999999999999993</v>
      </c>
      <c r="AC15">
        <v>0.03</v>
      </c>
    </row>
    <row r="16" spans="1:29" x14ac:dyDescent="0.35">
      <c r="A16" s="3" t="s">
        <v>313</v>
      </c>
      <c r="B16" s="1" t="s">
        <v>26</v>
      </c>
      <c r="C16" s="1" t="s">
        <v>598</v>
      </c>
      <c r="D16" s="1" t="s">
        <v>19</v>
      </c>
      <c r="E16" s="1" t="s">
        <v>20</v>
      </c>
      <c r="F16" s="4">
        <v>0</v>
      </c>
      <c r="G16">
        <v>28</v>
      </c>
      <c r="H16">
        <v>4</v>
      </c>
      <c r="I16">
        <v>3</v>
      </c>
      <c r="J16">
        <v>1</v>
      </c>
      <c r="K16">
        <v>0.5</v>
      </c>
      <c r="L16">
        <v>0.3</v>
      </c>
      <c r="M16">
        <v>1</v>
      </c>
      <c r="N16">
        <v>0.8</v>
      </c>
      <c r="O16">
        <v>0.33300000000000002</v>
      </c>
      <c r="P16">
        <v>0.625</v>
      </c>
      <c r="Q16">
        <v>0</v>
      </c>
      <c r="R16" t="s">
        <v>599</v>
      </c>
      <c r="S16">
        <v>0.8</v>
      </c>
      <c r="T16">
        <v>0.3</v>
      </c>
      <c r="U16">
        <v>0</v>
      </c>
      <c r="V16">
        <v>0</v>
      </c>
      <c r="W16">
        <v>0</v>
      </c>
      <c r="X16">
        <v>0.3</v>
      </c>
      <c r="Y16">
        <v>1.3</v>
      </c>
      <c r="Z16">
        <v>4</v>
      </c>
      <c r="AA16">
        <v>2.1</v>
      </c>
      <c r="AB16">
        <v>15.9</v>
      </c>
      <c r="AC16">
        <v>0.16500000000000001</v>
      </c>
    </row>
    <row r="17" spans="1:29" x14ac:dyDescent="0.35">
      <c r="A17" s="3" t="s">
        <v>98</v>
      </c>
      <c r="B17" s="1" t="s">
        <v>26</v>
      </c>
      <c r="C17" s="1" t="s">
        <v>598</v>
      </c>
      <c r="D17" s="1" t="s">
        <v>19</v>
      </c>
      <c r="E17" s="1" t="s">
        <v>50</v>
      </c>
      <c r="F17" s="4">
        <v>-0.2</v>
      </c>
      <c r="G17">
        <v>27</v>
      </c>
      <c r="H17">
        <v>13</v>
      </c>
      <c r="I17">
        <v>10.5</v>
      </c>
      <c r="J17">
        <v>2</v>
      </c>
      <c r="K17">
        <v>0.38500000000000001</v>
      </c>
      <c r="L17">
        <v>1.2</v>
      </c>
      <c r="M17">
        <v>0.26700000000000002</v>
      </c>
      <c r="N17">
        <v>0.8</v>
      </c>
      <c r="O17">
        <v>0.54500000000000004</v>
      </c>
      <c r="P17">
        <v>0.46200000000000002</v>
      </c>
      <c r="Q17">
        <v>0</v>
      </c>
      <c r="R17" t="s">
        <v>599</v>
      </c>
      <c r="S17">
        <v>2.5</v>
      </c>
      <c r="T17">
        <v>0.7</v>
      </c>
      <c r="U17">
        <v>0.2</v>
      </c>
      <c r="V17">
        <v>0.2</v>
      </c>
      <c r="W17">
        <v>0.8</v>
      </c>
      <c r="X17">
        <v>0.8</v>
      </c>
      <c r="Y17">
        <v>1.8</v>
      </c>
      <c r="Z17">
        <v>5</v>
      </c>
      <c r="AA17">
        <v>-7.1</v>
      </c>
      <c r="AB17">
        <v>4.5999999999999996</v>
      </c>
      <c r="AC17">
        <v>-3.4000000000000002E-2</v>
      </c>
    </row>
    <row r="18" spans="1:29" x14ac:dyDescent="0.35">
      <c r="A18" s="3" t="s">
        <v>56</v>
      </c>
      <c r="B18" s="1" t="s">
        <v>26</v>
      </c>
      <c r="C18" s="1" t="s">
        <v>597</v>
      </c>
      <c r="D18" s="1" t="s">
        <v>23</v>
      </c>
      <c r="E18" s="1" t="s">
        <v>50</v>
      </c>
      <c r="F18" s="4">
        <v>0</v>
      </c>
      <c r="G18">
        <v>21</v>
      </c>
      <c r="H18">
        <v>10</v>
      </c>
      <c r="I18">
        <v>7.5</v>
      </c>
      <c r="J18">
        <v>3.8</v>
      </c>
      <c r="K18">
        <v>0.34200000000000003</v>
      </c>
      <c r="L18">
        <v>3</v>
      </c>
      <c r="M18">
        <v>0.36699999999999999</v>
      </c>
      <c r="N18">
        <v>0.8</v>
      </c>
      <c r="O18">
        <v>0.25</v>
      </c>
      <c r="P18">
        <v>0.48699999999999999</v>
      </c>
      <c r="Q18">
        <v>0</v>
      </c>
      <c r="R18" t="s">
        <v>599</v>
      </c>
      <c r="S18">
        <v>0.7</v>
      </c>
      <c r="T18">
        <v>0.8</v>
      </c>
      <c r="U18">
        <v>0.1</v>
      </c>
      <c r="V18">
        <v>0.1</v>
      </c>
      <c r="W18">
        <v>0.2</v>
      </c>
      <c r="X18">
        <v>0.4</v>
      </c>
      <c r="Y18">
        <v>3.7</v>
      </c>
      <c r="Z18">
        <v>1</v>
      </c>
      <c r="AA18">
        <v>-1.5</v>
      </c>
      <c r="AB18">
        <v>9.8000000000000007</v>
      </c>
      <c r="AC18">
        <v>3.7999999999999999E-2</v>
      </c>
    </row>
    <row r="19" spans="1:29" x14ac:dyDescent="0.35">
      <c r="A19" s="3" t="s">
        <v>560</v>
      </c>
      <c r="B19" s="1" t="s">
        <v>26</v>
      </c>
      <c r="C19" s="1" t="s">
        <v>597</v>
      </c>
      <c r="D19" s="1" t="s">
        <v>23</v>
      </c>
      <c r="E19" s="1" t="s">
        <v>50</v>
      </c>
      <c r="F19" s="4">
        <v>0</v>
      </c>
      <c r="G19">
        <v>24</v>
      </c>
      <c r="H19">
        <v>9</v>
      </c>
      <c r="I19">
        <v>2.4</v>
      </c>
      <c r="J19">
        <v>1</v>
      </c>
      <c r="K19">
        <v>0.44400000000000001</v>
      </c>
      <c r="L19">
        <v>0.1</v>
      </c>
      <c r="M19">
        <v>0</v>
      </c>
      <c r="N19">
        <v>0.9</v>
      </c>
      <c r="O19">
        <v>0.5</v>
      </c>
      <c r="P19">
        <v>0.44400000000000001</v>
      </c>
      <c r="Q19">
        <v>0</v>
      </c>
      <c r="R19" t="s">
        <v>599</v>
      </c>
      <c r="S19">
        <v>0.3</v>
      </c>
      <c r="T19">
        <v>0.2</v>
      </c>
      <c r="U19">
        <v>0.1</v>
      </c>
      <c r="V19">
        <v>0</v>
      </c>
      <c r="W19">
        <v>0.2</v>
      </c>
      <c r="X19">
        <v>0.3</v>
      </c>
      <c r="Y19">
        <v>0.9</v>
      </c>
      <c r="Z19">
        <v>0</v>
      </c>
      <c r="AA19">
        <v>-10.1</v>
      </c>
      <c r="AB19">
        <v>5.9</v>
      </c>
      <c r="AC19">
        <v>-7.0000000000000007E-2</v>
      </c>
    </row>
    <row r="20" spans="1:29" x14ac:dyDescent="0.35">
      <c r="A20" s="3" t="s">
        <v>144</v>
      </c>
      <c r="B20" s="1" t="s">
        <v>2</v>
      </c>
      <c r="C20" s="1" t="s">
        <v>598</v>
      </c>
      <c r="D20" s="1" t="s">
        <v>23</v>
      </c>
      <c r="E20" s="1" t="s">
        <v>28</v>
      </c>
      <c r="F20" s="4">
        <v>0</v>
      </c>
      <c r="G20">
        <v>27</v>
      </c>
      <c r="H20">
        <v>1</v>
      </c>
      <c r="I20">
        <v>8</v>
      </c>
      <c r="J20">
        <v>2</v>
      </c>
      <c r="K20">
        <v>0</v>
      </c>
      <c r="L20">
        <v>1</v>
      </c>
      <c r="M20">
        <v>0</v>
      </c>
      <c r="N20">
        <v>1</v>
      </c>
      <c r="O20">
        <v>0</v>
      </c>
      <c r="P20">
        <v>0</v>
      </c>
      <c r="Q20">
        <v>0</v>
      </c>
      <c r="R20" t="s">
        <v>599</v>
      </c>
      <c r="S20">
        <v>1</v>
      </c>
      <c r="T20">
        <v>1</v>
      </c>
      <c r="U20">
        <v>0</v>
      </c>
      <c r="V20">
        <v>0</v>
      </c>
      <c r="W20">
        <v>0</v>
      </c>
      <c r="X20">
        <v>0</v>
      </c>
      <c r="Y20">
        <v>0</v>
      </c>
      <c r="Z20">
        <v>4</v>
      </c>
      <c r="AA20">
        <v>-16.899999999999999</v>
      </c>
      <c r="AB20">
        <v>-4</v>
      </c>
      <c r="AC20">
        <v>-0.191</v>
      </c>
    </row>
    <row r="21" spans="1:29" x14ac:dyDescent="0.35">
      <c r="A21" s="3" t="s">
        <v>573</v>
      </c>
      <c r="B21" s="1" t="s">
        <v>2</v>
      </c>
      <c r="C21" s="1" t="s">
        <v>597</v>
      </c>
      <c r="D21" s="1" t="s">
        <v>23</v>
      </c>
      <c r="E21" s="1" t="s">
        <v>28</v>
      </c>
      <c r="F21" s="4">
        <v>0</v>
      </c>
      <c r="G21">
        <v>25</v>
      </c>
      <c r="H21">
        <v>1</v>
      </c>
      <c r="I21">
        <v>4</v>
      </c>
      <c r="J21">
        <v>2</v>
      </c>
      <c r="K21">
        <v>1</v>
      </c>
      <c r="L21">
        <v>1</v>
      </c>
      <c r="M21">
        <v>1</v>
      </c>
      <c r="N21">
        <v>1</v>
      </c>
      <c r="O21">
        <v>1</v>
      </c>
      <c r="P21">
        <v>1.25</v>
      </c>
      <c r="Q21">
        <v>0</v>
      </c>
      <c r="R21" t="s">
        <v>599</v>
      </c>
      <c r="S21">
        <v>0</v>
      </c>
      <c r="T21">
        <v>1</v>
      </c>
      <c r="U21">
        <v>0</v>
      </c>
      <c r="V21">
        <v>0</v>
      </c>
      <c r="W21">
        <v>0</v>
      </c>
      <c r="X21">
        <v>0</v>
      </c>
      <c r="Y21">
        <v>5</v>
      </c>
      <c r="Z21">
        <v>2</v>
      </c>
      <c r="AA21">
        <v>44.1</v>
      </c>
      <c r="AB21">
        <v>53.4</v>
      </c>
      <c r="AC21">
        <v>0.56499999999999995</v>
      </c>
    </row>
    <row r="22" spans="1:29" x14ac:dyDescent="0.35">
      <c r="A22" s="3" t="s">
        <v>125</v>
      </c>
      <c r="B22" s="1" t="s">
        <v>2</v>
      </c>
      <c r="C22" s="1" t="s">
        <v>598</v>
      </c>
      <c r="D22" s="1" t="s">
        <v>23</v>
      </c>
      <c r="E22" s="1" t="s">
        <v>28</v>
      </c>
      <c r="F22" s="4">
        <v>0</v>
      </c>
      <c r="G22">
        <v>23</v>
      </c>
      <c r="H22">
        <v>2</v>
      </c>
      <c r="I22">
        <v>8</v>
      </c>
      <c r="J22">
        <v>1.5</v>
      </c>
      <c r="K22">
        <v>0.33300000000000002</v>
      </c>
      <c r="L22">
        <v>0</v>
      </c>
      <c r="M22" t="s">
        <v>599</v>
      </c>
      <c r="N22">
        <v>1.5</v>
      </c>
      <c r="O22">
        <v>0.33300000000000002</v>
      </c>
      <c r="P22">
        <v>0.33300000000000002</v>
      </c>
      <c r="Q22">
        <v>0</v>
      </c>
      <c r="R22" t="s">
        <v>599</v>
      </c>
      <c r="S22">
        <v>1.5</v>
      </c>
      <c r="T22">
        <v>2</v>
      </c>
      <c r="U22">
        <v>1</v>
      </c>
      <c r="V22">
        <v>0</v>
      </c>
      <c r="W22">
        <v>0</v>
      </c>
      <c r="X22">
        <v>2.5</v>
      </c>
      <c r="Y22">
        <v>1</v>
      </c>
      <c r="Z22">
        <v>0</v>
      </c>
      <c r="AA22">
        <v>0.3</v>
      </c>
      <c r="AB22">
        <v>13.9</v>
      </c>
      <c r="AC22">
        <v>0.214</v>
      </c>
    </row>
    <row r="23" spans="1:29" x14ac:dyDescent="0.35">
      <c r="A23" s="3" t="s">
        <v>469</v>
      </c>
      <c r="B23" s="1" t="s">
        <v>18</v>
      </c>
      <c r="C23" s="1" t="s">
        <v>597</v>
      </c>
      <c r="D23" s="1" t="s">
        <v>19</v>
      </c>
      <c r="E23" s="1" t="s">
        <v>28</v>
      </c>
      <c r="F23" s="4">
        <v>0</v>
      </c>
      <c r="G23">
        <v>22</v>
      </c>
      <c r="H23">
        <v>4</v>
      </c>
      <c r="I23">
        <v>5.3</v>
      </c>
      <c r="J23">
        <v>1.8</v>
      </c>
      <c r="K23">
        <v>0.57099999999999995</v>
      </c>
      <c r="L23">
        <v>0</v>
      </c>
      <c r="M23" t="s">
        <v>599</v>
      </c>
      <c r="N23">
        <v>1.8</v>
      </c>
      <c r="O23">
        <v>0.57099999999999995</v>
      </c>
      <c r="P23">
        <v>0.57099999999999995</v>
      </c>
      <c r="Q23">
        <v>0</v>
      </c>
      <c r="R23" t="s">
        <v>599</v>
      </c>
      <c r="S23">
        <v>1.5</v>
      </c>
      <c r="T23">
        <v>0.3</v>
      </c>
      <c r="U23">
        <v>0</v>
      </c>
      <c r="V23">
        <v>0</v>
      </c>
      <c r="W23">
        <v>0.3</v>
      </c>
      <c r="X23">
        <v>0.3</v>
      </c>
      <c r="Y23">
        <v>2</v>
      </c>
      <c r="Z23">
        <v>1</v>
      </c>
      <c r="AA23">
        <v>-2.6</v>
      </c>
      <c r="AB23">
        <v>15.2</v>
      </c>
      <c r="AC23">
        <v>0.105</v>
      </c>
    </row>
    <row r="24" spans="1:29" x14ac:dyDescent="0.35">
      <c r="A24" s="3" t="s">
        <v>188</v>
      </c>
      <c r="B24" s="1" t="s">
        <v>2</v>
      </c>
      <c r="C24" s="1" t="s">
        <v>598</v>
      </c>
      <c r="D24" s="1" t="s">
        <v>23</v>
      </c>
      <c r="E24" s="1" t="s">
        <v>20</v>
      </c>
      <c r="F24" s="4">
        <v>-0.1</v>
      </c>
      <c r="G24">
        <v>26</v>
      </c>
      <c r="H24">
        <v>21</v>
      </c>
      <c r="I24">
        <v>8.8000000000000007</v>
      </c>
      <c r="J24">
        <v>3.2</v>
      </c>
      <c r="K24">
        <v>0.41799999999999998</v>
      </c>
      <c r="L24">
        <v>0.4</v>
      </c>
      <c r="M24">
        <v>0.5</v>
      </c>
      <c r="N24">
        <v>2.8</v>
      </c>
      <c r="O24">
        <v>0.40699999999999997</v>
      </c>
      <c r="P24">
        <v>0.44800000000000001</v>
      </c>
      <c r="Q24">
        <v>0</v>
      </c>
      <c r="R24">
        <v>1</v>
      </c>
      <c r="S24">
        <v>1</v>
      </c>
      <c r="T24">
        <v>1.3</v>
      </c>
      <c r="U24">
        <v>0.5</v>
      </c>
      <c r="V24">
        <v>0.1</v>
      </c>
      <c r="W24">
        <v>0.7</v>
      </c>
      <c r="X24">
        <v>0.6</v>
      </c>
      <c r="Y24">
        <v>2.9</v>
      </c>
      <c r="Z24">
        <v>7</v>
      </c>
      <c r="AA24">
        <v>-4.7</v>
      </c>
      <c r="AB24">
        <v>8.9</v>
      </c>
      <c r="AC24">
        <v>-2.5999999999999999E-2</v>
      </c>
    </row>
    <row r="25" spans="1:29" x14ac:dyDescent="0.35">
      <c r="A25" s="3" t="s">
        <v>161</v>
      </c>
      <c r="B25" s="1" t="s">
        <v>2</v>
      </c>
      <c r="C25" s="1" t="s">
        <v>598</v>
      </c>
      <c r="D25" s="1" t="s">
        <v>19</v>
      </c>
      <c r="E25" s="1" t="s">
        <v>28</v>
      </c>
      <c r="F25" s="4">
        <v>0</v>
      </c>
      <c r="G25">
        <v>24</v>
      </c>
      <c r="H25">
        <v>21</v>
      </c>
      <c r="I25">
        <v>6</v>
      </c>
      <c r="J25">
        <v>1.4</v>
      </c>
      <c r="K25">
        <v>0.4</v>
      </c>
      <c r="L25">
        <v>1</v>
      </c>
      <c r="M25">
        <v>0.47599999999999998</v>
      </c>
      <c r="N25">
        <v>0.4</v>
      </c>
      <c r="O25">
        <v>0.222</v>
      </c>
      <c r="P25">
        <v>0.56699999999999995</v>
      </c>
      <c r="Q25">
        <v>0.1</v>
      </c>
      <c r="R25">
        <v>1</v>
      </c>
      <c r="S25">
        <v>1.2</v>
      </c>
      <c r="T25">
        <v>0.2</v>
      </c>
      <c r="U25">
        <v>0.2</v>
      </c>
      <c r="V25">
        <v>0</v>
      </c>
      <c r="W25">
        <v>0.2</v>
      </c>
      <c r="X25">
        <v>0.6</v>
      </c>
      <c r="Y25">
        <v>1.7</v>
      </c>
      <c r="Z25">
        <v>0</v>
      </c>
      <c r="AA25">
        <v>-2</v>
      </c>
      <c r="AB25">
        <v>10.1</v>
      </c>
      <c r="AC25">
        <v>0.125</v>
      </c>
    </row>
    <row r="26" spans="1:29" x14ac:dyDescent="0.35">
      <c r="A26" s="3" t="s">
        <v>356</v>
      </c>
      <c r="B26" s="1" t="s">
        <v>26</v>
      </c>
      <c r="C26" s="1" t="s">
        <v>598</v>
      </c>
      <c r="D26" s="1" t="s">
        <v>23</v>
      </c>
      <c r="E26" s="1" t="s">
        <v>20</v>
      </c>
      <c r="F26" s="4">
        <v>-0.1</v>
      </c>
      <c r="G26">
        <v>33</v>
      </c>
      <c r="H26">
        <v>42</v>
      </c>
      <c r="I26">
        <v>8.1</v>
      </c>
      <c r="J26">
        <v>2.8</v>
      </c>
      <c r="K26">
        <v>0.42699999999999999</v>
      </c>
      <c r="L26">
        <v>2.4</v>
      </c>
      <c r="M26">
        <v>0.436</v>
      </c>
      <c r="N26">
        <v>0.4</v>
      </c>
      <c r="O26">
        <v>0.375</v>
      </c>
      <c r="P26">
        <v>0.61499999999999999</v>
      </c>
      <c r="Q26">
        <v>0.1</v>
      </c>
      <c r="R26">
        <v>0.6</v>
      </c>
      <c r="S26">
        <v>0.5</v>
      </c>
      <c r="T26">
        <v>0.2</v>
      </c>
      <c r="U26">
        <v>0.1</v>
      </c>
      <c r="V26">
        <v>0</v>
      </c>
      <c r="W26">
        <v>0.1</v>
      </c>
      <c r="X26">
        <v>0.7</v>
      </c>
      <c r="Y26">
        <v>3.5</v>
      </c>
      <c r="Z26">
        <v>10</v>
      </c>
      <c r="AA26">
        <v>-3.2</v>
      </c>
      <c r="AB26">
        <v>9.5</v>
      </c>
      <c r="AC26">
        <v>6.0999999999999999E-2</v>
      </c>
    </row>
    <row r="27" spans="1:29" x14ac:dyDescent="0.35">
      <c r="A27" s="3" t="s">
        <v>397</v>
      </c>
      <c r="B27" s="1" t="s">
        <v>2</v>
      </c>
      <c r="C27" s="1" t="s">
        <v>35</v>
      </c>
      <c r="D27" s="1" t="s">
        <v>23</v>
      </c>
      <c r="E27" s="1" t="s">
        <v>50</v>
      </c>
      <c r="F27" s="4">
        <v>-0.1</v>
      </c>
      <c r="G27">
        <v>23</v>
      </c>
      <c r="H27">
        <v>8</v>
      </c>
      <c r="I27">
        <v>2</v>
      </c>
      <c r="J27">
        <v>1</v>
      </c>
      <c r="K27">
        <v>0.125</v>
      </c>
      <c r="L27">
        <v>0.4</v>
      </c>
      <c r="M27">
        <v>0</v>
      </c>
      <c r="N27">
        <v>0.6</v>
      </c>
      <c r="O27">
        <v>0.2</v>
      </c>
      <c r="P27">
        <v>0.125</v>
      </c>
      <c r="Q27">
        <v>0.1</v>
      </c>
      <c r="R27">
        <v>1</v>
      </c>
      <c r="S27">
        <v>0.5</v>
      </c>
      <c r="T27">
        <v>0.3</v>
      </c>
      <c r="U27">
        <v>0.1</v>
      </c>
      <c r="V27">
        <v>0</v>
      </c>
      <c r="W27">
        <v>0.3</v>
      </c>
      <c r="X27">
        <v>0.5</v>
      </c>
      <c r="Y27">
        <v>0.4</v>
      </c>
      <c r="Z27">
        <v>0</v>
      </c>
      <c r="AA27">
        <v>-20.7</v>
      </c>
      <c r="AB27">
        <v>-6.1</v>
      </c>
      <c r="AC27">
        <v>-0.33</v>
      </c>
    </row>
    <row r="28" spans="1:29" x14ac:dyDescent="0.35">
      <c r="A28" s="3" t="s">
        <v>370</v>
      </c>
      <c r="B28" s="1" t="s">
        <v>26</v>
      </c>
      <c r="C28" s="1" t="s">
        <v>598</v>
      </c>
      <c r="D28" s="1" t="s">
        <v>33</v>
      </c>
      <c r="E28" s="1" t="s">
        <v>28</v>
      </c>
      <c r="F28" s="4">
        <v>-0.1</v>
      </c>
      <c r="G28">
        <v>25</v>
      </c>
      <c r="H28">
        <v>19</v>
      </c>
      <c r="I28">
        <v>5.3</v>
      </c>
      <c r="J28">
        <v>1.1000000000000001</v>
      </c>
      <c r="K28">
        <v>0.38100000000000001</v>
      </c>
      <c r="L28">
        <v>0.5</v>
      </c>
      <c r="M28">
        <v>0.2</v>
      </c>
      <c r="N28">
        <v>0.6</v>
      </c>
      <c r="O28">
        <v>0.54500000000000004</v>
      </c>
      <c r="P28">
        <v>0.42899999999999999</v>
      </c>
      <c r="Q28">
        <v>0.1</v>
      </c>
      <c r="R28">
        <v>0</v>
      </c>
      <c r="S28">
        <v>0.5</v>
      </c>
      <c r="T28">
        <v>0.4</v>
      </c>
      <c r="U28">
        <v>0.3</v>
      </c>
      <c r="V28">
        <v>0.1</v>
      </c>
      <c r="W28">
        <v>0.3</v>
      </c>
      <c r="X28">
        <v>0.6</v>
      </c>
      <c r="Y28">
        <v>0.9</v>
      </c>
      <c r="Z28">
        <v>2</v>
      </c>
      <c r="AA28">
        <v>-5.4</v>
      </c>
      <c r="AB28">
        <v>5</v>
      </c>
      <c r="AC28">
        <v>-7.0000000000000001E-3</v>
      </c>
    </row>
    <row r="29" spans="1:29" x14ac:dyDescent="0.35">
      <c r="A29" s="3" t="s">
        <v>466</v>
      </c>
      <c r="B29" s="1" t="s">
        <v>26</v>
      </c>
      <c r="C29" s="1" t="s">
        <v>597</v>
      </c>
      <c r="D29" s="1" t="s">
        <v>23</v>
      </c>
      <c r="E29" s="1" t="s">
        <v>28</v>
      </c>
      <c r="F29" s="4">
        <v>-0.1</v>
      </c>
      <c r="G29">
        <v>27</v>
      </c>
      <c r="H29">
        <v>19</v>
      </c>
      <c r="I29">
        <v>3.6</v>
      </c>
      <c r="J29">
        <v>1.6</v>
      </c>
      <c r="K29">
        <v>0.32300000000000001</v>
      </c>
      <c r="L29">
        <v>1</v>
      </c>
      <c r="M29">
        <v>0.316</v>
      </c>
      <c r="N29">
        <v>0.6</v>
      </c>
      <c r="O29">
        <v>0.33300000000000002</v>
      </c>
      <c r="P29">
        <v>0.41899999999999998</v>
      </c>
      <c r="Q29">
        <v>0.1</v>
      </c>
      <c r="R29">
        <v>1</v>
      </c>
      <c r="S29">
        <v>0.4</v>
      </c>
      <c r="T29">
        <v>0.2</v>
      </c>
      <c r="U29">
        <v>0.1</v>
      </c>
      <c r="V29">
        <v>0</v>
      </c>
      <c r="W29">
        <v>0.2</v>
      </c>
      <c r="X29">
        <v>0.1</v>
      </c>
      <c r="Y29">
        <v>1.5</v>
      </c>
      <c r="Z29">
        <v>3</v>
      </c>
      <c r="AA29">
        <v>-7.5</v>
      </c>
      <c r="AB29">
        <v>6.1</v>
      </c>
      <c r="AC29">
        <v>-5.7000000000000002E-2</v>
      </c>
    </row>
    <row r="30" spans="1:29" x14ac:dyDescent="0.35">
      <c r="A30" s="3" t="s">
        <v>523</v>
      </c>
      <c r="B30" s="1" t="s">
        <v>18</v>
      </c>
      <c r="C30" s="1" t="s">
        <v>597</v>
      </c>
      <c r="D30" s="1" t="s">
        <v>23</v>
      </c>
      <c r="E30" s="1" t="s">
        <v>50</v>
      </c>
      <c r="F30" s="4">
        <v>-0.4</v>
      </c>
      <c r="G30">
        <v>26</v>
      </c>
      <c r="H30">
        <v>33</v>
      </c>
      <c r="I30">
        <v>7</v>
      </c>
      <c r="J30">
        <v>1.6</v>
      </c>
      <c r="K30">
        <v>0.245</v>
      </c>
      <c r="L30">
        <v>1</v>
      </c>
      <c r="M30">
        <v>0.156</v>
      </c>
      <c r="N30">
        <v>0.6</v>
      </c>
      <c r="O30">
        <v>0.38100000000000001</v>
      </c>
      <c r="P30">
        <v>0.29199999999999998</v>
      </c>
      <c r="Q30">
        <v>0.1</v>
      </c>
      <c r="R30">
        <v>0.75</v>
      </c>
      <c r="S30">
        <v>1.3</v>
      </c>
      <c r="T30">
        <v>0.2</v>
      </c>
      <c r="U30">
        <v>0.3</v>
      </c>
      <c r="V30">
        <v>0.2</v>
      </c>
      <c r="W30">
        <v>0.4</v>
      </c>
      <c r="X30">
        <v>0.5</v>
      </c>
      <c r="Y30">
        <v>1</v>
      </c>
      <c r="Z30">
        <v>4</v>
      </c>
      <c r="AA30">
        <v>-8.1</v>
      </c>
      <c r="AB30">
        <v>2.4</v>
      </c>
      <c r="AC30">
        <v>-5.7000000000000002E-2</v>
      </c>
    </row>
    <row r="31" spans="1:29" x14ac:dyDescent="0.35">
      <c r="A31" s="3" t="s">
        <v>182</v>
      </c>
      <c r="B31" s="1" t="s">
        <v>2</v>
      </c>
      <c r="C31" s="1" t="s">
        <v>598</v>
      </c>
      <c r="D31" s="1" t="s">
        <v>23</v>
      </c>
      <c r="E31" s="1" t="s">
        <v>28</v>
      </c>
      <c r="F31" s="4">
        <v>-0.4</v>
      </c>
      <c r="G31">
        <v>25</v>
      </c>
      <c r="H31">
        <v>37</v>
      </c>
      <c r="I31">
        <v>5.5</v>
      </c>
      <c r="J31">
        <v>2.6</v>
      </c>
      <c r="K31">
        <v>0.26</v>
      </c>
      <c r="L31">
        <v>1.9</v>
      </c>
      <c r="M31">
        <v>0.19400000000000001</v>
      </c>
      <c r="N31">
        <v>0.6</v>
      </c>
      <c r="O31">
        <v>0.45800000000000002</v>
      </c>
      <c r="P31">
        <v>0.33300000000000002</v>
      </c>
      <c r="Q31">
        <v>0.1</v>
      </c>
      <c r="R31">
        <v>0.5</v>
      </c>
      <c r="S31">
        <v>0.7</v>
      </c>
      <c r="T31">
        <v>0.3</v>
      </c>
      <c r="U31">
        <v>0.2</v>
      </c>
      <c r="V31">
        <v>0.1</v>
      </c>
      <c r="W31">
        <v>0.1</v>
      </c>
      <c r="X31">
        <v>0.4</v>
      </c>
      <c r="Y31">
        <v>1.8</v>
      </c>
      <c r="Z31">
        <v>1</v>
      </c>
      <c r="AA31">
        <v>-10.3</v>
      </c>
      <c r="AB31">
        <v>3.7</v>
      </c>
      <c r="AC31">
        <v>-6.2E-2</v>
      </c>
    </row>
    <row r="32" spans="1:29" x14ac:dyDescent="0.35">
      <c r="A32" s="3" t="s">
        <v>277</v>
      </c>
      <c r="B32" s="1" t="s">
        <v>26</v>
      </c>
      <c r="C32" s="1" t="s">
        <v>597</v>
      </c>
      <c r="D32" s="1" t="s">
        <v>23</v>
      </c>
      <c r="E32" s="1" t="s">
        <v>20</v>
      </c>
      <c r="F32" s="4">
        <v>-0.1</v>
      </c>
      <c r="G32">
        <v>37</v>
      </c>
      <c r="H32">
        <v>12</v>
      </c>
      <c r="I32">
        <v>3.1</v>
      </c>
      <c r="J32">
        <v>0.9</v>
      </c>
      <c r="K32">
        <v>0.36399999999999999</v>
      </c>
      <c r="L32">
        <v>0.3</v>
      </c>
      <c r="M32">
        <v>0</v>
      </c>
      <c r="N32">
        <v>0.7</v>
      </c>
      <c r="O32">
        <v>0.5</v>
      </c>
      <c r="P32">
        <v>0.36399999999999999</v>
      </c>
      <c r="Q32">
        <v>0.1</v>
      </c>
      <c r="R32">
        <v>0</v>
      </c>
      <c r="S32">
        <v>0.5</v>
      </c>
      <c r="T32">
        <v>0.3</v>
      </c>
      <c r="U32">
        <v>0</v>
      </c>
      <c r="V32">
        <v>0.2</v>
      </c>
      <c r="W32">
        <v>0.3</v>
      </c>
      <c r="X32">
        <v>0.4</v>
      </c>
      <c r="Y32">
        <v>0.7</v>
      </c>
      <c r="Z32">
        <v>15</v>
      </c>
      <c r="AA32">
        <v>-9.6999999999999993</v>
      </c>
      <c r="AB32">
        <v>0</v>
      </c>
      <c r="AC32">
        <v>-0.16200000000000001</v>
      </c>
    </row>
    <row r="33" spans="1:29" x14ac:dyDescent="0.35">
      <c r="A33" s="3" t="s">
        <v>509</v>
      </c>
      <c r="B33" s="1" t="s">
        <v>26</v>
      </c>
      <c r="C33" s="1" t="s">
        <v>35</v>
      </c>
      <c r="D33" s="1" t="s">
        <v>23</v>
      </c>
      <c r="E33" s="1" t="s">
        <v>28</v>
      </c>
      <c r="F33" s="4">
        <v>-0.2</v>
      </c>
      <c r="G33">
        <v>25</v>
      </c>
      <c r="H33">
        <v>10</v>
      </c>
      <c r="I33">
        <v>16.899999999999999</v>
      </c>
      <c r="J33">
        <v>6.3</v>
      </c>
      <c r="K33">
        <v>0.34899999999999998</v>
      </c>
      <c r="L33">
        <v>4.7</v>
      </c>
      <c r="M33">
        <v>0.31900000000000001</v>
      </c>
      <c r="N33">
        <v>1.6</v>
      </c>
      <c r="O33">
        <v>0.438</v>
      </c>
      <c r="P33">
        <v>0.46800000000000003</v>
      </c>
      <c r="Q33">
        <v>0.1</v>
      </c>
      <c r="R33">
        <v>0</v>
      </c>
      <c r="S33">
        <v>2.7</v>
      </c>
      <c r="T33">
        <v>0.3</v>
      </c>
      <c r="U33">
        <v>0.4</v>
      </c>
      <c r="V33">
        <v>0.2</v>
      </c>
      <c r="W33">
        <v>0.4</v>
      </c>
      <c r="X33">
        <v>1.2</v>
      </c>
      <c r="Y33">
        <v>5.9</v>
      </c>
      <c r="Z33">
        <v>2</v>
      </c>
      <c r="AA33">
        <v>-7.3</v>
      </c>
      <c r="AB33">
        <v>6.5</v>
      </c>
      <c r="AC33">
        <v>-8.9999999999999993E-3</v>
      </c>
    </row>
    <row r="34" spans="1:29" x14ac:dyDescent="0.35">
      <c r="A34" s="3" t="s">
        <v>325</v>
      </c>
      <c r="B34" s="1" t="s">
        <v>26</v>
      </c>
      <c r="C34" s="1" t="s">
        <v>597</v>
      </c>
      <c r="D34" s="1" t="s">
        <v>23</v>
      </c>
      <c r="E34" s="1" t="s">
        <v>50</v>
      </c>
      <c r="F34" s="4">
        <v>0</v>
      </c>
      <c r="G34">
        <v>24</v>
      </c>
      <c r="H34">
        <v>12</v>
      </c>
      <c r="I34">
        <v>4.4000000000000004</v>
      </c>
      <c r="J34">
        <v>1.3</v>
      </c>
      <c r="K34">
        <v>0.53300000000000003</v>
      </c>
      <c r="L34">
        <v>0.8</v>
      </c>
      <c r="M34">
        <v>0.3</v>
      </c>
      <c r="N34">
        <v>0.4</v>
      </c>
      <c r="O34">
        <v>1</v>
      </c>
      <c r="P34">
        <v>0.63300000000000001</v>
      </c>
      <c r="Q34">
        <v>0.2</v>
      </c>
      <c r="R34">
        <v>1</v>
      </c>
      <c r="S34">
        <v>0.8</v>
      </c>
      <c r="T34">
        <v>0.3</v>
      </c>
      <c r="U34">
        <v>0.1</v>
      </c>
      <c r="V34">
        <v>0.1</v>
      </c>
      <c r="W34">
        <v>0.2</v>
      </c>
      <c r="X34">
        <v>0.9</v>
      </c>
      <c r="Y34">
        <v>1.8</v>
      </c>
      <c r="Z34">
        <v>2</v>
      </c>
      <c r="AA34">
        <v>-4.0999999999999996</v>
      </c>
      <c r="AB34">
        <v>11.1</v>
      </c>
      <c r="AC34">
        <v>0.108</v>
      </c>
    </row>
    <row r="35" spans="1:29" x14ac:dyDescent="0.35">
      <c r="A35" s="3" t="s">
        <v>537</v>
      </c>
      <c r="B35" s="1" t="s">
        <v>2</v>
      </c>
      <c r="C35" s="1" t="s">
        <v>597</v>
      </c>
      <c r="D35" s="1" t="s">
        <v>23</v>
      </c>
      <c r="E35" s="1" t="s">
        <v>28</v>
      </c>
      <c r="F35" s="4">
        <v>-0.1</v>
      </c>
      <c r="G35">
        <v>25</v>
      </c>
      <c r="H35">
        <v>22</v>
      </c>
      <c r="I35">
        <v>3.9</v>
      </c>
      <c r="J35">
        <v>1.2</v>
      </c>
      <c r="K35">
        <v>0.192</v>
      </c>
      <c r="L35">
        <v>0.7</v>
      </c>
      <c r="M35">
        <v>0.2</v>
      </c>
      <c r="N35">
        <v>0.5</v>
      </c>
      <c r="O35">
        <v>0.182</v>
      </c>
      <c r="P35">
        <v>0.25</v>
      </c>
      <c r="Q35">
        <v>0.2</v>
      </c>
      <c r="R35">
        <v>0.5</v>
      </c>
      <c r="S35">
        <v>0.8</v>
      </c>
      <c r="T35">
        <v>0.2</v>
      </c>
      <c r="U35">
        <v>0.1</v>
      </c>
      <c r="V35">
        <v>0.3</v>
      </c>
      <c r="W35">
        <v>0.1</v>
      </c>
      <c r="X35">
        <v>0.4</v>
      </c>
      <c r="Y35">
        <v>0.7</v>
      </c>
      <c r="Z35">
        <v>2</v>
      </c>
      <c r="AA35">
        <v>-8.1</v>
      </c>
      <c r="AB35">
        <v>3.4</v>
      </c>
      <c r="AC35">
        <v>-8.5999999999999993E-2</v>
      </c>
    </row>
    <row r="36" spans="1:29" x14ac:dyDescent="0.35">
      <c r="A36" s="3" t="s">
        <v>43</v>
      </c>
      <c r="B36" s="1" t="s">
        <v>26</v>
      </c>
      <c r="C36" s="1" t="s">
        <v>35</v>
      </c>
      <c r="D36" s="1" t="s">
        <v>23</v>
      </c>
      <c r="E36" s="1" t="s">
        <v>20</v>
      </c>
      <c r="F36" s="4">
        <v>0.1</v>
      </c>
      <c r="G36">
        <v>22</v>
      </c>
      <c r="H36">
        <v>24</v>
      </c>
      <c r="I36">
        <v>4.5</v>
      </c>
      <c r="J36">
        <v>1.5</v>
      </c>
      <c r="K36">
        <v>0.54300000000000004</v>
      </c>
      <c r="L36">
        <v>1</v>
      </c>
      <c r="M36">
        <v>0.56499999999999995</v>
      </c>
      <c r="N36">
        <v>0.5</v>
      </c>
      <c r="O36">
        <v>0.5</v>
      </c>
      <c r="P36">
        <v>0.72899999999999998</v>
      </c>
      <c r="Q36">
        <v>0.2</v>
      </c>
      <c r="R36">
        <v>0.5</v>
      </c>
      <c r="S36">
        <v>1</v>
      </c>
      <c r="T36">
        <v>0.1</v>
      </c>
      <c r="U36">
        <v>0.1</v>
      </c>
      <c r="V36">
        <v>0.1</v>
      </c>
      <c r="W36">
        <v>0.2</v>
      </c>
      <c r="X36">
        <v>0.3</v>
      </c>
      <c r="Y36">
        <v>2.2000000000000002</v>
      </c>
      <c r="Z36">
        <v>2</v>
      </c>
      <c r="AA36">
        <v>1.5</v>
      </c>
      <c r="AB36">
        <v>16.2</v>
      </c>
      <c r="AC36">
        <v>9.8000000000000004E-2</v>
      </c>
    </row>
    <row r="37" spans="1:29" x14ac:dyDescent="0.35">
      <c r="A37" s="3" t="s">
        <v>553</v>
      </c>
      <c r="B37" s="1" t="s">
        <v>26</v>
      </c>
      <c r="C37" s="1" t="s">
        <v>597</v>
      </c>
      <c r="D37" s="1" t="s">
        <v>23</v>
      </c>
      <c r="E37" s="1" t="s">
        <v>50</v>
      </c>
      <c r="F37" s="4">
        <v>-0.2</v>
      </c>
      <c r="G37">
        <v>20</v>
      </c>
      <c r="H37">
        <v>52</v>
      </c>
      <c r="I37">
        <v>7.8</v>
      </c>
      <c r="J37">
        <v>1.6</v>
      </c>
      <c r="K37">
        <v>0.36099999999999999</v>
      </c>
      <c r="L37">
        <v>1.1000000000000001</v>
      </c>
      <c r="M37">
        <v>0.27300000000000002</v>
      </c>
      <c r="N37">
        <v>0.5</v>
      </c>
      <c r="O37">
        <v>0.53600000000000003</v>
      </c>
      <c r="P37">
        <v>0.45200000000000001</v>
      </c>
      <c r="Q37">
        <v>0.2</v>
      </c>
      <c r="R37">
        <v>0.58299999999999996</v>
      </c>
      <c r="S37">
        <v>1.3</v>
      </c>
      <c r="T37">
        <v>0.4</v>
      </c>
      <c r="U37">
        <v>0.2</v>
      </c>
      <c r="V37">
        <v>0.2</v>
      </c>
      <c r="W37">
        <v>0.3</v>
      </c>
      <c r="X37">
        <v>0.6</v>
      </c>
      <c r="Y37">
        <v>1.6</v>
      </c>
      <c r="Z37">
        <v>1</v>
      </c>
      <c r="AA37">
        <v>-3.9</v>
      </c>
      <c r="AB37">
        <v>6.9</v>
      </c>
      <c r="AC37">
        <v>4.3999999999999997E-2</v>
      </c>
    </row>
    <row r="38" spans="1:29" x14ac:dyDescent="0.35">
      <c r="A38" s="3" t="s">
        <v>308</v>
      </c>
      <c r="B38" s="1" t="s">
        <v>2</v>
      </c>
      <c r="C38" s="1" t="s">
        <v>598</v>
      </c>
      <c r="D38" s="1" t="s">
        <v>23</v>
      </c>
      <c r="E38" s="1" t="s">
        <v>28</v>
      </c>
      <c r="F38" s="4">
        <v>0.5</v>
      </c>
      <c r="G38">
        <v>28</v>
      </c>
      <c r="H38">
        <v>46</v>
      </c>
      <c r="I38">
        <v>12.1</v>
      </c>
      <c r="J38">
        <v>2</v>
      </c>
      <c r="K38">
        <v>0.45100000000000001</v>
      </c>
      <c r="L38">
        <v>1.3</v>
      </c>
      <c r="M38">
        <v>0.371</v>
      </c>
      <c r="N38">
        <v>0.6</v>
      </c>
      <c r="O38">
        <v>0.621</v>
      </c>
      <c r="P38">
        <v>0.57699999999999996</v>
      </c>
      <c r="Q38">
        <v>0.2</v>
      </c>
      <c r="R38">
        <v>0.875</v>
      </c>
      <c r="S38">
        <v>3.3</v>
      </c>
      <c r="T38">
        <v>0.9</v>
      </c>
      <c r="U38">
        <v>0.7</v>
      </c>
      <c r="V38">
        <v>0.3</v>
      </c>
      <c r="W38">
        <v>0.3</v>
      </c>
      <c r="X38">
        <v>0.7</v>
      </c>
      <c r="Y38">
        <v>2.4</v>
      </c>
      <c r="Z38">
        <v>5</v>
      </c>
      <c r="AA38">
        <v>1.7</v>
      </c>
      <c r="AB38">
        <v>12.1</v>
      </c>
      <c r="AC38">
        <v>0.13100000000000001</v>
      </c>
    </row>
    <row r="39" spans="1:29" x14ac:dyDescent="0.35">
      <c r="A39" s="3" t="s">
        <v>394</v>
      </c>
      <c r="B39" s="1" t="s">
        <v>18</v>
      </c>
      <c r="C39" s="1" t="s">
        <v>35</v>
      </c>
      <c r="D39" s="1" t="s">
        <v>23</v>
      </c>
      <c r="E39" s="1" t="s">
        <v>28</v>
      </c>
      <c r="F39" s="4">
        <v>-0.1</v>
      </c>
      <c r="G39">
        <v>24</v>
      </c>
      <c r="H39">
        <v>13</v>
      </c>
      <c r="I39">
        <v>10.6</v>
      </c>
      <c r="J39">
        <v>2.5</v>
      </c>
      <c r="K39">
        <v>0.438</v>
      </c>
      <c r="L39">
        <v>1.8</v>
      </c>
      <c r="M39">
        <v>0.375</v>
      </c>
      <c r="N39">
        <v>0.6</v>
      </c>
      <c r="O39">
        <v>0.625</v>
      </c>
      <c r="P39">
        <v>0.57799999999999996</v>
      </c>
      <c r="Q39">
        <v>0.2</v>
      </c>
      <c r="R39">
        <v>0.5</v>
      </c>
      <c r="S39">
        <v>1.6</v>
      </c>
      <c r="T39">
        <v>0.8</v>
      </c>
      <c r="U39">
        <v>0.2</v>
      </c>
      <c r="V39">
        <v>0.2</v>
      </c>
      <c r="W39">
        <v>0.3</v>
      </c>
      <c r="X39">
        <v>1.3</v>
      </c>
      <c r="Y39">
        <v>2.9</v>
      </c>
      <c r="Z39">
        <v>1</v>
      </c>
      <c r="AA39">
        <v>-4.9000000000000004</v>
      </c>
      <c r="AB39">
        <v>8.5</v>
      </c>
      <c r="AC39">
        <v>6.4000000000000001E-2</v>
      </c>
    </row>
    <row r="40" spans="1:29" x14ac:dyDescent="0.35">
      <c r="A40" s="3" t="s">
        <v>218</v>
      </c>
      <c r="B40" s="1" t="s">
        <v>18</v>
      </c>
      <c r="C40" s="1" t="s">
        <v>598</v>
      </c>
      <c r="D40" s="1" t="s">
        <v>23</v>
      </c>
      <c r="E40" s="1" t="s">
        <v>28</v>
      </c>
      <c r="F40" s="4">
        <v>0</v>
      </c>
      <c r="G40">
        <v>22</v>
      </c>
      <c r="H40">
        <v>19</v>
      </c>
      <c r="I40">
        <v>3.5</v>
      </c>
      <c r="J40">
        <v>1.3</v>
      </c>
      <c r="K40">
        <v>0.58299999999999996</v>
      </c>
      <c r="L40">
        <v>0.4</v>
      </c>
      <c r="M40">
        <v>0.25</v>
      </c>
      <c r="N40">
        <v>0.8</v>
      </c>
      <c r="O40">
        <v>0.75</v>
      </c>
      <c r="P40">
        <v>0.625</v>
      </c>
      <c r="Q40">
        <v>0.2</v>
      </c>
      <c r="R40">
        <v>0.75</v>
      </c>
      <c r="S40">
        <v>1.2</v>
      </c>
      <c r="T40">
        <v>0.2</v>
      </c>
      <c r="U40">
        <v>0</v>
      </c>
      <c r="V40">
        <v>0.2</v>
      </c>
      <c r="W40">
        <v>0.1</v>
      </c>
      <c r="X40">
        <v>0.6</v>
      </c>
      <c r="Y40">
        <v>1.7</v>
      </c>
      <c r="Z40">
        <v>0</v>
      </c>
      <c r="AA40">
        <v>-1.3</v>
      </c>
      <c r="AB40">
        <v>18.3</v>
      </c>
      <c r="AC40">
        <v>0.16800000000000001</v>
      </c>
    </row>
    <row r="41" spans="1:29" x14ac:dyDescent="0.35">
      <c r="A41" s="3" t="s">
        <v>530</v>
      </c>
      <c r="B41" s="1" t="s">
        <v>2</v>
      </c>
      <c r="C41" s="1" t="s">
        <v>597</v>
      </c>
      <c r="D41" s="1" t="s">
        <v>19</v>
      </c>
      <c r="E41" s="1" t="s">
        <v>50</v>
      </c>
      <c r="F41" s="4">
        <v>-0.2</v>
      </c>
      <c r="G41">
        <v>23</v>
      </c>
      <c r="H41">
        <v>12</v>
      </c>
      <c r="I41">
        <v>7.3</v>
      </c>
      <c r="J41">
        <v>1.7</v>
      </c>
      <c r="K41">
        <v>0.25</v>
      </c>
      <c r="L41">
        <v>0.8</v>
      </c>
      <c r="M41">
        <v>0</v>
      </c>
      <c r="N41">
        <v>0.9</v>
      </c>
      <c r="O41">
        <v>0.45500000000000002</v>
      </c>
      <c r="P41">
        <v>0.25</v>
      </c>
      <c r="Q41">
        <v>0.2</v>
      </c>
      <c r="R41">
        <v>1</v>
      </c>
      <c r="S41">
        <v>1.7</v>
      </c>
      <c r="T41">
        <v>0.7</v>
      </c>
      <c r="U41">
        <v>0.1</v>
      </c>
      <c r="V41">
        <v>0.1</v>
      </c>
      <c r="W41">
        <v>0.7</v>
      </c>
      <c r="X41">
        <v>0.5</v>
      </c>
      <c r="Y41">
        <v>1</v>
      </c>
      <c r="Z41">
        <v>0</v>
      </c>
      <c r="AA41">
        <v>-9.6999999999999993</v>
      </c>
      <c r="AB41">
        <v>1.9</v>
      </c>
      <c r="AC41">
        <v>-8.2000000000000003E-2</v>
      </c>
    </row>
    <row r="42" spans="1:29" x14ac:dyDescent="0.35">
      <c r="A42" s="3" t="s">
        <v>289</v>
      </c>
      <c r="B42" s="1" t="s">
        <v>26</v>
      </c>
      <c r="C42" s="1" t="s">
        <v>598</v>
      </c>
      <c r="D42" s="1" t="s">
        <v>23</v>
      </c>
      <c r="E42" s="1" t="s">
        <v>28</v>
      </c>
      <c r="F42" s="4">
        <v>-0.2</v>
      </c>
      <c r="G42">
        <v>23</v>
      </c>
      <c r="H42">
        <v>20</v>
      </c>
      <c r="I42">
        <v>6.3</v>
      </c>
      <c r="J42">
        <v>1.7</v>
      </c>
      <c r="K42">
        <v>0.32400000000000001</v>
      </c>
      <c r="L42">
        <v>0.9</v>
      </c>
      <c r="M42">
        <v>5.8999999999999997E-2</v>
      </c>
      <c r="N42">
        <v>0.9</v>
      </c>
      <c r="O42">
        <v>0.58799999999999997</v>
      </c>
      <c r="P42">
        <v>0.33800000000000002</v>
      </c>
      <c r="Q42">
        <v>0.2</v>
      </c>
      <c r="R42">
        <v>1</v>
      </c>
      <c r="S42">
        <v>0.9</v>
      </c>
      <c r="T42">
        <v>0.3</v>
      </c>
      <c r="U42">
        <v>0.3</v>
      </c>
      <c r="V42">
        <v>0.3</v>
      </c>
      <c r="W42">
        <v>0.3</v>
      </c>
      <c r="X42">
        <v>0.9</v>
      </c>
      <c r="Y42">
        <v>1.3</v>
      </c>
      <c r="Z42">
        <v>0</v>
      </c>
      <c r="AA42">
        <v>-8.5</v>
      </c>
      <c r="AB42">
        <v>4.5</v>
      </c>
      <c r="AC42">
        <v>-3.1E-2</v>
      </c>
    </row>
    <row r="43" spans="1:29" x14ac:dyDescent="0.35">
      <c r="A43" s="3" t="s">
        <v>27</v>
      </c>
      <c r="B43" s="1" t="s">
        <v>2</v>
      </c>
      <c r="C43" s="1" t="s">
        <v>598</v>
      </c>
      <c r="D43" s="1" t="s">
        <v>23</v>
      </c>
      <c r="E43" s="1" t="s">
        <v>28</v>
      </c>
      <c r="F43" s="4">
        <v>-0.2</v>
      </c>
      <c r="G43">
        <v>21</v>
      </c>
      <c r="H43">
        <v>24</v>
      </c>
      <c r="I43">
        <v>4.9000000000000004</v>
      </c>
      <c r="J43">
        <v>1.7</v>
      </c>
      <c r="K43">
        <v>0.317</v>
      </c>
      <c r="L43">
        <v>0.7</v>
      </c>
      <c r="M43">
        <v>0.17599999999999999</v>
      </c>
      <c r="N43">
        <v>1</v>
      </c>
      <c r="O43">
        <v>0.41699999999999998</v>
      </c>
      <c r="P43">
        <v>0.35399999999999998</v>
      </c>
      <c r="Q43">
        <v>0.2</v>
      </c>
      <c r="R43">
        <v>0.75</v>
      </c>
      <c r="S43">
        <v>0.5</v>
      </c>
      <c r="T43">
        <v>0.5</v>
      </c>
      <c r="U43">
        <v>0.1</v>
      </c>
      <c r="V43">
        <v>0</v>
      </c>
      <c r="W43">
        <v>0.2</v>
      </c>
      <c r="X43">
        <v>0.4</v>
      </c>
      <c r="Y43">
        <v>1.3</v>
      </c>
      <c r="Z43">
        <v>0</v>
      </c>
      <c r="AA43">
        <v>-9.6999999999999993</v>
      </c>
      <c r="AB43">
        <v>2.9</v>
      </c>
      <c r="AC43">
        <v>-7.6999999999999999E-2</v>
      </c>
    </row>
    <row r="44" spans="1:29" x14ac:dyDescent="0.35">
      <c r="A44" s="3" t="s">
        <v>146</v>
      </c>
      <c r="B44" s="1" t="s">
        <v>2</v>
      </c>
      <c r="C44" s="1" t="s">
        <v>597</v>
      </c>
      <c r="D44" s="1" t="s">
        <v>23</v>
      </c>
      <c r="E44" s="1" t="s">
        <v>28</v>
      </c>
      <c r="F44" s="4">
        <v>0</v>
      </c>
      <c r="G44">
        <v>23</v>
      </c>
      <c r="H44">
        <v>11</v>
      </c>
      <c r="I44">
        <v>6.4</v>
      </c>
      <c r="J44">
        <v>3</v>
      </c>
      <c r="K44">
        <v>0.33300000000000002</v>
      </c>
      <c r="L44">
        <v>1.9</v>
      </c>
      <c r="M44">
        <v>0.28599999999999998</v>
      </c>
      <c r="N44">
        <v>1.1000000000000001</v>
      </c>
      <c r="O44">
        <v>0.41699999999999998</v>
      </c>
      <c r="P44">
        <v>0.42399999999999999</v>
      </c>
      <c r="Q44">
        <v>0.2</v>
      </c>
      <c r="R44">
        <v>1</v>
      </c>
      <c r="S44">
        <v>1.1000000000000001</v>
      </c>
      <c r="T44">
        <v>1.3</v>
      </c>
      <c r="U44">
        <v>0.6</v>
      </c>
      <c r="V44">
        <v>0.2</v>
      </c>
      <c r="W44">
        <v>0.5</v>
      </c>
      <c r="X44">
        <v>0.6</v>
      </c>
      <c r="Y44">
        <v>2.7</v>
      </c>
      <c r="Z44">
        <v>0</v>
      </c>
      <c r="AA44">
        <v>0.7</v>
      </c>
      <c r="AB44">
        <v>13.9</v>
      </c>
      <c r="AC44">
        <v>3.5999999999999997E-2</v>
      </c>
    </row>
    <row r="45" spans="1:29" x14ac:dyDescent="0.35">
      <c r="A45" s="3" t="s">
        <v>228</v>
      </c>
      <c r="B45" s="1" t="s">
        <v>26</v>
      </c>
      <c r="C45" s="1" t="s">
        <v>597</v>
      </c>
      <c r="D45" s="1" t="s">
        <v>23</v>
      </c>
      <c r="E45" s="1" t="s">
        <v>28</v>
      </c>
      <c r="F45" s="4">
        <v>1.1000000000000001</v>
      </c>
      <c r="G45">
        <v>27</v>
      </c>
      <c r="H45">
        <v>71</v>
      </c>
      <c r="I45">
        <v>21.7</v>
      </c>
      <c r="J45">
        <v>6.7</v>
      </c>
      <c r="K45">
        <v>0.45100000000000001</v>
      </c>
      <c r="L45">
        <v>5.6</v>
      </c>
      <c r="M45">
        <v>0.41599999999999998</v>
      </c>
      <c r="N45">
        <v>1.1000000000000001</v>
      </c>
      <c r="O45">
        <v>0.64</v>
      </c>
      <c r="P45">
        <v>0.627</v>
      </c>
      <c r="Q45">
        <v>0.2</v>
      </c>
      <c r="R45">
        <v>1</v>
      </c>
      <c r="S45">
        <v>3.2</v>
      </c>
      <c r="T45">
        <v>0.9</v>
      </c>
      <c r="U45">
        <v>0.6</v>
      </c>
      <c r="V45">
        <v>0.2</v>
      </c>
      <c r="W45">
        <v>0.3</v>
      </c>
      <c r="X45">
        <v>1.2</v>
      </c>
      <c r="Y45">
        <v>8.5</v>
      </c>
      <c r="Z45">
        <v>3</v>
      </c>
      <c r="AA45">
        <v>0.8</v>
      </c>
      <c r="AB45">
        <v>12.8</v>
      </c>
      <c r="AC45">
        <v>0.13600000000000001</v>
      </c>
    </row>
    <row r="46" spans="1:29" x14ac:dyDescent="0.35">
      <c r="A46" s="3" t="s">
        <v>86</v>
      </c>
      <c r="B46" s="1" t="s">
        <v>26</v>
      </c>
      <c r="C46" s="1" t="s">
        <v>598</v>
      </c>
      <c r="D46" s="1" t="s">
        <v>23</v>
      </c>
      <c r="E46" s="1" t="s">
        <v>20</v>
      </c>
      <c r="F46" s="4">
        <v>0</v>
      </c>
      <c r="G46">
        <v>25</v>
      </c>
      <c r="H46">
        <v>40</v>
      </c>
      <c r="I46">
        <v>6.8</v>
      </c>
      <c r="J46">
        <v>1.8</v>
      </c>
      <c r="K46">
        <v>0.45800000000000002</v>
      </c>
      <c r="L46">
        <v>0.7</v>
      </c>
      <c r="M46">
        <v>0.23100000000000001</v>
      </c>
      <c r="N46">
        <v>1.2</v>
      </c>
      <c r="O46">
        <v>0.58699999999999997</v>
      </c>
      <c r="P46">
        <v>0.5</v>
      </c>
      <c r="Q46">
        <v>0.2</v>
      </c>
      <c r="R46">
        <v>0.71399999999999997</v>
      </c>
      <c r="S46">
        <v>1.6</v>
      </c>
      <c r="T46">
        <v>0.6</v>
      </c>
      <c r="U46">
        <v>0.2</v>
      </c>
      <c r="V46">
        <v>0.1</v>
      </c>
      <c r="W46">
        <v>0.3</v>
      </c>
      <c r="X46">
        <v>0.6</v>
      </c>
      <c r="Y46">
        <v>1.9</v>
      </c>
      <c r="Z46">
        <v>1</v>
      </c>
      <c r="AA46">
        <v>-2.1</v>
      </c>
      <c r="AB46">
        <v>10.8</v>
      </c>
      <c r="AC46">
        <v>8.5000000000000006E-2</v>
      </c>
    </row>
    <row r="47" spans="1:29" x14ac:dyDescent="0.35">
      <c r="A47" s="3" t="s">
        <v>558</v>
      </c>
      <c r="B47" s="1" t="s">
        <v>2</v>
      </c>
      <c r="C47" s="1" t="s">
        <v>35</v>
      </c>
      <c r="D47" s="1" t="s">
        <v>23</v>
      </c>
      <c r="E47" s="1" t="s">
        <v>28</v>
      </c>
      <c r="F47" s="4">
        <v>-0.2</v>
      </c>
      <c r="G47">
        <v>27</v>
      </c>
      <c r="H47">
        <v>52</v>
      </c>
      <c r="I47">
        <v>15</v>
      </c>
      <c r="J47">
        <v>4.8</v>
      </c>
      <c r="K47">
        <v>0.36899999999999999</v>
      </c>
      <c r="L47">
        <v>3.6</v>
      </c>
      <c r="M47">
        <v>0.34399999999999997</v>
      </c>
      <c r="N47">
        <v>1.2</v>
      </c>
      <c r="O47">
        <v>0.44400000000000001</v>
      </c>
      <c r="P47">
        <v>0.498</v>
      </c>
      <c r="Q47">
        <v>0.2</v>
      </c>
      <c r="R47">
        <v>0.72699999999999998</v>
      </c>
      <c r="S47">
        <v>2.1</v>
      </c>
      <c r="T47">
        <v>1</v>
      </c>
      <c r="U47">
        <v>0.5</v>
      </c>
      <c r="V47">
        <v>0.2</v>
      </c>
      <c r="W47">
        <v>0.4</v>
      </c>
      <c r="X47">
        <v>1.2</v>
      </c>
      <c r="Y47">
        <v>4.9000000000000004</v>
      </c>
      <c r="Z47">
        <v>3</v>
      </c>
      <c r="AA47">
        <v>-2.8</v>
      </c>
      <c r="AB47">
        <v>8.8000000000000007</v>
      </c>
      <c r="AC47">
        <v>6.2E-2</v>
      </c>
    </row>
    <row r="48" spans="1:29" x14ac:dyDescent="0.35">
      <c r="A48" s="3" t="s">
        <v>491</v>
      </c>
      <c r="B48" s="1" t="s">
        <v>18</v>
      </c>
      <c r="C48" s="1" t="s">
        <v>35</v>
      </c>
      <c r="D48" s="1" t="s">
        <v>23</v>
      </c>
      <c r="E48" s="1" t="s">
        <v>50</v>
      </c>
      <c r="F48" s="4">
        <v>-0.2</v>
      </c>
      <c r="G48">
        <v>26</v>
      </c>
      <c r="H48">
        <v>53</v>
      </c>
      <c r="I48">
        <v>11.9</v>
      </c>
      <c r="J48">
        <v>1.3</v>
      </c>
      <c r="K48">
        <v>0.63400000000000001</v>
      </c>
      <c r="L48">
        <v>0</v>
      </c>
      <c r="M48" t="s">
        <v>599</v>
      </c>
      <c r="N48">
        <v>1.3</v>
      </c>
      <c r="O48">
        <v>0.63400000000000001</v>
      </c>
      <c r="P48">
        <v>0.63400000000000001</v>
      </c>
      <c r="Q48">
        <v>0.2</v>
      </c>
      <c r="R48">
        <v>0.61499999999999999</v>
      </c>
      <c r="S48">
        <v>3.7</v>
      </c>
      <c r="T48">
        <v>0.6</v>
      </c>
      <c r="U48">
        <v>0.2</v>
      </c>
      <c r="V48">
        <v>0.4</v>
      </c>
      <c r="W48">
        <v>0.6</v>
      </c>
      <c r="X48">
        <v>1.2</v>
      </c>
      <c r="Y48">
        <v>1.8</v>
      </c>
      <c r="Z48">
        <v>3</v>
      </c>
      <c r="AA48">
        <v>-3</v>
      </c>
      <c r="AB48">
        <v>10</v>
      </c>
      <c r="AC48">
        <v>9.6000000000000002E-2</v>
      </c>
    </row>
    <row r="49" spans="1:29" x14ac:dyDescent="0.35">
      <c r="A49" s="3" t="s">
        <v>419</v>
      </c>
      <c r="B49" s="1" t="s">
        <v>2</v>
      </c>
      <c r="C49" s="1" t="s">
        <v>598</v>
      </c>
      <c r="D49" s="1" t="s">
        <v>23</v>
      </c>
      <c r="E49" s="1" t="s">
        <v>50</v>
      </c>
      <c r="F49" s="4">
        <v>0.1</v>
      </c>
      <c r="G49">
        <v>25</v>
      </c>
      <c r="H49">
        <v>49</v>
      </c>
      <c r="I49">
        <v>13.6</v>
      </c>
      <c r="J49">
        <v>3.7</v>
      </c>
      <c r="K49">
        <v>0.42799999999999999</v>
      </c>
      <c r="L49">
        <v>2.1</v>
      </c>
      <c r="M49">
        <v>0.39600000000000002</v>
      </c>
      <c r="N49">
        <v>1.6</v>
      </c>
      <c r="O49">
        <v>0.46800000000000003</v>
      </c>
      <c r="P49">
        <v>0.53900000000000003</v>
      </c>
      <c r="Q49">
        <v>0.2</v>
      </c>
      <c r="R49">
        <v>0.75</v>
      </c>
      <c r="S49">
        <v>1.4</v>
      </c>
      <c r="T49">
        <v>2.2000000000000002</v>
      </c>
      <c r="U49">
        <v>0.4</v>
      </c>
      <c r="V49">
        <v>0.1</v>
      </c>
      <c r="W49">
        <v>0.5</v>
      </c>
      <c r="X49">
        <v>0.8</v>
      </c>
      <c r="Y49">
        <v>4.0999999999999996</v>
      </c>
      <c r="Z49">
        <v>1</v>
      </c>
      <c r="AA49">
        <v>-1.5</v>
      </c>
      <c r="AB49">
        <v>10.9</v>
      </c>
      <c r="AC49">
        <v>7.8E-2</v>
      </c>
    </row>
    <row r="50" spans="1:29" x14ac:dyDescent="0.35">
      <c r="A50" s="3" t="s">
        <v>132</v>
      </c>
      <c r="B50" s="1" t="s">
        <v>26</v>
      </c>
      <c r="C50" s="1" t="s">
        <v>598</v>
      </c>
      <c r="D50" s="1" t="s">
        <v>23</v>
      </c>
      <c r="E50" s="1" t="s">
        <v>28</v>
      </c>
      <c r="F50" s="4">
        <v>0</v>
      </c>
      <c r="G50">
        <v>23</v>
      </c>
      <c r="H50">
        <v>15</v>
      </c>
      <c r="I50">
        <v>3.1</v>
      </c>
      <c r="J50">
        <v>0.7</v>
      </c>
      <c r="K50">
        <v>0.45500000000000002</v>
      </c>
      <c r="L50">
        <v>0.3</v>
      </c>
      <c r="M50">
        <v>0.2</v>
      </c>
      <c r="N50">
        <v>0.4</v>
      </c>
      <c r="O50">
        <v>0.66700000000000004</v>
      </c>
      <c r="P50">
        <v>0.5</v>
      </c>
      <c r="Q50">
        <v>0.3</v>
      </c>
      <c r="R50">
        <v>0.5</v>
      </c>
      <c r="S50">
        <v>0.5</v>
      </c>
      <c r="T50">
        <v>0.1</v>
      </c>
      <c r="U50">
        <v>0.1</v>
      </c>
      <c r="V50">
        <v>0.1</v>
      </c>
      <c r="W50">
        <v>0.1</v>
      </c>
      <c r="X50">
        <v>0.1</v>
      </c>
      <c r="Y50">
        <v>0.9</v>
      </c>
      <c r="Z50">
        <v>0</v>
      </c>
      <c r="AA50">
        <v>-4.0999999999999996</v>
      </c>
      <c r="AB50">
        <v>9.1999999999999993</v>
      </c>
      <c r="AC50">
        <v>3.6999999999999998E-2</v>
      </c>
    </row>
    <row r="51" spans="1:29" x14ac:dyDescent="0.35">
      <c r="A51" s="3" t="s">
        <v>271</v>
      </c>
      <c r="B51" s="1" t="s">
        <v>2</v>
      </c>
      <c r="C51" s="1" t="s">
        <v>597</v>
      </c>
      <c r="D51" s="1" t="s">
        <v>23</v>
      </c>
      <c r="E51" s="1" t="s">
        <v>28</v>
      </c>
      <c r="F51" s="4">
        <v>-0.1</v>
      </c>
      <c r="G51">
        <v>23</v>
      </c>
      <c r="H51">
        <v>7</v>
      </c>
      <c r="I51">
        <v>3.3</v>
      </c>
      <c r="J51">
        <v>1.4</v>
      </c>
      <c r="K51">
        <v>0.3</v>
      </c>
      <c r="L51">
        <v>1</v>
      </c>
      <c r="M51">
        <v>0.14299999999999999</v>
      </c>
      <c r="N51">
        <v>0.4</v>
      </c>
      <c r="O51">
        <v>0.66700000000000004</v>
      </c>
      <c r="P51">
        <v>0.35</v>
      </c>
      <c r="Q51">
        <v>0.3</v>
      </c>
      <c r="R51">
        <v>0</v>
      </c>
      <c r="S51">
        <v>0.3</v>
      </c>
      <c r="T51">
        <v>0.4</v>
      </c>
      <c r="U51">
        <v>0</v>
      </c>
      <c r="V51">
        <v>0</v>
      </c>
      <c r="W51">
        <v>0.1</v>
      </c>
      <c r="X51">
        <v>0.3</v>
      </c>
      <c r="Y51">
        <v>1</v>
      </c>
      <c r="Z51">
        <v>0</v>
      </c>
      <c r="AA51">
        <v>-15.8</v>
      </c>
      <c r="AB51">
        <v>-0.1</v>
      </c>
      <c r="AC51">
        <v>-0.15</v>
      </c>
    </row>
    <row r="52" spans="1:29" x14ac:dyDescent="0.35">
      <c r="A52" s="3" t="s">
        <v>58</v>
      </c>
      <c r="B52" s="1" t="s">
        <v>26</v>
      </c>
      <c r="C52" s="1" t="s">
        <v>598</v>
      </c>
      <c r="D52" s="1" t="s">
        <v>19</v>
      </c>
      <c r="E52" s="1" t="s">
        <v>20</v>
      </c>
      <c r="F52" s="4">
        <v>1</v>
      </c>
      <c r="G52">
        <v>36</v>
      </c>
      <c r="H52">
        <v>78</v>
      </c>
      <c r="I52">
        <v>17.5</v>
      </c>
      <c r="J52">
        <v>3.1</v>
      </c>
      <c r="K52">
        <v>0.437</v>
      </c>
      <c r="L52">
        <v>2.6</v>
      </c>
      <c r="M52">
        <v>0.433</v>
      </c>
      <c r="N52">
        <v>0.4</v>
      </c>
      <c r="O52">
        <v>0.45700000000000002</v>
      </c>
      <c r="P52">
        <v>0.622</v>
      </c>
      <c r="Q52">
        <v>0.3</v>
      </c>
      <c r="R52">
        <v>0.81</v>
      </c>
      <c r="S52">
        <v>2.8</v>
      </c>
      <c r="T52">
        <v>1.1000000000000001</v>
      </c>
      <c r="U52">
        <v>0.7</v>
      </c>
      <c r="V52">
        <v>0.5</v>
      </c>
      <c r="W52">
        <v>0.4</v>
      </c>
      <c r="X52">
        <v>1.4</v>
      </c>
      <c r="Y52">
        <v>4</v>
      </c>
      <c r="Z52">
        <v>16</v>
      </c>
      <c r="AA52">
        <v>0.8</v>
      </c>
      <c r="AB52">
        <v>10.3</v>
      </c>
      <c r="AC52">
        <v>0.124</v>
      </c>
    </row>
    <row r="53" spans="1:29" x14ac:dyDescent="0.35">
      <c r="A53" s="3" t="s">
        <v>592</v>
      </c>
      <c r="B53" s="1" t="s">
        <v>2</v>
      </c>
      <c r="C53" s="1" t="s">
        <v>597</v>
      </c>
      <c r="D53" s="1" t="s">
        <v>23</v>
      </c>
      <c r="E53" s="1" t="s">
        <v>28</v>
      </c>
      <c r="F53" s="4">
        <v>0</v>
      </c>
      <c r="G53">
        <v>24</v>
      </c>
      <c r="H53">
        <v>6</v>
      </c>
      <c r="I53">
        <v>5</v>
      </c>
      <c r="J53">
        <v>0.8</v>
      </c>
      <c r="K53">
        <v>0.8</v>
      </c>
      <c r="L53">
        <v>0.3</v>
      </c>
      <c r="M53">
        <v>0.5</v>
      </c>
      <c r="N53">
        <v>0.5</v>
      </c>
      <c r="O53">
        <v>1</v>
      </c>
      <c r="P53">
        <v>0.9</v>
      </c>
      <c r="Q53">
        <v>0.3</v>
      </c>
      <c r="R53">
        <v>1</v>
      </c>
      <c r="S53">
        <v>0.5</v>
      </c>
      <c r="T53">
        <v>1</v>
      </c>
      <c r="U53">
        <v>0</v>
      </c>
      <c r="V53">
        <v>0</v>
      </c>
      <c r="W53">
        <v>0.2</v>
      </c>
      <c r="X53">
        <v>0.3</v>
      </c>
      <c r="Y53">
        <v>1.8</v>
      </c>
      <c r="Z53">
        <v>0</v>
      </c>
      <c r="AA53">
        <v>0.5</v>
      </c>
      <c r="AB53">
        <v>16.8</v>
      </c>
      <c r="AC53">
        <v>0.22</v>
      </c>
    </row>
    <row r="54" spans="1:29" x14ac:dyDescent="0.35">
      <c r="A54" s="3" t="s">
        <v>245</v>
      </c>
      <c r="B54" s="1" t="s">
        <v>26</v>
      </c>
      <c r="C54" s="1" t="s">
        <v>597</v>
      </c>
      <c r="D54" s="1" t="s">
        <v>19</v>
      </c>
      <c r="E54" s="1" t="s">
        <v>50</v>
      </c>
      <c r="F54" s="4">
        <v>0</v>
      </c>
      <c r="G54">
        <v>22</v>
      </c>
      <c r="H54">
        <v>58</v>
      </c>
      <c r="I54">
        <v>13.6</v>
      </c>
      <c r="J54">
        <v>3.3</v>
      </c>
      <c r="K54">
        <v>0.42099999999999999</v>
      </c>
      <c r="L54">
        <v>2.8</v>
      </c>
      <c r="M54">
        <v>0.4</v>
      </c>
      <c r="N54">
        <v>0.5</v>
      </c>
      <c r="O54">
        <v>0.53300000000000003</v>
      </c>
      <c r="P54">
        <v>0.58899999999999997</v>
      </c>
      <c r="Q54">
        <v>0.3</v>
      </c>
      <c r="R54">
        <v>0.88200000000000001</v>
      </c>
      <c r="S54">
        <v>1.3</v>
      </c>
      <c r="T54">
        <v>0.6</v>
      </c>
      <c r="U54">
        <v>0.4</v>
      </c>
      <c r="V54">
        <v>0.1</v>
      </c>
      <c r="W54">
        <v>0.2</v>
      </c>
      <c r="X54">
        <v>1.1000000000000001</v>
      </c>
      <c r="Y54">
        <v>4.0999999999999996</v>
      </c>
      <c r="Z54">
        <v>2</v>
      </c>
      <c r="AA54">
        <v>-2.2000000000000002</v>
      </c>
      <c r="AB54">
        <v>9.4</v>
      </c>
      <c r="AC54">
        <v>0.109</v>
      </c>
    </row>
    <row r="55" spans="1:29" x14ac:dyDescent="0.35">
      <c r="A55" s="3" t="s">
        <v>303</v>
      </c>
      <c r="B55" s="1" t="s">
        <v>26</v>
      </c>
      <c r="C55" s="1" t="s">
        <v>597</v>
      </c>
      <c r="D55" s="1" t="s">
        <v>19</v>
      </c>
      <c r="E55" s="1" t="s">
        <v>50</v>
      </c>
      <c r="F55" s="4">
        <v>0</v>
      </c>
      <c r="G55">
        <v>21</v>
      </c>
      <c r="H55">
        <v>8</v>
      </c>
      <c r="I55">
        <v>5.3</v>
      </c>
      <c r="J55">
        <v>1.3</v>
      </c>
      <c r="K55">
        <v>0.6</v>
      </c>
      <c r="L55">
        <v>0.6</v>
      </c>
      <c r="M55">
        <v>0.4</v>
      </c>
      <c r="N55">
        <v>0.6</v>
      </c>
      <c r="O55">
        <v>0.8</v>
      </c>
      <c r="P55">
        <v>0.7</v>
      </c>
      <c r="Q55">
        <v>0.3</v>
      </c>
      <c r="R55">
        <v>0.5</v>
      </c>
      <c r="S55">
        <v>0.9</v>
      </c>
      <c r="T55">
        <v>0.9</v>
      </c>
      <c r="U55">
        <v>0.3</v>
      </c>
      <c r="V55">
        <v>0.1</v>
      </c>
      <c r="W55">
        <v>0.1</v>
      </c>
      <c r="X55">
        <v>1</v>
      </c>
      <c r="Y55">
        <v>1.9</v>
      </c>
      <c r="Z55">
        <v>0</v>
      </c>
      <c r="AA55">
        <v>1</v>
      </c>
      <c r="AB55">
        <v>15.9</v>
      </c>
      <c r="AC55">
        <v>0.20799999999999999</v>
      </c>
    </row>
    <row r="56" spans="1:29" x14ac:dyDescent="0.35">
      <c r="A56" s="3" t="s">
        <v>111</v>
      </c>
      <c r="B56" s="1" t="s">
        <v>26</v>
      </c>
      <c r="C56" s="1" t="s">
        <v>597</v>
      </c>
      <c r="D56" s="1" t="s">
        <v>19</v>
      </c>
      <c r="E56" s="1" t="s">
        <v>50</v>
      </c>
      <c r="F56" s="4">
        <v>0</v>
      </c>
      <c r="G56">
        <v>19</v>
      </c>
      <c r="H56">
        <v>7</v>
      </c>
      <c r="I56">
        <v>4.5999999999999996</v>
      </c>
      <c r="J56">
        <v>0.7</v>
      </c>
      <c r="K56">
        <v>0.4</v>
      </c>
      <c r="L56">
        <v>0</v>
      </c>
      <c r="M56" t="s">
        <v>599</v>
      </c>
      <c r="N56">
        <v>0.7</v>
      </c>
      <c r="O56">
        <v>0.4</v>
      </c>
      <c r="P56">
        <v>0.4</v>
      </c>
      <c r="Q56">
        <v>0.3</v>
      </c>
      <c r="R56">
        <v>0.5</v>
      </c>
      <c r="S56">
        <v>1.1000000000000001</v>
      </c>
      <c r="T56">
        <v>0.3</v>
      </c>
      <c r="U56">
        <v>0</v>
      </c>
      <c r="V56">
        <v>0.1</v>
      </c>
      <c r="W56">
        <v>0.3</v>
      </c>
      <c r="X56">
        <v>0.7</v>
      </c>
      <c r="Y56">
        <v>0.7</v>
      </c>
      <c r="Z56">
        <v>0</v>
      </c>
      <c r="AA56">
        <v>-7.4</v>
      </c>
      <c r="AB56">
        <v>5.2</v>
      </c>
      <c r="AC56">
        <v>1E-3</v>
      </c>
    </row>
    <row r="57" spans="1:29" x14ac:dyDescent="0.35">
      <c r="A57" s="3" t="s">
        <v>139</v>
      </c>
      <c r="B57" s="1" t="s">
        <v>2</v>
      </c>
      <c r="C57" s="1" t="s">
        <v>597</v>
      </c>
      <c r="D57" s="1" t="s">
        <v>19</v>
      </c>
      <c r="E57" s="1" t="s">
        <v>20</v>
      </c>
      <c r="F57" s="4">
        <v>-0.1</v>
      </c>
      <c r="G57">
        <v>19</v>
      </c>
      <c r="H57">
        <v>18</v>
      </c>
      <c r="I57">
        <v>6.2</v>
      </c>
      <c r="J57">
        <v>1.7</v>
      </c>
      <c r="K57">
        <v>0.32300000000000001</v>
      </c>
      <c r="L57">
        <v>1.1000000000000001</v>
      </c>
      <c r="M57">
        <v>0.316</v>
      </c>
      <c r="N57">
        <v>0.7</v>
      </c>
      <c r="O57">
        <v>0.33300000000000002</v>
      </c>
      <c r="P57">
        <v>0.41899999999999998</v>
      </c>
      <c r="Q57">
        <v>0.3</v>
      </c>
      <c r="R57">
        <v>0.66700000000000004</v>
      </c>
      <c r="S57">
        <v>1</v>
      </c>
      <c r="T57">
        <v>0.3</v>
      </c>
      <c r="U57">
        <v>0.2</v>
      </c>
      <c r="V57">
        <v>0.1</v>
      </c>
      <c r="W57">
        <v>0.2</v>
      </c>
      <c r="X57">
        <v>0.4</v>
      </c>
      <c r="Y57">
        <v>1.7</v>
      </c>
      <c r="Z57">
        <v>0</v>
      </c>
      <c r="AA57">
        <v>-6.5</v>
      </c>
      <c r="AB57">
        <v>6.3</v>
      </c>
      <c r="AC57">
        <v>2E-3</v>
      </c>
    </row>
    <row r="58" spans="1:29" x14ac:dyDescent="0.35">
      <c r="A58" s="3" t="s">
        <v>224</v>
      </c>
      <c r="B58" s="1" t="s">
        <v>2</v>
      </c>
      <c r="C58" s="1" t="s">
        <v>597</v>
      </c>
      <c r="D58" s="1" t="s">
        <v>23</v>
      </c>
      <c r="E58" s="1" t="s">
        <v>20</v>
      </c>
      <c r="F58" s="4">
        <v>-0.1</v>
      </c>
      <c r="G58">
        <v>30</v>
      </c>
      <c r="H58">
        <v>48</v>
      </c>
      <c r="I58">
        <v>14.8</v>
      </c>
      <c r="J58">
        <v>2.8</v>
      </c>
      <c r="K58">
        <v>0.38300000000000001</v>
      </c>
      <c r="L58">
        <v>2.1</v>
      </c>
      <c r="M58">
        <v>0.35599999999999998</v>
      </c>
      <c r="N58">
        <v>0.7</v>
      </c>
      <c r="O58">
        <v>0.46899999999999997</v>
      </c>
      <c r="P58">
        <v>0.51900000000000002</v>
      </c>
      <c r="Q58">
        <v>0.3</v>
      </c>
      <c r="R58">
        <v>0.58299999999999996</v>
      </c>
      <c r="S58">
        <v>1.3</v>
      </c>
      <c r="T58">
        <v>0.6</v>
      </c>
      <c r="U58">
        <v>0.5</v>
      </c>
      <c r="V58">
        <v>0.3</v>
      </c>
      <c r="W58">
        <v>0.4</v>
      </c>
      <c r="X58">
        <v>0.9</v>
      </c>
      <c r="Y58">
        <v>3</v>
      </c>
      <c r="Z58">
        <v>10</v>
      </c>
      <c r="AA58">
        <v>-2.7</v>
      </c>
      <c r="AB58">
        <v>6.9</v>
      </c>
      <c r="AC58">
        <v>6.7000000000000004E-2</v>
      </c>
    </row>
    <row r="59" spans="1:29" x14ac:dyDescent="0.35">
      <c r="A59" s="3" t="s">
        <v>206</v>
      </c>
      <c r="B59" s="1" t="s">
        <v>2</v>
      </c>
      <c r="C59" s="1" t="s">
        <v>598</v>
      </c>
      <c r="D59" s="1" t="s">
        <v>23</v>
      </c>
      <c r="E59" s="1" t="s">
        <v>28</v>
      </c>
      <c r="F59" s="4">
        <v>-0.1</v>
      </c>
      <c r="G59">
        <v>21</v>
      </c>
      <c r="H59">
        <v>16</v>
      </c>
      <c r="I59">
        <v>3.6</v>
      </c>
      <c r="J59">
        <v>1.4</v>
      </c>
      <c r="K59">
        <v>0.39100000000000001</v>
      </c>
      <c r="L59">
        <v>0.7</v>
      </c>
      <c r="M59">
        <v>0.36399999999999999</v>
      </c>
      <c r="N59">
        <v>0.8</v>
      </c>
      <c r="O59">
        <v>0.41699999999999998</v>
      </c>
      <c r="P59">
        <v>0.47799999999999998</v>
      </c>
      <c r="Q59">
        <v>0.3</v>
      </c>
      <c r="R59">
        <v>0.5</v>
      </c>
      <c r="S59">
        <v>0.3</v>
      </c>
      <c r="T59">
        <v>0.4</v>
      </c>
      <c r="U59">
        <v>0.1</v>
      </c>
      <c r="V59">
        <v>0.1</v>
      </c>
      <c r="W59">
        <v>0.3</v>
      </c>
      <c r="X59">
        <v>0.6</v>
      </c>
      <c r="Y59">
        <v>1.5</v>
      </c>
      <c r="Z59">
        <v>0</v>
      </c>
      <c r="AA59">
        <v>-6.3</v>
      </c>
      <c r="AB59">
        <v>6.5</v>
      </c>
      <c r="AC59">
        <v>-5.6000000000000001E-2</v>
      </c>
    </row>
    <row r="60" spans="1:29" x14ac:dyDescent="0.35">
      <c r="A60" s="3" t="s">
        <v>112</v>
      </c>
      <c r="B60" s="1" t="s">
        <v>2</v>
      </c>
      <c r="C60" s="1" t="s">
        <v>598</v>
      </c>
      <c r="D60" s="1" t="s">
        <v>23</v>
      </c>
      <c r="E60" s="1" t="s">
        <v>50</v>
      </c>
      <c r="F60" s="4">
        <v>0</v>
      </c>
      <c r="G60">
        <v>19</v>
      </c>
      <c r="H60">
        <v>13</v>
      </c>
      <c r="I60">
        <v>4.5</v>
      </c>
      <c r="J60">
        <v>1.8</v>
      </c>
      <c r="K60">
        <v>0.29199999999999998</v>
      </c>
      <c r="L60">
        <v>1</v>
      </c>
      <c r="M60">
        <v>0.154</v>
      </c>
      <c r="N60">
        <v>0.8</v>
      </c>
      <c r="O60">
        <v>0.45500000000000002</v>
      </c>
      <c r="P60">
        <v>0.33300000000000002</v>
      </c>
      <c r="Q60">
        <v>0.3</v>
      </c>
      <c r="R60">
        <v>0.5</v>
      </c>
      <c r="S60">
        <v>0.9</v>
      </c>
      <c r="T60">
        <v>0.5</v>
      </c>
      <c r="U60">
        <v>0.4</v>
      </c>
      <c r="V60">
        <v>0.1</v>
      </c>
      <c r="W60">
        <v>0.2</v>
      </c>
      <c r="X60">
        <v>0.3</v>
      </c>
      <c r="Y60">
        <v>1.4</v>
      </c>
      <c r="Z60">
        <v>0</v>
      </c>
      <c r="AA60">
        <v>-2.5</v>
      </c>
      <c r="AB60">
        <v>9.1</v>
      </c>
      <c r="AC60">
        <v>-5.0000000000000001E-3</v>
      </c>
    </row>
    <row r="61" spans="1:29" x14ac:dyDescent="0.35">
      <c r="A61" s="3" t="s">
        <v>498</v>
      </c>
      <c r="B61" s="1" t="s">
        <v>26</v>
      </c>
      <c r="C61" s="1" t="s">
        <v>597</v>
      </c>
      <c r="D61" s="1" t="s">
        <v>23</v>
      </c>
      <c r="E61" s="1" t="s">
        <v>50</v>
      </c>
      <c r="F61" s="4">
        <v>0</v>
      </c>
      <c r="G61">
        <v>20</v>
      </c>
      <c r="H61">
        <v>23</v>
      </c>
      <c r="I61">
        <v>5.3</v>
      </c>
      <c r="J61">
        <v>2.2000000000000002</v>
      </c>
      <c r="K61">
        <v>0.48</v>
      </c>
      <c r="L61">
        <v>1.3</v>
      </c>
      <c r="M61">
        <v>0.433</v>
      </c>
      <c r="N61">
        <v>0.9</v>
      </c>
      <c r="O61">
        <v>0.55000000000000004</v>
      </c>
      <c r="P61">
        <v>0.61</v>
      </c>
      <c r="Q61">
        <v>0.3</v>
      </c>
      <c r="R61">
        <v>0.75</v>
      </c>
      <c r="S61">
        <v>1.1000000000000001</v>
      </c>
      <c r="T61">
        <v>0.2</v>
      </c>
      <c r="U61">
        <v>0.1</v>
      </c>
      <c r="V61">
        <v>0.2</v>
      </c>
      <c r="W61">
        <v>0.3</v>
      </c>
      <c r="X61">
        <v>0.5</v>
      </c>
      <c r="Y61">
        <v>2.9</v>
      </c>
      <c r="Z61">
        <v>0</v>
      </c>
      <c r="AA61">
        <v>-0.9</v>
      </c>
      <c r="AB61">
        <v>15.2</v>
      </c>
      <c r="AC61">
        <v>8.3000000000000004E-2</v>
      </c>
    </row>
    <row r="62" spans="1:29" x14ac:dyDescent="0.35">
      <c r="A62" s="3" t="s">
        <v>105</v>
      </c>
      <c r="B62" s="1" t="s">
        <v>2</v>
      </c>
      <c r="C62" s="1" t="s">
        <v>597</v>
      </c>
      <c r="D62" s="1" t="s">
        <v>23</v>
      </c>
      <c r="E62" s="1" t="s">
        <v>28</v>
      </c>
      <c r="F62" s="4">
        <v>-0.1</v>
      </c>
      <c r="G62">
        <v>24</v>
      </c>
      <c r="H62">
        <v>4</v>
      </c>
      <c r="I62">
        <v>8.3000000000000007</v>
      </c>
      <c r="J62">
        <v>1.8</v>
      </c>
      <c r="K62">
        <v>0.14299999999999999</v>
      </c>
      <c r="L62">
        <v>0.8</v>
      </c>
      <c r="M62">
        <v>0</v>
      </c>
      <c r="N62">
        <v>1</v>
      </c>
      <c r="O62">
        <v>0.25</v>
      </c>
      <c r="P62">
        <v>0.14299999999999999</v>
      </c>
      <c r="Q62">
        <v>0.3</v>
      </c>
      <c r="R62">
        <v>1</v>
      </c>
      <c r="S62">
        <v>1</v>
      </c>
      <c r="T62">
        <v>0.8</v>
      </c>
      <c r="U62">
        <v>0.5</v>
      </c>
      <c r="V62">
        <v>0</v>
      </c>
      <c r="W62">
        <v>1</v>
      </c>
      <c r="X62">
        <v>0.3</v>
      </c>
      <c r="Y62">
        <v>0.8</v>
      </c>
      <c r="Z62">
        <v>1</v>
      </c>
      <c r="AA62">
        <v>-11.1</v>
      </c>
      <c r="AB62">
        <v>-2.6</v>
      </c>
      <c r="AC62">
        <v>-0.19900000000000001</v>
      </c>
    </row>
    <row r="63" spans="1:29" x14ac:dyDescent="0.35">
      <c r="A63" s="3" t="s">
        <v>103</v>
      </c>
      <c r="B63" s="1" t="s">
        <v>2</v>
      </c>
      <c r="C63" s="1" t="s">
        <v>597</v>
      </c>
      <c r="D63" s="1" t="s">
        <v>23</v>
      </c>
      <c r="E63" s="1" t="s">
        <v>50</v>
      </c>
      <c r="F63" s="4">
        <v>0</v>
      </c>
      <c r="G63">
        <v>29</v>
      </c>
      <c r="H63">
        <v>36</v>
      </c>
      <c r="I63">
        <v>8.9</v>
      </c>
      <c r="J63">
        <v>4.0999999999999996</v>
      </c>
      <c r="K63">
        <v>0.377</v>
      </c>
      <c r="L63">
        <v>2.9</v>
      </c>
      <c r="M63">
        <v>0.33300000000000002</v>
      </c>
      <c r="N63">
        <v>1.1000000000000001</v>
      </c>
      <c r="O63">
        <v>0.48799999999999999</v>
      </c>
      <c r="P63">
        <v>0.497</v>
      </c>
      <c r="Q63">
        <v>0.3</v>
      </c>
      <c r="R63">
        <v>0.8</v>
      </c>
      <c r="S63">
        <v>1.1000000000000001</v>
      </c>
      <c r="T63">
        <v>1.1000000000000001</v>
      </c>
      <c r="U63">
        <v>0.4</v>
      </c>
      <c r="V63">
        <v>0.1</v>
      </c>
      <c r="W63">
        <v>0.3</v>
      </c>
      <c r="X63">
        <v>0.4</v>
      </c>
      <c r="Y63">
        <v>4.3</v>
      </c>
      <c r="Z63">
        <v>6</v>
      </c>
      <c r="AA63">
        <v>-2.1</v>
      </c>
      <c r="AB63">
        <v>12.2</v>
      </c>
      <c r="AC63">
        <v>4.5999999999999999E-2</v>
      </c>
    </row>
    <row r="64" spans="1:29" x14ac:dyDescent="0.35">
      <c r="A64" s="3" t="s">
        <v>569</v>
      </c>
      <c r="B64" s="1" t="s">
        <v>26</v>
      </c>
      <c r="C64" s="1" t="s">
        <v>597</v>
      </c>
      <c r="D64" s="1" t="s">
        <v>23</v>
      </c>
      <c r="E64" s="1" t="s">
        <v>20</v>
      </c>
      <c r="F64" s="4">
        <v>-0.1</v>
      </c>
      <c r="G64">
        <v>20</v>
      </c>
      <c r="H64">
        <v>20</v>
      </c>
      <c r="I64">
        <v>12.3</v>
      </c>
      <c r="J64">
        <v>4.8</v>
      </c>
      <c r="K64">
        <v>0.40600000000000003</v>
      </c>
      <c r="L64">
        <v>3.7</v>
      </c>
      <c r="M64">
        <v>0.44600000000000001</v>
      </c>
      <c r="N64">
        <v>1.1000000000000001</v>
      </c>
      <c r="O64">
        <v>0.27300000000000002</v>
      </c>
      <c r="P64">
        <v>0.57799999999999996</v>
      </c>
      <c r="Q64">
        <v>0.3</v>
      </c>
      <c r="R64">
        <v>0.6</v>
      </c>
      <c r="S64">
        <v>1.5</v>
      </c>
      <c r="T64">
        <v>0.6</v>
      </c>
      <c r="U64">
        <v>0.3</v>
      </c>
      <c r="V64">
        <v>0.1</v>
      </c>
      <c r="W64">
        <v>0.8</v>
      </c>
      <c r="X64">
        <v>1.1000000000000001</v>
      </c>
      <c r="Y64">
        <v>5.7</v>
      </c>
      <c r="Z64">
        <v>1</v>
      </c>
      <c r="AA64">
        <v>-3.7</v>
      </c>
      <c r="AB64">
        <v>9.4</v>
      </c>
      <c r="AC64">
        <v>0.01</v>
      </c>
    </row>
    <row r="65" spans="1:29" x14ac:dyDescent="0.35">
      <c r="A65" s="3" t="s">
        <v>365</v>
      </c>
      <c r="B65" s="1" t="s">
        <v>26</v>
      </c>
      <c r="C65" s="1" t="s">
        <v>597</v>
      </c>
      <c r="D65" s="1" t="s">
        <v>19</v>
      </c>
      <c r="E65" s="1" t="s">
        <v>28</v>
      </c>
      <c r="F65" s="4">
        <v>0</v>
      </c>
      <c r="G65">
        <v>24</v>
      </c>
      <c r="H65">
        <v>6</v>
      </c>
      <c r="I65">
        <v>4.2</v>
      </c>
      <c r="J65">
        <v>1.3</v>
      </c>
      <c r="K65">
        <v>0.5</v>
      </c>
      <c r="L65">
        <v>0.2</v>
      </c>
      <c r="M65">
        <v>0</v>
      </c>
      <c r="N65">
        <v>1.2</v>
      </c>
      <c r="O65">
        <v>0.57099999999999995</v>
      </c>
      <c r="P65">
        <v>0.5</v>
      </c>
      <c r="Q65">
        <v>0.3</v>
      </c>
      <c r="R65">
        <v>1</v>
      </c>
      <c r="S65">
        <v>1.3</v>
      </c>
      <c r="T65">
        <v>0.3</v>
      </c>
      <c r="U65">
        <v>0.2</v>
      </c>
      <c r="V65">
        <v>0</v>
      </c>
      <c r="W65">
        <v>0</v>
      </c>
      <c r="X65">
        <v>0.5</v>
      </c>
      <c r="Y65">
        <v>1.7</v>
      </c>
      <c r="Z65">
        <v>0</v>
      </c>
      <c r="AA65">
        <v>-1.8</v>
      </c>
      <c r="AB65">
        <v>18.100000000000001</v>
      </c>
      <c r="AC65">
        <v>0.20100000000000001</v>
      </c>
    </row>
    <row r="66" spans="1:29" x14ac:dyDescent="0.35">
      <c r="A66" s="3" t="s">
        <v>162</v>
      </c>
      <c r="B66" s="1" t="s">
        <v>2</v>
      </c>
      <c r="C66" s="1" t="s">
        <v>598</v>
      </c>
      <c r="D66" s="1" t="s">
        <v>23</v>
      </c>
      <c r="E66" s="1" t="s">
        <v>28</v>
      </c>
      <c r="F66" s="4">
        <v>0</v>
      </c>
      <c r="G66">
        <v>25</v>
      </c>
      <c r="H66">
        <v>6</v>
      </c>
      <c r="I66">
        <v>5.7</v>
      </c>
      <c r="J66">
        <v>2.2999999999999998</v>
      </c>
      <c r="K66">
        <v>0.42899999999999999</v>
      </c>
      <c r="L66">
        <v>1</v>
      </c>
      <c r="M66">
        <v>0.5</v>
      </c>
      <c r="N66">
        <v>1.3</v>
      </c>
      <c r="O66">
        <v>0.375</v>
      </c>
      <c r="P66">
        <v>0.53600000000000003</v>
      </c>
      <c r="Q66">
        <v>0.3</v>
      </c>
      <c r="R66">
        <v>0.5</v>
      </c>
      <c r="S66">
        <v>0.8</v>
      </c>
      <c r="T66">
        <v>0.7</v>
      </c>
      <c r="U66">
        <v>0.2</v>
      </c>
      <c r="V66">
        <v>0</v>
      </c>
      <c r="W66">
        <v>0.3</v>
      </c>
      <c r="X66">
        <v>0.2</v>
      </c>
      <c r="Y66">
        <v>2.7</v>
      </c>
      <c r="Z66">
        <v>3</v>
      </c>
      <c r="AA66">
        <v>-1.5</v>
      </c>
      <c r="AB66">
        <v>12.2</v>
      </c>
      <c r="AC66">
        <v>2.3E-2</v>
      </c>
    </row>
    <row r="67" spans="1:29" x14ac:dyDescent="0.35">
      <c r="A67" s="3" t="s">
        <v>421</v>
      </c>
      <c r="B67" s="1" t="s">
        <v>2</v>
      </c>
      <c r="C67" s="1" t="s">
        <v>597</v>
      </c>
      <c r="D67" s="1" t="s">
        <v>23</v>
      </c>
      <c r="E67" s="1" t="s">
        <v>28</v>
      </c>
      <c r="F67" s="4">
        <v>0</v>
      </c>
      <c r="G67">
        <v>26</v>
      </c>
      <c r="H67">
        <v>6</v>
      </c>
      <c r="I67">
        <v>12</v>
      </c>
      <c r="J67">
        <v>4.2</v>
      </c>
      <c r="K67">
        <v>0.64</v>
      </c>
      <c r="L67">
        <v>2.8</v>
      </c>
      <c r="M67">
        <v>0.52900000000000003</v>
      </c>
      <c r="N67">
        <v>1.3</v>
      </c>
      <c r="O67">
        <v>0.875</v>
      </c>
      <c r="P67">
        <v>0.82</v>
      </c>
      <c r="Q67">
        <v>0.3</v>
      </c>
      <c r="R67">
        <v>1</v>
      </c>
      <c r="S67">
        <v>1.8</v>
      </c>
      <c r="T67">
        <v>0.3</v>
      </c>
      <c r="U67">
        <v>0</v>
      </c>
      <c r="V67">
        <v>0</v>
      </c>
      <c r="W67">
        <v>0.7</v>
      </c>
      <c r="X67">
        <v>1.7</v>
      </c>
      <c r="Y67">
        <v>7.2</v>
      </c>
      <c r="Z67">
        <v>0</v>
      </c>
      <c r="AA67">
        <v>-0.1</v>
      </c>
      <c r="AB67">
        <v>16.100000000000001</v>
      </c>
      <c r="AC67">
        <v>0.125</v>
      </c>
    </row>
    <row r="68" spans="1:29" x14ac:dyDescent="0.35">
      <c r="A68" s="3" t="s">
        <v>406</v>
      </c>
      <c r="B68" s="1" t="s">
        <v>26</v>
      </c>
      <c r="C68" s="1" t="s">
        <v>35</v>
      </c>
      <c r="D68" s="1" t="s">
        <v>23</v>
      </c>
      <c r="E68" s="1" t="s">
        <v>20</v>
      </c>
      <c r="F68" s="4">
        <v>0.1</v>
      </c>
      <c r="G68">
        <v>26</v>
      </c>
      <c r="H68">
        <v>9</v>
      </c>
      <c r="I68">
        <v>21.8</v>
      </c>
      <c r="J68">
        <v>4.4000000000000004</v>
      </c>
      <c r="K68">
        <v>0.5</v>
      </c>
      <c r="L68">
        <v>3.1</v>
      </c>
      <c r="M68">
        <v>0.39300000000000002</v>
      </c>
      <c r="N68">
        <v>1.3</v>
      </c>
      <c r="O68">
        <v>0.75</v>
      </c>
      <c r="P68">
        <v>0.63800000000000001</v>
      </c>
      <c r="Q68">
        <v>0.3</v>
      </c>
      <c r="R68">
        <v>0.66700000000000004</v>
      </c>
      <c r="S68">
        <v>5.2</v>
      </c>
      <c r="T68">
        <v>1.7</v>
      </c>
      <c r="U68">
        <v>0.6</v>
      </c>
      <c r="V68">
        <v>0.4</v>
      </c>
      <c r="W68">
        <v>0.3</v>
      </c>
      <c r="X68">
        <v>0.6</v>
      </c>
      <c r="Y68">
        <v>5.9</v>
      </c>
      <c r="Z68">
        <v>4</v>
      </c>
      <c r="AA68">
        <v>-0.2</v>
      </c>
      <c r="AB68">
        <v>15.3</v>
      </c>
      <c r="AC68">
        <v>0.14499999999999999</v>
      </c>
    </row>
    <row r="69" spans="1:29" x14ac:dyDescent="0.35">
      <c r="A69" s="3" t="s">
        <v>542</v>
      </c>
      <c r="B69" s="1" t="s">
        <v>2</v>
      </c>
      <c r="C69" s="1" t="s">
        <v>598</v>
      </c>
      <c r="D69" s="1" t="s">
        <v>33</v>
      </c>
      <c r="E69" s="1" t="s">
        <v>28</v>
      </c>
      <c r="F69" s="4">
        <v>-0.8</v>
      </c>
      <c r="G69">
        <v>28</v>
      </c>
      <c r="H69">
        <v>72</v>
      </c>
      <c r="I69">
        <v>21.2</v>
      </c>
      <c r="J69">
        <v>5.8</v>
      </c>
      <c r="K69">
        <v>0.4</v>
      </c>
      <c r="L69">
        <v>4.3</v>
      </c>
      <c r="M69">
        <v>0.35299999999999998</v>
      </c>
      <c r="N69">
        <v>1.5</v>
      </c>
      <c r="O69">
        <v>0.53200000000000003</v>
      </c>
      <c r="P69">
        <v>0.53</v>
      </c>
      <c r="Q69">
        <v>0.3</v>
      </c>
      <c r="R69">
        <v>0.71399999999999997</v>
      </c>
      <c r="S69">
        <v>1.3</v>
      </c>
      <c r="T69">
        <v>1.4</v>
      </c>
      <c r="U69">
        <v>0.7</v>
      </c>
      <c r="V69">
        <v>0.2</v>
      </c>
      <c r="W69">
        <v>0.6</v>
      </c>
      <c r="X69">
        <v>2.1</v>
      </c>
      <c r="Y69">
        <v>6.4</v>
      </c>
      <c r="Z69">
        <v>5</v>
      </c>
      <c r="AA69">
        <v>-4</v>
      </c>
      <c r="AB69">
        <v>7.4</v>
      </c>
      <c r="AC69">
        <v>3.9E-2</v>
      </c>
    </row>
    <row r="70" spans="1:29" x14ac:dyDescent="0.35">
      <c r="A70" s="3" t="s">
        <v>57</v>
      </c>
      <c r="B70" s="1" t="s">
        <v>26</v>
      </c>
      <c r="C70" s="1" t="s">
        <v>597</v>
      </c>
      <c r="D70" s="1" t="s">
        <v>23</v>
      </c>
      <c r="E70" s="1" t="s">
        <v>28</v>
      </c>
      <c r="F70" s="4">
        <v>-0.1</v>
      </c>
      <c r="G70">
        <v>23</v>
      </c>
      <c r="H70">
        <v>59</v>
      </c>
      <c r="I70">
        <v>17.7</v>
      </c>
      <c r="J70">
        <v>5.9</v>
      </c>
      <c r="K70">
        <v>0.42899999999999999</v>
      </c>
      <c r="L70">
        <v>4.4000000000000004</v>
      </c>
      <c r="M70">
        <v>0.40500000000000003</v>
      </c>
      <c r="N70">
        <v>1.5</v>
      </c>
      <c r="O70">
        <v>0.5</v>
      </c>
      <c r="P70">
        <v>0.58099999999999996</v>
      </c>
      <c r="Q70">
        <v>0.3</v>
      </c>
      <c r="R70">
        <v>0.88900000000000001</v>
      </c>
      <c r="S70">
        <v>2.7</v>
      </c>
      <c r="T70">
        <v>0.9</v>
      </c>
      <c r="U70">
        <v>0.3</v>
      </c>
      <c r="V70">
        <v>0.2</v>
      </c>
      <c r="W70">
        <v>0.5</v>
      </c>
      <c r="X70">
        <v>1.6</v>
      </c>
      <c r="Y70">
        <v>7.1</v>
      </c>
      <c r="Z70">
        <v>0</v>
      </c>
      <c r="AA70">
        <v>-2.2999999999999998</v>
      </c>
      <c r="AB70">
        <v>10.7</v>
      </c>
      <c r="AC70">
        <v>7.9000000000000001E-2</v>
      </c>
    </row>
    <row r="71" spans="1:29" x14ac:dyDescent="0.35">
      <c r="A71" s="3" t="s">
        <v>404</v>
      </c>
      <c r="B71" s="1" t="s">
        <v>26</v>
      </c>
      <c r="C71" s="1" t="s">
        <v>598</v>
      </c>
      <c r="D71" s="1" t="s">
        <v>23</v>
      </c>
      <c r="E71" s="1" t="s">
        <v>28</v>
      </c>
      <c r="F71" s="4">
        <v>1</v>
      </c>
      <c r="G71">
        <v>31</v>
      </c>
      <c r="H71">
        <v>75</v>
      </c>
      <c r="I71">
        <v>24.5</v>
      </c>
      <c r="J71">
        <v>7.6</v>
      </c>
      <c r="K71">
        <v>0.42299999999999999</v>
      </c>
      <c r="L71">
        <v>5.9</v>
      </c>
      <c r="M71">
        <v>0.40600000000000003</v>
      </c>
      <c r="N71">
        <v>1.7</v>
      </c>
      <c r="O71">
        <v>0.48099999999999998</v>
      </c>
      <c r="P71">
        <v>0.57999999999999996</v>
      </c>
      <c r="Q71">
        <v>0.3</v>
      </c>
      <c r="R71">
        <v>0.73099999999999998</v>
      </c>
      <c r="S71">
        <v>4.7</v>
      </c>
      <c r="T71">
        <v>2.2000000000000002</v>
      </c>
      <c r="U71">
        <v>0.9</v>
      </c>
      <c r="V71">
        <v>0.5</v>
      </c>
      <c r="W71">
        <v>0.9</v>
      </c>
      <c r="X71">
        <v>2</v>
      </c>
      <c r="Y71">
        <v>9.1</v>
      </c>
      <c r="Z71">
        <v>7</v>
      </c>
      <c r="AA71">
        <v>0.1</v>
      </c>
      <c r="AB71">
        <v>12.6</v>
      </c>
      <c r="AC71">
        <v>7.2999999999999995E-2</v>
      </c>
    </row>
    <row r="72" spans="1:29" x14ac:dyDescent="0.35">
      <c r="A72" s="3" t="s">
        <v>264</v>
      </c>
      <c r="B72" s="1" t="s">
        <v>2</v>
      </c>
      <c r="C72" s="1" t="s">
        <v>597</v>
      </c>
      <c r="D72" s="1" t="s">
        <v>33</v>
      </c>
      <c r="E72" s="1" t="s">
        <v>20</v>
      </c>
      <c r="F72" s="4">
        <v>-0.2</v>
      </c>
      <c r="G72">
        <v>34</v>
      </c>
      <c r="H72">
        <v>31</v>
      </c>
      <c r="I72">
        <v>12.4</v>
      </c>
      <c r="J72">
        <v>4.3</v>
      </c>
      <c r="K72">
        <v>0.39100000000000001</v>
      </c>
      <c r="L72">
        <v>2.4</v>
      </c>
      <c r="M72">
        <v>0.33800000000000002</v>
      </c>
      <c r="N72">
        <v>1.9</v>
      </c>
      <c r="O72">
        <v>0.45800000000000002</v>
      </c>
      <c r="P72">
        <v>0.48499999999999999</v>
      </c>
      <c r="Q72">
        <v>0.3</v>
      </c>
      <c r="R72">
        <v>0.77800000000000002</v>
      </c>
      <c r="S72">
        <v>1.4</v>
      </c>
      <c r="T72">
        <v>1.5</v>
      </c>
      <c r="U72">
        <v>0.5</v>
      </c>
      <c r="V72">
        <v>0.1</v>
      </c>
      <c r="W72">
        <v>0.5</v>
      </c>
      <c r="X72">
        <v>1.1000000000000001</v>
      </c>
      <c r="Y72">
        <v>4.4000000000000004</v>
      </c>
      <c r="Z72">
        <v>13</v>
      </c>
      <c r="AA72">
        <v>-4</v>
      </c>
      <c r="AB72">
        <v>9.8000000000000007</v>
      </c>
      <c r="AC72">
        <v>1.4999999999999999E-2</v>
      </c>
    </row>
    <row r="73" spans="1:29" x14ac:dyDescent="0.35">
      <c r="A73" s="3" t="s">
        <v>485</v>
      </c>
      <c r="B73" s="1" t="s">
        <v>2</v>
      </c>
      <c r="C73" s="1" t="s">
        <v>598</v>
      </c>
      <c r="D73" s="1" t="s">
        <v>23</v>
      </c>
      <c r="E73" s="1" t="s">
        <v>20</v>
      </c>
      <c r="F73" s="4">
        <v>0.1</v>
      </c>
      <c r="G73">
        <v>20</v>
      </c>
      <c r="H73">
        <v>52</v>
      </c>
      <c r="I73">
        <v>12.6</v>
      </c>
      <c r="J73">
        <v>4.5999999999999996</v>
      </c>
      <c r="K73">
        <v>0.35099999999999998</v>
      </c>
      <c r="L73">
        <v>2.7</v>
      </c>
      <c r="M73">
        <v>0.33800000000000002</v>
      </c>
      <c r="N73">
        <v>1.9</v>
      </c>
      <c r="O73">
        <v>0.371</v>
      </c>
      <c r="P73">
        <v>0.45200000000000001</v>
      </c>
      <c r="Q73">
        <v>0.3</v>
      </c>
      <c r="R73">
        <v>0.81299999999999994</v>
      </c>
      <c r="S73">
        <v>1.5</v>
      </c>
      <c r="T73">
        <v>1.4</v>
      </c>
      <c r="U73">
        <v>0.7</v>
      </c>
      <c r="V73">
        <v>0.3</v>
      </c>
      <c r="W73">
        <v>0.7</v>
      </c>
      <c r="X73">
        <v>1</v>
      </c>
      <c r="Y73">
        <v>4.4000000000000004</v>
      </c>
      <c r="Z73">
        <v>0</v>
      </c>
      <c r="AA73">
        <v>-1.7</v>
      </c>
      <c r="AB73">
        <v>9.6999999999999993</v>
      </c>
      <c r="AC73">
        <v>5.5E-2</v>
      </c>
    </row>
    <row r="74" spans="1:29" x14ac:dyDescent="0.35">
      <c r="A74" s="3" t="s">
        <v>172</v>
      </c>
      <c r="B74" s="1" t="s">
        <v>26</v>
      </c>
      <c r="C74" s="1" t="s">
        <v>598</v>
      </c>
      <c r="D74" s="1" t="s">
        <v>23</v>
      </c>
      <c r="E74" s="1" t="s">
        <v>50</v>
      </c>
      <c r="F74" s="4">
        <v>0.1</v>
      </c>
      <c r="G74">
        <v>24</v>
      </c>
      <c r="H74">
        <v>40</v>
      </c>
      <c r="I74">
        <v>15.2</v>
      </c>
      <c r="J74">
        <v>3.4</v>
      </c>
      <c r="K74">
        <v>0.496</v>
      </c>
      <c r="L74">
        <v>1.4</v>
      </c>
      <c r="M74">
        <v>0.40699999999999997</v>
      </c>
      <c r="N74">
        <v>2</v>
      </c>
      <c r="O74">
        <v>0.55600000000000005</v>
      </c>
      <c r="P74">
        <v>0.57799999999999996</v>
      </c>
      <c r="Q74">
        <v>0.3</v>
      </c>
      <c r="R74">
        <v>0.92300000000000004</v>
      </c>
      <c r="S74">
        <v>2.9</v>
      </c>
      <c r="T74">
        <v>1.1000000000000001</v>
      </c>
      <c r="U74">
        <v>0.5</v>
      </c>
      <c r="V74">
        <v>0.5</v>
      </c>
      <c r="W74">
        <v>0.4</v>
      </c>
      <c r="X74">
        <v>1.6</v>
      </c>
      <c r="Y74">
        <v>4.2</v>
      </c>
      <c r="Z74">
        <v>3</v>
      </c>
      <c r="AA74">
        <v>-1.4</v>
      </c>
      <c r="AB74">
        <v>11.3</v>
      </c>
      <c r="AC74">
        <v>9.6000000000000002E-2</v>
      </c>
    </row>
    <row r="75" spans="1:29" x14ac:dyDescent="0.35">
      <c r="A75" s="3" t="s">
        <v>151</v>
      </c>
      <c r="B75" s="1" t="s">
        <v>2</v>
      </c>
      <c r="C75" s="1" t="s">
        <v>598</v>
      </c>
      <c r="D75" s="1" t="s">
        <v>23</v>
      </c>
      <c r="E75" s="1" t="s">
        <v>20</v>
      </c>
      <c r="F75" s="4">
        <v>-0.3</v>
      </c>
      <c r="G75">
        <v>20</v>
      </c>
      <c r="H75">
        <v>49</v>
      </c>
      <c r="I75">
        <v>10.5</v>
      </c>
      <c r="J75">
        <v>4.3</v>
      </c>
      <c r="K75">
        <v>0.441</v>
      </c>
      <c r="L75">
        <v>1.5</v>
      </c>
      <c r="M75">
        <v>0.33800000000000002</v>
      </c>
      <c r="N75">
        <v>2.8</v>
      </c>
      <c r="O75">
        <v>0.496</v>
      </c>
      <c r="P75">
        <v>0.5</v>
      </c>
      <c r="Q75">
        <v>0.3</v>
      </c>
      <c r="R75">
        <v>0.53300000000000003</v>
      </c>
      <c r="S75">
        <v>1</v>
      </c>
      <c r="T75">
        <v>2</v>
      </c>
      <c r="U75">
        <v>0.4</v>
      </c>
      <c r="V75">
        <v>0</v>
      </c>
      <c r="W75">
        <v>1.1000000000000001</v>
      </c>
      <c r="X75">
        <v>0.8</v>
      </c>
      <c r="Y75">
        <v>4.5</v>
      </c>
      <c r="Z75">
        <v>0</v>
      </c>
      <c r="AA75">
        <v>-4.2</v>
      </c>
      <c r="AB75">
        <v>10.199999999999999</v>
      </c>
      <c r="AC75">
        <v>1.2E-2</v>
      </c>
    </row>
    <row r="76" spans="1:29" x14ac:dyDescent="0.35">
      <c r="A76" s="3" t="s">
        <v>163</v>
      </c>
      <c r="B76" s="1" t="s">
        <v>2</v>
      </c>
      <c r="C76" s="1" t="s">
        <v>598</v>
      </c>
      <c r="D76" s="1" t="s">
        <v>23</v>
      </c>
      <c r="E76" s="1" t="s">
        <v>20</v>
      </c>
      <c r="F76" s="4">
        <v>1.2</v>
      </c>
      <c r="G76">
        <v>30</v>
      </c>
      <c r="H76">
        <v>74</v>
      </c>
      <c r="I76">
        <v>24.1</v>
      </c>
      <c r="J76">
        <v>5.9</v>
      </c>
      <c r="K76">
        <v>0.439</v>
      </c>
      <c r="L76">
        <v>3</v>
      </c>
      <c r="M76">
        <v>0.33500000000000002</v>
      </c>
      <c r="N76">
        <v>2.9</v>
      </c>
      <c r="O76">
        <v>0.54900000000000004</v>
      </c>
      <c r="P76">
        <v>0.52500000000000002</v>
      </c>
      <c r="Q76">
        <v>0.3</v>
      </c>
      <c r="R76">
        <v>0.68200000000000005</v>
      </c>
      <c r="S76">
        <v>3.4</v>
      </c>
      <c r="T76">
        <v>2.8</v>
      </c>
      <c r="U76">
        <v>1.7</v>
      </c>
      <c r="V76">
        <v>0.4</v>
      </c>
      <c r="W76">
        <v>1</v>
      </c>
      <c r="X76">
        <v>2.7</v>
      </c>
      <c r="Y76">
        <v>6.4</v>
      </c>
      <c r="Z76">
        <v>8</v>
      </c>
      <c r="AA76">
        <v>0.6</v>
      </c>
      <c r="AB76">
        <v>11.3</v>
      </c>
      <c r="AC76">
        <v>0.108</v>
      </c>
    </row>
    <row r="77" spans="1:29" x14ac:dyDescent="0.35">
      <c r="A77" s="3" t="s">
        <v>415</v>
      </c>
      <c r="B77" s="1" t="s">
        <v>2</v>
      </c>
      <c r="C77" s="1" t="s">
        <v>35</v>
      </c>
      <c r="D77" s="1" t="s">
        <v>23</v>
      </c>
      <c r="E77" s="1" t="s">
        <v>20</v>
      </c>
      <c r="F77" s="4">
        <v>-0.6</v>
      </c>
      <c r="G77">
        <v>30</v>
      </c>
      <c r="H77">
        <v>24</v>
      </c>
      <c r="I77">
        <v>21.3</v>
      </c>
      <c r="J77">
        <v>5.0999999999999996</v>
      </c>
      <c r="K77">
        <v>0.32800000000000001</v>
      </c>
      <c r="L77">
        <v>0.3</v>
      </c>
      <c r="M77">
        <v>0.16700000000000001</v>
      </c>
      <c r="N77">
        <v>4.8</v>
      </c>
      <c r="O77">
        <v>0.33600000000000002</v>
      </c>
      <c r="P77">
        <v>0.33200000000000002</v>
      </c>
      <c r="Q77">
        <v>0.3</v>
      </c>
      <c r="R77">
        <v>0.57099999999999995</v>
      </c>
      <c r="S77">
        <v>3.3</v>
      </c>
      <c r="T77">
        <v>6.9</v>
      </c>
      <c r="U77">
        <v>1</v>
      </c>
      <c r="V77">
        <v>0.5</v>
      </c>
      <c r="W77">
        <v>2.5</v>
      </c>
      <c r="X77">
        <v>1.5</v>
      </c>
      <c r="Y77">
        <v>3.5</v>
      </c>
      <c r="Z77">
        <v>8</v>
      </c>
      <c r="AA77">
        <v>-6.4</v>
      </c>
      <c r="AB77">
        <v>8.5</v>
      </c>
      <c r="AC77">
        <v>-5.7000000000000002E-2</v>
      </c>
    </row>
    <row r="78" spans="1:29" x14ac:dyDescent="0.35">
      <c r="A78" s="3" t="s">
        <v>296</v>
      </c>
      <c r="B78" s="1" t="s">
        <v>2</v>
      </c>
      <c r="C78" s="1" t="s">
        <v>598</v>
      </c>
      <c r="D78" s="1" t="s">
        <v>19</v>
      </c>
      <c r="E78" s="1" t="s">
        <v>28</v>
      </c>
      <c r="F78" s="4">
        <v>0</v>
      </c>
      <c r="G78">
        <v>23</v>
      </c>
      <c r="H78">
        <v>22</v>
      </c>
      <c r="I78">
        <v>4.2</v>
      </c>
      <c r="J78">
        <v>1.4</v>
      </c>
      <c r="K78">
        <v>0.36699999999999999</v>
      </c>
      <c r="L78">
        <v>1</v>
      </c>
      <c r="M78">
        <v>0.30399999999999999</v>
      </c>
      <c r="N78">
        <v>0.3</v>
      </c>
      <c r="O78">
        <v>0.57099999999999995</v>
      </c>
      <c r="P78">
        <v>0.48299999999999998</v>
      </c>
      <c r="Q78">
        <v>0.4</v>
      </c>
      <c r="R78">
        <v>0.77800000000000002</v>
      </c>
      <c r="S78">
        <v>0.5</v>
      </c>
      <c r="T78">
        <v>0.9</v>
      </c>
      <c r="U78">
        <v>0.1</v>
      </c>
      <c r="V78">
        <v>0</v>
      </c>
      <c r="W78">
        <v>0.2</v>
      </c>
      <c r="X78">
        <v>0.4</v>
      </c>
      <c r="Y78">
        <v>1.6</v>
      </c>
      <c r="Z78">
        <v>0</v>
      </c>
      <c r="AA78">
        <v>-2.8</v>
      </c>
      <c r="AB78">
        <v>11</v>
      </c>
      <c r="AC78">
        <v>9.5000000000000001E-2</v>
      </c>
    </row>
    <row r="79" spans="1:29" x14ac:dyDescent="0.35">
      <c r="A79" s="3" t="s">
        <v>417</v>
      </c>
      <c r="B79" s="1" t="s">
        <v>26</v>
      </c>
      <c r="C79" s="1" t="s">
        <v>597</v>
      </c>
      <c r="D79" s="1" t="s">
        <v>23</v>
      </c>
      <c r="E79" s="1" t="s">
        <v>28</v>
      </c>
      <c r="F79" s="4">
        <v>0.1</v>
      </c>
      <c r="G79">
        <v>25</v>
      </c>
      <c r="H79">
        <v>25</v>
      </c>
      <c r="I79">
        <v>7.4</v>
      </c>
      <c r="J79">
        <v>1.6</v>
      </c>
      <c r="K79">
        <v>0.41499999999999998</v>
      </c>
      <c r="L79">
        <v>1.3</v>
      </c>
      <c r="M79">
        <v>0.39400000000000002</v>
      </c>
      <c r="N79">
        <v>0.3</v>
      </c>
      <c r="O79">
        <v>0.5</v>
      </c>
      <c r="P79">
        <v>0.57299999999999995</v>
      </c>
      <c r="Q79">
        <v>0.4</v>
      </c>
      <c r="R79">
        <v>0.77800000000000002</v>
      </c>
      <c r="S79">
        <v>1.6</v>
      </c>
      <c r="T79">
        <v>0.5</v>
      </c>
      <c r="U79">
        <v>0.2</v>
      </c>
      <c r="V79">
        <v>0.1</v>
      </c>
      <c r="W79">
        <v>0.3</v>
      </c>
      <c r="X79">
        <v>0.7</v>
      </c>
      <c r="Y79">
        <v>2.2000000000000002</v>
      </c>
      <c r="Z79">
        <v>1</v>
      </c>
      <c r="AA79">
        <v>-0.8</v>
      </c>
      <c r="AB79">
        <v>10.5</v>
      </c>
      <c r="AC79">
        <v>0.115</v>
      </c>
    </row>
    <row r="80" spans="1:29" x14ac:dyDescent="0.35">
      <c r="A80" s="3" t="s">
        <v>115</v>
      </c>
      <c r="B80" s="1" t="s">
        <v>26</v>
      </c>
      <c r="C80" s="1" t="s">
        <v>35</v>
      </c>
      <c r="D80" s="1" t="s">
        <v>19</v>
      </c>
      <c r="E80" s="1" t="s">
        <v>50</v>
      </c>
      <c r="F80" s="4">
        <v>-0.1</v>
      </c>
      <c r="G80">
        <v>20</v>
      </c>
      <c r="H80">
        <v>22</v>
      </c>
      <c r="I80">
        <v>5.2</v>
      </c>
      <c r="J80">
        <v>1.4</v>
      </c>
      <c r="K80">
        <v>0.433</v>
      </c>
      <c r="L80">
        <v>0.6</v>
      </c>
      <c r="M80">
        <v>0.23100000000000001</v>
      </c>
      <c r="N80">
        <v>0.8</v>
      </c>
      <c r="O80">
        <v>0.58799999999999997</v>
      </c>
      <c r="P80">
        <v>0.48299999999999998</v>
      </c>
      <c r="Q80">
        <v>0.4</v>
      </c>
      <c r="R80">
        <v>0.33300000000000002</v>
      </c>
      <c r="S80">
        <v>1</v>
      </c>
      <c r="T80">
        <v>0.7</v>
      </c>
      <c r="U80">
        <v>0.1</v>
      </c>
      <c r="V80">
        <v>0</v>
      </c>
      <c r="W80">
        <v>0.5</v>
      </c>
      <c r="X80">
        <v>0.5</v>
      </c>
      <c r="Y80">
        <v>1.5</v>
      </c>
      <c r="Z80">
        <v>1</v>
      </c>
      <c r="AA80">
        <v>-5.0999999999999996</v>
      </c>
      <c r="AB80">
        <v>6.7</v>
      </c>
      <c r="AC80">
        <v>-4.4999999999999998E-2</v>
      </c>
    </row>
    <row r="81" spans="1:29" x14ac:dyDescent="0.35">
      <c r="A81" s="3" t="s">
        <v>134</v>
      </c>
      <c r="B81" s="1" t="s">
        <v>2</v>
      </c>
      <c r="C81" s="1" t="s">
        <v>597</v>
      </c>
      <c r="D81" s="1" t="s">
        <v>19</v>
      </c>
      <c r="E81" s="1" t="s">
        <v>28</v>
      </c>
      <c r="F81" s="4">
        <v>-0.1</v>
      </c>
      <c r="G81">
        <v>21</v>
      </c>
      <c r="H81">
        <v>5</v>
      </c>
      <c r="I81">
        <v>2</v>
      </c>
      <c r="J81">
        <v>1.4</v>
      </c>
      <c r="K81">
        <v>0.14299999999999999</v>
      </c>
      <c r="L81">
        <v>0.6</v>
      </c>
      <c r="M81">
        <v>0</v>
      </c>
      <c r="N81">
        <v>0.8</v>
      </c>
      <c r="O81">
        <v>0.25</v>
      </c>
      <c r="P81">
        <v>0.14299999999999999</v>
      </c>
      <c r="Q81">
        <v>0.4</v>
      </c>
      <c r="R81">
        <v>0.5</v>
      </c>
      <c r="S81">
        <v>0.4</v>
      </c>
      <c r="T81">
        <v>0</v>
      </c>
      <c r="U81">
        <v>0</v>
      </c>
      <c r="V81">
        <v>0</v>
      </c>
      <c r="W81">
        <v>0</v>
      </c>
      <c r="X81">
        <v>0</v>
      </c>
      <c r="Y81">
        <v>0.6</v>
      </c>
      <c r="Z81">
        <v>0</v>
      </c>
      <c r="AA81">
        <v>-24.9</v>
      </c>
      <c r="AB81">
        <v>-10.7</v>
      </c>
      <c r="AC81">
        <v>-0.47299999999999998</v>
      </c>
    </row>
    <row r="82" spans="1:29" x14ac:dyDescent="0.35">
      <c r="A82" s="3" t="s">
        <v>189</v>
      </c>
      <c r="B82" s="1" t="s">
        <v>2</v>
      </c>
      <c r="C82" s="1" t="s">
        <v>597</v>
      </c>
      <c r="D82" s="1" t="s">
        <v>19</v>
      </c>
      <c r="E82" s="1" t="s">
        <v>50</v>
      </c>
      <c r="F82" s="4">
        <v>0</v>
      </c>
      <c r="G82">
        <v>20</v>
      </c>
      <c r="H82">
        <v>50</v>
      </c>
      <c r="I82">
        <v>7.6</v>
      </c>
      <c r="J82">
        <v>1.8</v>
      </c>
      <c r="K82">
        <v>0.38</v>
      </c>
      <c r="L82">
        <v>1</v>
      </c>
      <c r="M82">
        <v>0.3</v>
      </c>
      <c r="N82">
        <v>0.8</v>
      </c>
      <c r="O82">
        <v>0.47599999999999998</v>
      </c>
      <c r="P82">
        <v>0.46200000000000002</v>
      </c>
      <c r="Q82">
        <v>0.4</v>
      </c>
      <c r="R82">
        <v>0.81799999999999995</v>
      </c>
      <c r="S82">
        <v>1.4</v>
      </c>
      <c r="T82">
        <v>0.4</v>
      </c>
      <c r="U82">
        <v>0.4</v>
      </c>
      <c r="V82">
        <v>0.2</v>
      </c>
      <c r="W82">
        <v>0.2</v>
      </c>
      <c r="X82">
        <v>0.8</v>
      </c>
      <c r="Y82">
        <v>2.1</v>
      </c>
      <c r="Z82">
        <v>0</v>
      </c>
      <c r="AA82">
        <v>-2.5</v>
      </c>
      <c r="AB82">
        <v>9.8000000000000007</v>
      </c>
      <c r="AC82">
        <v>7.0000000000000007E-2</v>
      </c>
    </row>
    <row r="83" spans="1:29" x14ac:dyDescent="0.35">
      <c r="A83" s="3" t="s">
        <v>208</v>
      </c>
      <c r="B83" s="1" t="s">
        <v>2</v>
      </c>
      <c r="C83" s="1" t="s">
        <v>597</v>
      </c>
      <c r="D83" s="1" t="s">
        <v>23</v>
      </c>
      <c r="E83" s="1" t="s">
        <v>28</v>
      </c>
      <c r="F83" s="4">
        <v>-0.1</v>
      </c>
      <c r="G83">
        <v>25</v>
      </c>
      <c r="H83">
        <v>73</v>
      </c>
      <c r="I83">
        <v>22.7</v>
      </c>
      <c r="J83">
        <v>5.8</v>
      </c>
      <c r="K83">
        <v>0.42899999999999999</v>
      </c>
      <c r="L83">
        <v>5</v>
      </c>
      <c r="M83">
        <v>0.42699999999999999</v>
      </c>
      <c r="N83">
        <v>0.8</v>
      </c>
      <c r="O83">
        <v>0.443</v>
      </c>
      <c r="P83">
        <v>0.61199999999999999</v>
      </c>
      <c r="Q83">
        <v>0.4</v>
      </c>
      <c r="R83">
        <v>0.81499999999999995</v>
      </c>
      <c r="S83">
        <v>2.4</v>
      </c>
      <c r="T83">
        <v>1.5</v>
      </c>
      <c r="U83">
        <v>0.5</v>
      </c>
      <c r="V83">
        <v>0.1</v>
      </c>
      <c r="W83">
        <v>0.5</v>
      </c>
      <c r="X83">
        <v>2.2000000000000002</v>
      </c>
      <c r="Y83">
        <v>7.4</v>
      </c>
      <c r="Z83">
        <v>2</v>
      </c>
      <c r="AA83">
        <v>-2.2000000000000002</v>
      </c>
      <c r="AB83">
        <v>9.1999999999999993</v>
      </c>
      <c r="AC83">
        <v>8.2000000000000003E-2</v>
      </c>
    </row>
    <row r="84" spans="1:29" x14ac:dyDescent="0.35">
      <c r="A84" s="3" t="s">
        <v>361</v>
      </c>
      <c r="B84" s="1" t="s">
        <v>2</v>
      </c>
      <c r="C84" s="1" t="s">
        <v>597</v>
      </c>
      <c r="D84" s="1" t="s">
        <v>23</v>
      </c>
      <c r="E84" s="1" t="s">
        <v>50</v>
      </c>
      <c r="F84" s="4">
        <v>0.8</v>
      </c>
      <c r="G84">
        <v>28</v>
      </c>
      <c r="H84">
        <v>71</v>
      </c>
      <c r="I84">
        <v>19.7</v>
      </c>
      <c r="J84">
        <v>6</v>
      </c>
      <c r="K84">
        <v>0.40600000000000003</v>
      </c>
      <c r="L84">
        <v>5.2</v>
      </c>
      <c r="M84">
        <v>0.372</v>
      </c>
      <c r="N84">
        <v>0.8</v>
      </c>
      <c r="O84">
        <v>0.625</v>
      </c>
      <c r="P84">
        <v>0.56699999999999995</v>
      </c>
      <c r="Q84">
        <v>0.4</v>
      </c>
      <c r="R84">
        <v>0.96599999999999997</v>
      </c>
      <c r="S84">
        <v>2.2000000000000002</v>
      </c>
      <c r="T84">
        <v>1.5</v>
      </c>
      <c r="U84">
        <v>0.7</v>
      </c>
      <c r="V84">
        <v>0.2</v>
      </c>
      <c r="W84">
        <v>0.5</v>
      </c>
      <c r="X84">
        <v>1.7</v>
      </c>
      <c r="Y84">
        <v>7.2</v>
      </c>
      <c r="Z84">
        <v>4</v>
      </c>
      <c r="AA84">
        <v>0.3</v>
      </c>
      <c r="AB84">
        <v>11.1</v>
      </c>
      <c r="AC84">
        <v>0.113</v>
      </c>
    </row>
    <row r="85" spans="1:29" x14ac:dyDescent="0.35">
      <c r="A85" s="3" t="s">
        <v>306</v>
      </c>
      <c r="B85" s="1" t="s">
        <v>2</v>
      </c>
      <c r="C85" s="1" t="s">
        <v>597</v>
      </c>
      <c r="D85" s="1" t="s">
        <v>23</v>
      </c>
      <c r="E85" s="1" t="s">
        <v>50</v>
      </c>
      <c r="F85" s="4">
        <v>-0.1</v>
      </c>
      <c r="G85">
        <v>23</v>
      </c>
      <c r="H85">
        <v>41</v>
      </c>
      <c r="I85">
        <v>7.2</v>
      </c>
      <c r="J85">
        <v>2</v>
      </c>
      <c r="K85">
        <v>0.32900000000000001</v>
      </c>
      <c r="L85">
        <v>1.1000000000000001</v>
      </c>
      <c r="M85">
        <v>0.29799999999999999</v>
      </c>
      <c r="N85">
        <v>0.9</v>
      </c>
      <c r="O85">
        <v>0.371</v>
      </c>
      <c r="P85">
        <v>0.41499999999999998</v>
      </c>
      <c r="Q85">
        <v>0.4</v>
      </c>
      <c r="R85">
        <v>0.76500000000000001</v>
      </c>
      <c r="S85">
        <v>0.7</v>
      </c>
      <c r="T85">
        <v>1.7</v>
      </c>
      <c r="U85">
        <v>0.3</v>
      </c>
      <c r="V85">
        <v>0.1</v>
      </c>
      <c r="W85">
        <v>0.4</v>
      </c>
      <c r="X85">
        <v>0.6</v>
      </c>
      <c r="Y85">
        <v>2</v>
      </c>
      <c r="Z85">
        <v>0</v>
      </c>
      <c r="AA85">
        <v>-2.8</v>
      </c>
      <c r="AB85">
        <v>10.3</v>
      </c>
      <c r="AC85">
        <v>5.8000000000000003E-2</v>
      </c>
    </row>
    <row r="86" spans="1:29" x14ac:dyDescent="0.35">
      <c r="A86" s="3" t="s">
        <v>293</v>
      </c>
      <c r="B86" s="1" t="s">
        <v>2</v>
      </c>
      <c r="C86" s="1" t="s">
        <v>597</v>
      </c>
      <c r="D86" s="1" t="s">
        <v>19</v>
      </c>
      <c r="E86" s="1" t="s">
        <v>20</v>
      </c>
      <c r="F86" s="4">
        <v>0.2</v>
      </c>
      <c r="G86">
        <v>33</v>
      </c>
      <c r="H86">
        <v>50</v>
      </c>
      <c r="I86">
        <v>12.2</v>
      </c>
      <c r="J86">
        <v>3.1</v>
      </c>
      <c r="K86">
        <v>0.40300000000000002</v>
      </c>
      <c r="L86">
        <v>2.1</v>
      </c>
      <c r="M86">
        <v>0.36399999999999999</v>
      </c>
      <c r="N86">
        <v>0.9</v>
      </c>
      <c r="O86">
        <v>0.48899999999999999</v>
      </c>
      <c r="P86">
        <v>0.52900000000000003</v>
      </c>
      <c r="Q86">
        <v>0.4</v>
      </c>
      <c r="R86">
        <v>0.77800000000000002</v>
      </c>
      <c r="S86">
        <v>1.5</v>
      </c>
      <c r="T86">
        <v>1.4</v>
      </c>
      <c r="U86">
        <v>0.5</v>
      </c>
      <c r="V86">
        <v>0.1</v>
      </c>
      <c r="W86">
        <v>0.4</v>
      </c>
      <c r="X86">
        <v>1</v>
      </c>
      <c r="Y86">
        <v>3.5</v>
      </c>
      <c r="Z86">
        <v>13</v>
      </c>
      <c r="AA86">
        <v>-0.8</v>
      </c>
      <c r="AB86">
        <v>10.9</v>
      </c>
      <c r="AC86">
        <v>0.114</v>
      </c>
    </row>
    <row r="87" spans="1:29" x14ac:dyDescent="0.35">
      <c r="A87" s="3" t="s">
        <v>474</v>
      </c>
      <c r="B87" s="1" t="s">
        <v>2</v>
      </c>
      <c r="C87" s="1" t="s">
        <v>597</v>
      </c>
      <c r="D87" s="1" t="s">
        <v>23</v>
      </c>
      <c r="E87" s="1" t="s">
        <v>20</v>
      </c>
      <c r="F87" s="4">
        <v>0</v>
      </c>
      <c r="G87">
        <v>24</v>
      </c>
      <c r="H87">
        <v>31</v>
      </c>
      <c r="I87">
        <v>12.4</v>
      </c>
      <c r="J87">
        <v>3.5</v>
      </c>
      <c r="K87">
        <v>0.35499999999999998</v>
      </c>
      <c r="L87">
        <v>2.6</v>
      </c>
      <c r="M87">
        <v>0.317</v>
      </c>
      <c r="N87">
        <v>0.9</v>
      </c>
      <c r="O87">
        <v>0.46400000000000002</v>
      </c>
      <c r="P87">
        <v>0.47299999999999998</v>
      </c>
      <c r="Q87">
        <v>0.4</v>
      </c>
      <c r="R87">
        <v>0.75</v>
      </c>
      <c r="S87">
        <v>2.1</v>
      </c>
      <c r="T87">
        <v>1.1000000000000001</v>
      </c>
      <c r="U87">
        <v>0.5</v>
      </c>
      <c r="V87">
        <v>0.1</v>
      </c>
      <c r="W87">
        <v>0.4</v>
      </c>
      <c r="X87">
        <v>0.7</v>
      </c>
      <c r="Y87">
        <v>3.6</v>
      </c>
      <c r="Z87">
        <v>0</v>
      </c>
      <c r="AA87">
        <v>-1.7</v>
      </c>
      <c r="AB87">
        <v>10.3</v>
      </c>
      <c r="AC87">
        <v>8.8999999999999996E-2</v>
      </c>
    </row>
    <row r="88" spans="1:29" x14ac:dyDescent="0.35">
      <c r="A88" s="3" t="s">
        <v>372</v>
      </c>
      <c r="B88" s="1" t="s">
        <v>26</v>
      </c>
      <c r="C88" s="1" t="s">
        <v>598</v>
      </c>
      <c r="D88" s="1" t="s">
        <v>23</v>
      </c>
      <c r="E88" s="1" t="s">
        <v>50</v>
      </c>
      <c r="F88" s="4">
        <v>0.3</v>
      </c>
      <c r="G88">
        <v>22</v>
      </c>
      <c r="H88">
        <v>46</v>
      </c>
      <c r="I88">
        <v>6</v>
      </c>
      <c r="J88">
        <v>2</v>
      </c>
      <c r="K88">
        <v>0.48899999999999999</v>
      </c>
      <c r="L88">
        <v>0.9</v>
      </c>
      <c r="M88">
        <v>0.32600000000000001</v>
      </c>
      <c r="N88">
        <v>1</v>
      </c>
      <c r="O88">
        <v>0.63800000000000001</v>
      </c>
      <c r="P88">
        <v>0.56699999999999995</v>
      </c>
      <c r="Q88">
        <v>0.4</v>
      </c>
      <c r="R88">
        <v>0.89500000000000002</v>
      </c>
      <c r="S88">
        <v>1</v>
      </c>
      <c r="T88">
        <v>0.4</v>
      </c>
      <c r="U88">
        <v>0.3</v>
      </c>
      <c r="V88">
        <v>0.3</v>
      </c>
      <c r="W88">
        <v>0.2</v>
      </c>
      <c r="X88">
        <v>0.7</v>
      </c>
      <c r="Y88">
        <v>2.6</v>
      </c>
      <c r="Z88">
        <v>2</v>
      </c>
      <c r="AA88">
        <v>2.2000000000000002</v>
      </c>
      <c r="AB88">
        <v>15.5</v>
      </c>
      <c r="AC88">
        <v>0.153</v>
      </c>
    </row>
    <row r="89" spans="1:29" x14ac:dyDescent="0.35">
      <c r="A89" s="3" t="s">
        <v>145</v>
      </c>
      <c r="B89" s="1" t="s">
        <v>2</v>
      </c>
      <c r="C89" s="1" t="s">
        <v>597</v>
      </c>
      <c r="D89" s="1" t="s">
        <v>23</v>
      </c>
      <c r="E89" s="1" t="s">
        <v>50</v>
      </c>
      <c r="F89" s="4">
        <v>-0.1</v>
      </c>
      <c r="G89">
        <v>22</v>
      </c>
      <c r="H89">
        <v>16</v>
      </c>
      <c r="I89">
        <v>5.8</v>
      </c>
      <c r="J89">
        <v>2.1</v>
      </c>
      <c r="K89">
        <v>0.35299999999999998</v>
      </c>
      <c r="L89">
        <v>1.1000000000000001</v>
      </c>
      <c r="M89">
        <v>0.222</v>
      </c>
      <c r="N89">
        <v>1</v>
      </c>
      <c r="O89">
        <v>0.5</v>
      </c>
      <c r="P89">
        <v>0.41199999999999998</v>
      </c>
      <c r="Q89">
        <v>0.4</v>
      </c>
      <c r="R89">
        <v>0.71399999999999997</v>
      </c>
      <c r="S89">
        <v>0.8</v>
      </c>
      <c r="T89">
        <v>0.8</v>
      </c>
      <c r="U89">
        <v>0.3</v>
      </c>
      <c r="V89">
        <v>0.1</v>
      </c>
      <c r="W89">
        <v>0.8</v>
      </c>
      <c r="X89">
        <v>0.1</v>
      </c>
      <c r="Y89">
        <v>2.1</v>
      </c>
      <c r="Z89">
        <v>2</v>
      </c>
      <c r="AA89">
        <v>-6.2</v>
      </c>
      <c r="AB89">
        <v>6.5</v>
      </c>
      <c r="AC89">
        <v>-8.1000000000000003E-2</v>
      </c>
    </row>
    <row r="90" spans="1:29" x14ac:dyDescent="0.35">
      <c r="A90" s="3" t="s">
        <v>513</v>
      </c>
      <c r="B90" s="1" t="s">
        <v>2</v>
      </c>
      <c r="C90" s="1" t="s">
        <v>597</v>
      </c>
      <c r="D90" s="1" t="s">
        <v>23</v>
      </c>
      <c r="E90" s="1" t="s">
        <v>28</v>
      </c>
      <c r="F90" s="4">
        <v>-0.1</v>
      </c>
      <c r="G90">
        <v>38</v>
      </c>
      <c r="H90">
        <v>28</v>
      </c>
      <c r="I90">
        <v>8.1</v>
      </c>
      <c r="J90">
        <v>2.1</v>
      </c>
      <c r="K90">
        <v>0.3</v>
      </c>
      <c r="L90">
        <v>1</v>
      </c>
      <c r="M90">
        <v>0.214</v>
      </c>
      <c r="N90">
        <v>1.1000000000000001</v>
      </c>
      <c r="O90">
        <v>0.375</v>
      </c>
      <c r="P90">
        <v>0.35</v>
      </c>
      <c r="Q90">
        <v>0.4</v>
      </c>
      <c r="R90">
        <v>0.91700000000000004</v>
      </c>
      <c r="S90">
        <v>1</v>
      </c>
      <c r="T90">
        <v>1.1000000000000001</v>
      </c>
      <c r="U90">
        <v>0.6</v>
      </c>
      <c r="V90">
        <v>0.1</v>
      </c>
      <c r="W90">
        <v>0.4</v>
      </c>
      <c r="X90">
        <v>0.8</v>
      </c>
      <c r="Y90">
        <v>1.9</v>
      </c>
      <c r="Z90">
        <v>14</v>
      </c>
      <c r="AA90">
        <v>-3.6</v>
      </c>
      <c r="AB90">
        <v>8.5</v>
      </c>
      <c r="AC90">
        <v>3.3000000000000002E-2</v>
      </c>
    </row>
    <row r="91" spans="1:29" x14ac:dyDescent="0.35">
      <c r="A91" s="3" t="s">
        <v>320</v>
      </c>
      <c r="B91" s="1" t="s">
        <v>18</v>
      </c>
      <c r="C91" s="1" t="s">
        <v>35</v>
      </c>
      <c r="D91" s="1" t="s">
        <v>19</v>
      </c>
      <c r="E91" s="1" t="s">
        <v>20</v>
      </c>
      <c r="F91" s="4">
        <v>-0.1</v>
      </c>
      <c r="G91">
        <v>31</v>
      </c>
      <c r="H91">
        <v>46</v>
      </c>
      <c r="I91">
        <v>8.3000000000000007</v>
      </c>
      <c r="J91">
        <v>1.4</v>
      </c>
      <c r="K91">
        <v>0.50800000000000001</v>
      </c>
      <c r="L91">
        <v>0.2</v>
      </c>
      <c r="M91">
        <v>0.222</v>
      </c>
      <c r="N91">
        <v>1.2</v>
      </c>
      <c r="O91">
        <v>0.55600000000000005</v>
      </c>
      <c r="P91">
        <v>0.52400000000000002</v>
      </c>
      <c r="Q91">
        <v>0.4</v>
      </c>
      <c r="R91">
        <v>0.47099999999999997</v>
      </c>
      <c r="S91">
        <v>2.1</v>
      </c>
      <c r="T91">
        <v>0.8</v>
      </c>
      <c r="U91">
        <v>0.2</v>
      </c>
      <c r="V91">
        <v>0.5</v>
      </c>
      <c r="W91">
        <v>0.4</v>
      </c>
      <c r="X91">
        <v>1.2</v>
      </c>
      <c r="Y91">
        <v>1.6</v>
      </c>
      <c r="Z91">
        <v>11</v>
      </c>
      <c r="AA91">
        <v>-2.6</v>
      </c>
      <c r="AB91">
        <v>10.6</v>
      </c>
      <c r="AC91">
        <v>8.3000000000000004E-2</v>
      </c>
    </row>
    <row r="92" spans="1:29" x14ac:dyDescent="0.35">
      <c r="A92" s="3" t="s">
        <v>246</v>
      </c>
      <c r="B92" s="1" t="s">
        <v>26</v>
      </c>
      <c r="C92" s="1" t="s">
        <v>597</v>
      </c>
      <c r="D92" s="1" t="s">
        <v>23</v>
      </c>
      <c r="E92" s="1" t="s">
        <v>20</v>
      </c>
      <c r="F92" s="4">
        <v>-0.6</v>
      </c>
      <c r="G92">
        <v>21</v>
      </c>
      <c r="H92">
        <v>60</v>
      </c>
      <c r="I92">
        <v>11.7</v>
      </c>
      <c r="J92">
        <v>4.4000000000000004</v>
      </c>
      <c r="K92">
        <v>0.374</v>
      </c>
      <c r="L92">
        <v>3.1</v>
      </c>
      <c r="M92">
        <v>0.29599999999999999</v>
      </c>
      <c r="N92">
        <v>1.3</v>
      </c>
      <c r="O92">
        <v>0.56599999999999995</v>
      </c>
      <c r="P92">
        <v>0.47899999999999998</v>
      </c>
      <c r="Q92">
        <v>0.4</v>
      </c>
      <c r="R92">
        <v>0.69599999999999995</v>
      </c>
      <c r="S92">
        <v>1.2</v>
      </c>
      <c r="T92">
        <v>0.7</v>
      </c>
      <c r="U92">
        <v>0.2</v>
      </c>
      <c r="V92">
        <v>0.2</v>
      </c>
      <c r="W92">
        <v>0.6</v>
      </c>
      <c r="X92">
        <v>1.1000000000000001</v>
      </c>
      <c r="Y92">
        <v>4.5</v>
      </c>
      <c r="Z92">
        <v>1</v>
      </c>
      <c r="AA92">
        <v>-5.3</v>
      </c>
      <c r="AB92">
        <v>7.1</v>
      </c>
      <c r="AC92">
        <v>0.01</v>
      </c>
    </row>
    <row r="93" spans="1:29" x14ac:dyDescent="0.35">
      <c r="A93" s="3" t="s">
        <v>114</v>
      </c>
      <c r="B93" s="1" t="s">
        <v>2</v>
      </c>
      <c r="C93" s="1" t="s">
        <v>597</v>
      </c>
      <c r="D93" s="1" t="s">
        <v>23</v>
      </c>
      <c r="E93" s="1" t="s">
        <v>20</v>
      </c>
      <c r="F93" s="4">
        <v>-0.1</v>
      </c>
      <c r="G93">
        <v>23</v>
      </c>
      <c r="H93">
        <v>14</v>
      </c>
      <c r="I93">
        <v>4.9000000000000004</v>
      </c>
      <c r="J93">
        <v>2.2000000000000002</v>
      </c>
      <c r="K93">
        <v>0.35499999999999998</v>
      </c>
      <c r="L93">
        <v>0.8</v>
      </c>
      <c r="M93">
        <v>0.182</v>
      </c>
      <c r="N93">
        <v>1.4</v>
      </c>
      <c r="O93">
        <v>0.45</v>
      </c>
      <c r="P93">
        <v>0.38700000000000001</v>
      </c>
      <c r="Q93">
        <v>0.4</v>
      </c>
      <c r="R93">
        <v>0.66700000000000004</v>
      </c>
      <c r="S93">
        <v>0.6</v>
      </c>
      <c r="T93">
        <v>0.6</v>
      </c>
      <c r="U93">
        <v>0.4</v>
      </c>
      <c r="V93">
        <v>0.2</v>
      </c>
      <c r="W93">
        <v>0.4</v>
      </c>
      <c r="X93">
        <v>0.1</v>
      </c>
      <c r="Y93">
        <v>2</v>
      </c>
      <c r="Z93">
        <v>3</v>
      </c>
      <c r="AA93">
        <v>-7.9</v>
      </c>
      <c r="AB93">
        <v>9.4</v>
      </c>
      <c r="AC93">
        <v>-7.2999999999999995E-2</v>
      </c>
    </row>
    <row r="94" spans="1:29" x14ac:dyDescent="0.35">
      <c r="A94" s="3" t="s">
        <v>143</v>
      </c>
      <c r="B94" s="1" t="s">
        <v>2</v>
      </c>
      <c r="C94" s="1" t="s">
        <v>597</v>
      </c>
      <c r="D94" s="1" t="s">
        <v>23</v>
      </c>
      <c r="E94" s="1" t="s">
        <v>20</v>
      </c>
      <c r="F94" s="4">
        <v>0</v>
      </c>
      <c r="G94">
        <v>22</v>
      </c>
      <c r="H94">
        <v>34</v>
      </c>
      <c r="I94">
        <v>7.1</v>
      </c>
      <c r="J94">
        <v>2.2999999999999998</v>
      </c>
      <c r="K94">
        <v>0.41</v>
      </c>
      <c r="L94">
        <v>0.9</v>
      </c>
      <c r="M94">
        <v>0.24099999999999999</v>
      </c>
      <c r="N94">
        <v>1.4</v>
      </c>
      <c r="O94">
        <v>0.51</v>
      </c>
      <c r="P94">
        <v>0.45500000000000002</v>
      </c>
      <c r="Q94">
        <v>0.4</v>
      </c>
      <c r="R94">
        <v>0.6</v>
      </c>
      <c r="S94">
        <v>1.1000000000000001</v>
      </c>
      <c r="T94">
        <v>0.3</v>
      </c>
      <c r="U94">
        <v>0.4</v>
      </c>
      <c r="V94">
        <v>0.2</v>
      </c>
      <c r="W94">
        <v>0.2</v>
      </c>
      <c r="X94">
        <v>0.5</v>
      </c>
      <c r="Y94">
        <v>2.4</v>
      </c>
      <c r="Z94">
        <v>2</v>
      </c>
      <c r="AA94">
        <v>-2.8</v>
      </c>
      <c r="AB94">
        <v>10.199999999999999</v>
      </c>
      <c r="AC94">
        <v>0.01</v>
      </c>
    </row>
    <row r="95" spans="1:29" x14ac:dyDescent="0.35">
      <c r="A95" s="3" t="s">
        <v>484</v>
      </c>
      <c r="B95" s="1" t="s">
        <v>2</v>
      </c>
      <c r="C95" s="1" t="s">
        <v>597</v>
      </c>
      <c r="D95" s="1" t="s">
        <v>23</v>
      </c>
      <c r="E95" s="1" t="s">
        <v>20</v>
      </c>
      <c r="F95" s="4">
        <v>0</v>
      </c>
      <c r="G95">
        <v>23</v>
      </c>
      <c r="H95">
        <v>63</v>
      </c>
      <c r="I95">
        <v>19.5</v>
      </c>
      <c r="J95">
        <v>4.5999999999999996</v>
      </c>
      <c r="K95">
        <v>0.41799999999999998</v>
      </c>
      <c r="L95">
        <v>3.2</v>
      </c>
      <c r="M95">
        <v>0.34200000000000003</v>
      </c>
      <c r="N95">
        <v>1.4</v>
      </c>
      <c r="O95">
        <v>0.59099999999999997</v>
      </c>
      <c r="P95">
        <v>0.53700000000000003</v>
      </c>
      <c r="Q95">
        <v>0.4</v>
      </c>
      <c r="R95">
        <v>0.88900000000000001</v>
      </c>
      <c r="S95">
        <v>2.8</v>
      </c>
      <c r="T95">
        <v>1.3</v>
      </c>
      <c r="U95">
        <v>0.6</v>
      </c>
      <c r="V95">
        <v>0.2</v>
      </c>
      <c r="W95">
        <v>0.3</v>
      </c>
      <c r="X95">
        <v>2</v>
      </c>
      <c r="Y95">
        <v>5.3</v>
      </c>
      <c r="Z95">
        <v>1</v>
      </c>
      <c r="AA95">
        <v>-2</v>
      </c>
      <c r="AB95">
        <v>9.1999999999999993</v>
      </c>
      <c r="AC95">
        <v>8.1000000000000003E-2</v>
      </c>
    </row>
    <row r="96" spans="1:29" x14ac:dyDescent="0.35">
      <c r="A96" s="3" t="s">
        <v>557</v>
      </c>
      <c r="B96" s="1" t="s">
        <v>2</v>
      </c>
      <c r="C96" s="1" t="s">
        <v>598</v>
      </c>
      <c r="D96" s="1" t="s">
        <v>23</v>
      </c>
      <c r="E96" s="1" t="s">
        <v>20</v>
      </c>
      <c r="F96" s="4">
        <v>-0.2</v>
      </c>
      <c r="G96">
        <v>23</v>
      </c>
      <c r="H96">
        <v>16</v>
      </c>
      <c r="I96">
        <v>7.4</v>
      </c>
      <c r="J96">
        <v>2.8</v>
      </c>
      <c r="K96">
        <v>0.311</v>
      </c>
      <c r="L96">
        <v>1.3</v>
      </c>
      <c r="M96">
        <v>0.19</v>
      </c>
      <c r="N96">
        <v>1.5</v>
      </c>
      <c r="O96">
        <v>0.41699999999999998</v>
      </c>
      <c r="P96">
        <v>0.35599999999999998</v>
      </c>
      <c r="Q96">
        <v>0.4</v>
      </c>
      <c r="R96">
        <v>0.5</v>
      </c>
      <c r="S96">
        <v>0.8</v>
      </c>
      <c r="T96">
        <v>1</v>
      </c>
      <c r="U96">
        <v>0.2</v>
      </c>
      <c r="V96">
        <v>0</v>
      </c>
      <c r="W96">
        <v>0.2</v>
      </c>
      <c r="X96">
        <v>0.3</v>
      </c>
      <c r="Y96">
        <v>2.2000000000000002</v>
      </c>
      <c r="Z96">
        <v>2</v>
      </c>
      <c r="AA96">
        <v>-8</v>
      </c>
      <c r="AB96">
        <v>6.5</v>
      </c>
      <c r="AC96">
        <v>-6.5000000000000002E-2</v>
      </c>
    </row>
    <row r="97" spans="1:29" x14ac:dyDescent="0.35">
      <c r="A97" s="3" t="s">
        <v>150</v>
      </c>
      <c r="B97" s="1" t="s">
        <v>18</v>
      </c>
      <c r="C97" s="1" t="s">
        <v>598</v>
      </c>
      <c r="D97" s="1" t="s">
        <v>19</v>
      </c>
      <c r="E97" s="1" t="s">
        <v>20</v>
      </c>
      <c r="F97" s="4">
        <v>0.1</v>
      </c>
      <c r="G97">
        <v>21</v>
      </c>
      <c r="H97">
        <v>37</v>
      </c>
      <c r="I97">
        <v>10.9</v>
      </c>
      <c r="J97">
        <v>3.4</v>
      </c>
      <c r="K97">
        <v>0.432</v>
      </c>
      <c r="L97">
        <v>1.9</v>
      </c>
      <c r="M97">
        <v>0.32400000000000001</v>
      </c>
      <c r="N97">
        <v>1.5</v>
      </c>
      <c r="O97">
        <v>0.57399999999999995</v>
      </c>
      <c r="P97">
        <v>0.52400000000000002</v>
      </c>
      <c r="Q97">
        <v>0.4</v>
      </c>
      <c r="R97">
        <v>0.68799999999999994</v>
      </c>
      <c r="S97">
        <v>2.2000000000000002</v>
      </c>
      <c r="T97">
        <v>0.8</v>
      </c>
      <c r="U97">
        <v>0.5</v>
      </c>
      <c r="V97">
        <v>0.2</v>
      </c>
      <c r="W97">
        <v>0.5</v>
      </c>
      <c r="X97">
        <v>0.9</v>
      </c>
      <c r="Y97">
        <v>3.8</v>
      </c>
      <c r="Z97">
        <v>2</v>
      </c>
      <c r="AA97">
        <v>-0.9</v>
      </c>
      <c r="AB97">
        <v>11.5</v>
      </c>
      <c r="AC97">
        <v>0.104</v>
      </c>
    </row>
    <row r="98" spans="1:29" x14ac:dyDescent="0.35">
      <c r="A98" s="3" t="s">
        <v>479</v>
      </c>
      <c r="B98" s="1" t="s">
        <v>2</v>
      </c>
      <c r="C98" s="1" t="s">
        <v>597</v>
      </c>
      <c r="D98" s="1" t="s">
        <v>23</v>
      </c>
      <c r="E98" s="1" t="s">
        <v>20</v>
      </c>
      <c r="F98" s="4">
        <v>-0.1</v>
      </c>
      <c r="G98">
        <v>27</v>
      </c>
      <c r="H98">
        <v>50</v>
      </c>
      <c r="I98">
        <v>15.2</v>
      </c>
      <c r="J98">
        <v>4.5999999999999996</v>
      </c>
      <c r="K98">
        <v>0.46100000000000002</v>
      </c>
      <c r="L98">
        <v>3.1</v>
      </c>
      <c r="M98">
        <v>0.39700000000000002</v>
      </c>
      <c r="N98">
        <v>1.5</v>
      </c>
      <c r="O98">
        <v>0.59499999999999997</v>
      </c>
      <c r="P98">
        <v>0.59599999999999997</v>
      </c>
      <c r="Q98">
        <v>0.4</v>
      </c>
      <c r="R98">
        <v>0.66700000000000004</v>
      </c>
      <c r="S98">
        <v>1.2</v>
      </c>
      <c r="T98">
        <v>0.5</v>
      </c>
      <c r="U98">
        <v>0.5</v>
      </c>
      <c r="V98">
        <v>0</v>
      </c>
      <c r="W98">
        <v>0.4</v>
      </c>
      <c r="X98">
        <v>1</v>
      </c>
      <c r="Y98">
        <v>5.7</v>
      </c>
      <c r="Z98">
        <v>6</v>
      </c>
      <c r="AA98">
        <v>-2.4</v>
      </c>
      <c r="AB98">
        <v>9.6999999999999993</v>
      </c>
      <c r="AC98">
        <v>6.5000000000000002E-2</v>
      </c>
    </row>
    <row r="99" spans="1:29" x14ac:dyDescent="0.35">
      <c r="A99" s="3" t="s">
        <v>307</v>
      </c>
      <c r="B99" s="1" t="s">
        <v>18</v>
      </c>
      <c r="C99" s="1" t="s">
        <v>598</v>
      </c>
      <c r="D99" s="1" t="s">
        <v>19</v>
      </c>
      <c r="E99" s="1" t="s">
        <v>50</v>
      </c>
      <c r="F99" s="4">
        <v>-0.1</v>
      </c>
      <c r="G99">
        <v>24</v>
      </c>
      <c r="H99">
        <v>37</v>
      </c>
      <c r="I99">
        <v>9.1999999999999993</v>
      </c>
      <c r="J99">
        <v>1.8</v>
      </c>
      <c r="K99">
        <v>0.60599999999999998</v>
      </c>
      <c r="L99">
        <v>0.1</v>
      </c>
      <c r="M99">
        <v>0</v>
      </c>
      <c r="N99">
        <v>1.7</v>
      </c>
      <c r="O99">
        <v>0.64500000000000002</v>
      </c>
      <c r="P99">
        <v>0.60599999999999998</v>
      </c>
      <c r="Q99">
        <v>0.4</v>
      </c>
      <c r="R99">
        <v>0.71399999999999997</v>
      </c>
      <c r="S99">
        <v>2.5</v>
      </c>
      <c r="T99">
        <v>0.4</v>
      </c>
      <c r="U99">
        <v>0.2</v>
      </c>
      <c r="V99">
        <v>0.4</v>
      </c>
      <c r="W99">
        <v>0.3</v>
      </c>
      <c r="X99">
        <v>1.2</v>
      </c>
      <c r="Y99">
        <v>2.4</v>
      </c>
      <c r="Z99">
        <v>2</v>
      </c>
      <c r="AA99">
        <v>-2.8</v>
      </c>
      <c r="AB99">
        <v>13</v>
      </c>
      <c r="AC99">
        <v>0.13</v>
      </c>
    </row>
    <row r="100" spans="1:29" x14ac:dyDescent="0.35">
      <c r="A100" s="3" t="s">
        <v>259</v>
      </c>
      <c r="B100" s="1" t="s">
        <v>2</v>
      </c>
      <c r="C100" s="1" t="s">
        <v>597</v>
      </c>
      <c r="D100" s="1" t="s">
        <v>23</v>
      </c>
      <c r="E100" s="1" t="s">
        <v>50</v>
      </c>
      <c r="F100" s="4">
        <v>-0.3</v>
      </c>
      <c r="G100">
        <v>23</v>
      </c>
      <c r="H100">
        <v>67</v>
      </c>
      <c r="I100">
        <v>14.6</v>
      </c>
      <c r="J100">
        <v>2.9</v>
      </c>
      <c r="K100">
        <v>0.47699999999999998</v>
      </c>
      <c r="L100">
        <v>1.1000000000000001</v>
      </c>
      <c r="M100">
        <v>0.39500000000000002</v>
      </c>
      <c r="N100">
        <v>1.8</v>
      </c>
      <c r="O100">
        <v>0.52900000000000003</v>
      </c>
      <c r="P100">
        <v>0.55300000000000005</v>
      </c>
      <c r="Q100">
        <v>0.4</v>
      </c>
      <c r="R100">
        <v>0.5</v>
      </c>
      <c r="S100">
        <v>2.7</v>
      </c>
      <c r="T100">
        <v>1.2</v>
      </c>
      <c r="U100">
        <v>0.5</v>
      </c>
      <c r="V100">
        <v>0.2</v>
      </c>
      <c r="W100">
        <v>0.9</v>
      </c>
      <c r="X100">
        <v>1.7</v>
      </c>
      <c r="Y100">
        <v>3.4</v>
      </c>
      <c r="Z100">
        <v>1</v>
      </c>
      <c r="AA100">
        <v>-3.4</v>
      </c>
      <c r="AB100">
        <v>8.6</v>
      </c>
      <c r="AC100">
        <v>5.8999999999999997E-2</v>
      </c>
    </row>
    <row r="101" spans="1:29" x14ac:dyDescent="0.35">
      <c r="A101" s="3" t="s">
        <v>581</v>
      </c>
      <c r="B101" s="1" t="s">
        <v>2</v>
      </c>
      <c r="C101" s="1" t="s">
        <v>598</v>
      </c>
      <c r="D101" s="1" t="s">
        <v>23</v>
      </c>
      <c r="E101" s="1" t="s">
        <v>28</v>
      </c>
      <c r="F101" s="4">
        <v>-0.1</v>
      </c>
      <c r="G101">
        <v>25</v>
      </c>
      <c r="H101">
        <v>20</v>
      </c>
      <c r="I101">
        <v>7.4</v>
      </c>
      <c r="J101">
        <v>3.1</v>
      </c>
      <c r="K101">
        <v>0.435</v>
      </c>
      <c r="L101">
        <v>1.3</v>
      </c>
      <c r="M101">
        <v>0.23100000000000001</v>
      </c>
      <c r="N101">
        <v>1.8</v>
      </c>
      <c r="O101">
        <v>0.58299999999999996</v>
      </c>
      <c r="P101">
        <v>0.48399999999999999</v>
      </c>
      <c r="Q101">
        <v>0.4</v>
      </c>
      <c r="R101">
        <v>0.625</v>
      </c>
      <c r="S101">
        <v>0.7</v>
      </c>
      <c r="T101">
        <v>0.5</v>
      </c>
      <c r="U101">
        <v>0.4</v>
      </c>
      <c r="V101">
        <v>0.2</v>
      </c>
      <c r="W101">
        <v>0.7</v>
      </c>
      <c r="X101">
        <v>0.8</v>
      </c>
      <c r="Y101">
        <v>3.3</v>
      </c>
      <c r="Z101">
        <v>2</v>
      </c>
      <c r="AA101">
        <v>-5.7</v>
      </c>
      <c r="AB101">
        <v>8.6</v>
      </c>
      <c r="AC101">
        <v>-7.0000000000000001E-3</v>
      </c>
    </row>
    <row r="102" spans="1:29" x14ac:dyDescent="0.35">
      <c r="A102" s="3" t="s">
        <v>501</v>
      </c>
      <c r="B102" s="1" t="s">
        <v>2</v>
      </c>
      <c r="C102" s="1" t="s">
        <v>598</v>
      </c>
      <c r="D102" s="1" t="s">
        <v>33</v>
      </c>
      <c r="E102" s="1" t="s">
        <v>28</v>
      </c>
      <c r="F102" s="4">
        <v>0</v>
      </c>
      <c r="G102">
        <v>28</v>
      </c>
      <c r="H102">
        <v>39</v>
      </c>
      <c r="I102">
        <v>6.4</v>
      </c>
      <c r="J102">
        <v>2.6</v>
      </c>
      <c r="K102">
        <v>0.40600000000000003</v>
      </c>
      <c r="L102">
        <v>0.6</v>
      </c>
      <c r="M102">
        <v>0.22700000000000001</v>
      </c>
      <c r="N102">
        <v>2</v>
      </c>
      <c r="O102">
        <v>0.45600000000000002</v>
      </c>
      <c r="P102">
        <v>0.43099999999999999</v>
      </c>
      <c r="Q102">
        <v>0.4</v>
      </c>
      <c r="R102">
        <v>0.73299999999999998</v>
      </c>
      <c r="S102">
        <v>1.2</v>
      </c>
      <c r="T102">
        <v>1.2</v>
      </c>
      <c r="U102">
        <v>0.4</v>
      </c>
      <c r="V102">
        <v>0.1</v>
      </c>
      <c r="W102">
        <v>0.5</v>
      </c>
      <c r="X102">
        <v>0.5</v>
      </c>
      <c r="Y102">
        <v>2.5</v>
      </c>
      <c r="Z102">
        <v>1</v>
      </c>
      <c r="AA102">
        <v>-1.6</v>
      </c>
      <c r="AB102">
        <v>12.6</v>
      </c>
      <c r="AC102">
        <v>5.5E-2</v>
      </c>
    </row>
    <row r="103" spans="1:29" x14ac:dyDescent="0.35">
      <c r="A103" s="3" t="s">
        <v>324</v>
      </c>
      <c r="B103" s="1" t="s">
        <v>26</v>
      </c>
      <c r="C103" s="1" t="s">
        <v>35</v>
      </c>
      <c r="D103" s="1" t="s">
        <v>23</v>
      </c>
      <c r="E103" s="1" t="s">
        <v>50</v>
      </c>
      <c r="F103" s="4">
        <v>-0.2</v>
      </c>
      <c r="G103">
        <v>22</v>
      </c>
      <c r="H103">
        <v>28</v>
      </c>
      <c r="I103">
        <v>11.7</v>
      </c>
      <c r="J103">
        <v>3.9</v>
      </c>
      <c r="K103">
        <v>0.41699999999999998</v>
      </c>
      <c r="L103">
        <v>1.8</v>
      </c>
      <c r="M103">
        <v>0.38</v>
      </c>
      <c r="N103">
        <v>2.1</v>
      </c>
      <c r="O103">
        <v>0.44800000000000001</v>
      </c>
      <c r="P103">
        <v>0.505</v>
      </c>
      <c r="Q103">
        <v>0.4</v>
      </c>
      <c r="R103">
        <v>0.7</v>
      </c>
      <c r="S103">
        <v>2</v>
      </c>
      <c r="T103">
        <v>0.7</v>
      </c>
      <c r="U103">
        <v>0.3</v>
      </c>
      <c r="V103">
        <v>0.3</v>
      </c>
      <c r="W103">
        <v>0.5</v>
      </c>
      <c r="X103">
        <v>1</v>
      </c>
      <c r="Y103">
        <v>4.0999999999999996</v>
      </c>
      <c r="Z103">
        <v>1</v>
      </c>
      <c r="AA103">
        <v>-4.4000000000000004</v>
      </c>
      <c r="AB103">
        <v>9.9</v>
      </c>
      <c r="AC103">
        <v>0.03</v>
      </c>
    </row>
    <row r="104" spans="1:29" x14ac:dyDescent="0.35">
      <c r="A104" s="3" t="s">
        <v>566</v>
      </c>
      <c r="B104" s="1" t="s">
        <v>26</v>
      </c>
      <c r="C104" s="1" t="s">
        <v>597</v>
      </c>
      <c r="D104" s="1" t="s">
        <v>33</v>
      </c>
      <c r="E104" s="1" t="s">
        <v>28</v>
      </c>
      <c r="F104" s="4">
        <v>-0.2</v>
      </c>
      <c r="G104">
        <v>22</v>
      </c>
      <c r="H104">
        <v>5</v>
      </c>
      <c r="I104">
        <v>8.8000000000000007</v>
      </c>
      <c r="J104">
        <v>4.2</v>
      </c>
      <c r="K104">
        <v>0.14299999999999999</v>
      </c>
      <c r="L104">
        <v>2</v>
      </c>
      <c r="M104">
        <v>0</v>
      </c>
      <c r="N104">
        <v>2.2000000000000002</v>
      </c>
      <c r="O104">
        <v>0.27300000000000002</v>
      </c>
      <c r="P104">
        <v>0.14299999999999999</v>
      </c>
      <c r="Q104">
        <v>0.4</v>
      </c>
      <c r="R104">
        <v>1</v>
      </c>
      <c r="S104">
        <v>1.6</v>
      </c>
      <c r="T104">
        <v>0.4</v>
      </c>
      <c r="U104">
        <v>0.2</v>
      </c>
      <c r="V104">
        <v>0.4</v>
      </c>
      <c r="W104">
        <v>0.2</v>
      </c>
      <c r="X104">
        <v>0.2</v>
      </c>
      <c r="Y104">
        <v>1.6</v>
      </c>
      <c r="Z104">
        <v>0</v>
      </c>
      <c r="AA104">
        <v>-18.2</v>
      </c>
      <c r="AB104">
        <v>-2.2999999999999998</v>
      </c>
      <c r="AC104">
        <v>-0.28299999999999997</v>
      </c>
    </row>
    <row r="105" spans="1:29" x14ac:dyDescent="0.35">
      <c r="A105" s="3" t="s">
        <v>385</v>
      </c>
      <c r="B105" s="1" t="s">
        <v>26</v>
      </c>
      <c r="C105" s="1" t="s">
        <v>35</v>
      </c>
      <c r="D105" s="1" t="s">
        <v>23</v>
      </c>
      <c r="E105" s="1" t="s">
        <v>20</v>
      </c>
      <c r="F105" s="4">
        <v>-0.2</v>
      </c>
      <c r="G105">
        <v>35</v>
      </c>
      <c r="H105">
        <v>15</v>
      </c>
      <c r="I105">
        <v>11</v>
      </c>
      <c r="J105">
        <v>4.7</v>
      </c>
      <c r="K105">
        <v>0.3</v>
      </c>
      <c r="L105">
        <v>2.4</v>
      </c>
      <c r="M105">
        <v>0.25</v>
      </c>
      <c r="N105">
        <v>2.2999999999999998</v>
      </c>
      <c r="O105">
        <v>0.35299999999999998</v>
      </c>
      <c r="P105">
        <v>0.36399999999999999</v>
      </c>
      <c r="Q105">
        <v>0.4</v>
      </c>
      <c r="R105">
        <v>0.83299999999999996</v>
      </c>
      <c r="S105">
        <v>1.5</v>
      </c>
      <c r="T105">
        <v>1.4</v>
      </c>
      <c r="U105">
        <v>0.1</v>
      </c>
      <c r="V105">
        <v>0.2</v>
      </c>
      <c r="W105">
        <v>0.3</v>
      </c>
      <c r="X105">
        <v>1.1000000000000001</v>
      </c>
      <c r="Y105">
        <v>3.7</v>
      </c>
      <c r="Z105">
        <v>13</v>
      </c>
      <c r="AA105">
        <v>-7.6</v>
      </c>
      <c r="AB105">
        <v>6</v>
      </c>
      <c r="AC105">
        <v>-4.3999999999999997E-2</v>
      </c>
    </row>
    <row r="106" spans="1:29" x14ac:dyDescent="0.35">
      <c r="A106" s="3" t="s">
        <v>203</v>
      </c>
      <c r="B106" s="1" t="s">
        <v>2</v>
      </c>
      <c r="C106" s="1" t="s">
        <v>598</v>
      </c>
      <c r="D106" s="1" t="s">
        <v>23</v>
      </c>
      <c r="E106" s="1" t="s">
        <v>28</v>
      </c>
      <c r="F106" s="4">
        <v>0.2</v>
      </c>
      <c r="G106">
        <v>26</v>
      </c>
      <c r="H106">
        <v>29</v>
      </c>
      <c r="I106">
        <v>18.7</v>
      </c>
      <c r="J106">
        <v>5</v>
      </c>
      <c r="K106">
        <v>0.438</v>
      </c>
      <c r="L106">
        <v>2.2999999999999998</v>
      </c>
      <c r="M106">
        <v>0.38200000000000001</v>
      </c>
      <c r="N106">
        <v>2.6</v>
      </c>
      <c r="O106">
        <v>0.48699999999999999</v>
      </c>
      <c r="P106">
        <v>0.52800000000000002</v>
      </c>
      <c r="Q106">
        <v>0.4</v>
      </c>
      <c r="R106">
        <v>0.81799999999999995</v>
      </c>
      <c r="S106">
        <v>3.9</v>
      </c>
      <c r="T106">
        <v>1.4</v>
      </c>
      <c r="U106">
        <v>1</v>
      </c>
      <c r="V106">
        <v>0.4</v>
      </c>
      <c r="W106">
        <v>0.9</v>
      </c>
      <c r="X106">
        <v>1.5</v>
      </c>
      <c r="Y106">
        <v>5.6</v>
      </c>
      <c r="Z106">
        <v>3</v>
      </c>
      <c r="AA106">
        <v>-0.8</v>
      </c>
      <c r="AB106">
        <v>12.1</v>
      </c>
      <c r="AC106">
        <v>8.4000000000000005E-2</v>
      </c>
    </row>
    <row r="107" spans="1:29" x14ac:dyDescent="0.35">
      <c r="A107" s="3" t="s">
        <v>552</v>
      </c>
      <c r="B107" s="1" t="s">
        <v>2</v>
      </c>
      <c r="C107" s="1" t="s">
        <v>597</v>
      </c>
      <c r="D107" s="1" t="s">
        <v>23</v>
      </c>
      <c r="E107" s="1" t="s">
        <v>28</v>
      </c>
      <c r="F107" s="4">
        <v>0</v>
      </c>
      <c r="G107">
        <v>25</v>
      </c>
      <c r="H107">
        <v>31</v>
      </c>
      <c r="I107">
        <v>16.2</v>
      </c>
      <c r="J107">
        <v>5.2</v>
      </c>
      <c r="K107">
        <v>0.40100000000000002</v>
      </c>
      <c r="L107">
        <v>2.6</v>
      </c>
      <c r="M107">
        <v>0.32900000000000001</v>
      </c>
      <c r="N107">
        <v>2.6</v>
      </c>
      <c r="O107">
        <v>0.47499999999999998</v>
      </c>
      <c r="P107">
        <v>0.48499999999999999</v>
      </c>
      <c r="Q107">
        <v>0.4</v>
      </c>
      <c r="R107">
        <v>1</v>
      </c>
      <c r="S107">
        <v>1.6</v>
      </c>
      <c r="T107">
        <v>2.6</v>
      </c>
      <c r="U107">
        <v>0.9</v>
      </c>
      <c r="V107">
        <v>0.3</v>
      </c>
      <c r="W107">
        <v>1.1000000000000001</v>
      </c>
      <c r="X107">
        <v>1.3</v>
      </c>
      <c r="Y107">
        <v>5.4</v>
      </c>
      <c r="Z107">
        <v>1</v>
      </c>
      <c r="AA107">
        <v>-2.2999999999999998</v>
      </c>
      <c r="AB107">
        <v>10.1</v>
      </c>
      <c r="AC107">
        <v>3.4000000000000002E-2</v>
      </c>
    </row>
    <row r="108" spans="1:29" x14ac:dyDescent="0.35">
      <c r="A108" s="3" t="s">
        <v>74</v>
      </c>
      <c r="B108" s="1" t="s">
        <v>18</v>
      </c>
      <c r="C108" s="1" t="s">
        <v>597</v>
      </c>
      <c r="D108" s="1" t="s">
        <v>23</v>
      </c>
      <c r="E108" s="1" t="s">
        <v>20</v>
      </c>
      <c r="F108" s="4">
        <v>0.1</v>
      </c>
      <c r="G108">
        <v>27</v>
      </c>
      <c r="H108">
        <v>14</v>
      </c>
      <c r="I108">
        <v>8.1</v>
      </c>
      <c r="J108">
        <v>3.2</v>
      </c>
      <c r="K108">
        <v>0.64400000000000002</v>
      </c>
      <c r="L108">
        <v>0.2</v>
      </c>
      <c r="M108">
        <v>0.33300000000000002</v>
      </c>
      <c r="N108">
        <v>3</v>
      </c>
      <c r="O108">
        <v>0.66700000000000004</v>
      </c>
      <c r="P108">
        <v>0.65600000000000003</v>
      </c>
      <c r="Q108">
        <v>0.4</v>
      </c>
      <c r="R108">
        <v>0.33300000000000002</v>
      </c>
      <c r="S108">
        <v>3</v>
      </c>
      <c r="T108">
        <v>0.4</v>
      </c>
      <c r="U108">
        <v>0.1</v>
      </c>
      <c r="V108">
        <v>0.6</v>
      </c>
      <c r="W108">
        <v>0.4</v>
      </c>
      <c r="X108">
        <v>0.8</v>
      </c>
      <c r="Y108">
        <v>4.4000000000000004</v>
      </c>
      <c r="Z108">
        <v>6</v>
      </c>
      <c r="AA108">
        <v>1.2</v>
      </c>
      <c r="AB108">
        <v>23.2</v>
      </c>
      <c r="AC108">
        <v>0.187</v>
      </c>
    </row>
    <row r="109" spans="1:29" x14ac:dyDescent="0.35">
      <c r="A109" s="3" t="s">
        <v>77</v>
      </c>
      <c r="B109" s="1" t="s">
        <v>26</v>
      </c>
      <c r="C109" s="1" t="s">
        <v>598</v>
      </c>
      <c r="D109" s="1" t="s">
        <v>23</v>
      </c>
      <c r="E109" s="1" t="s">
        <v>28</v>
      </c>
      <c r="F109" s="4">
        <v>-0.1</v>
      </c>
      <c r="G109">
        <v>23</v>
      </c>
      <c r="H109">
        <v>8</v>
      </c>
      <c r="I109">
        <v>3.8</v>
      </c>
      <c r="J109">
        <v>0.9</v>
      </c>
      <c r="K109">
        <v>0.28599999999999998</v>
      </c>
      <c r="L109">
        <v>0.9</v>
      </c>
      <c r="M109">
        <v>0.28599999999999998</v>
      </c>
      <c r="N109">
        <v>0</v>
      </c>
      <c r="O109" t="s">
        <v>599</v>
      </c>
      <c r="P109">
        <v>0.42899999999999999</v>
      </c>
      <c r="Q109">
        <v>0.5</v>
      </c>
      <c r="R109">
        <v>0.75</v>
      </c>
      <c r="S109">
        <v>0.5</v>
      </c>
      <c r="T109">
        <v>0</v>
      </c>
      <c r="U109">
        <v>0</v>
      </c>
      <c r="V109">
        <v>0</v>
      </c>
      <c r="W109">
        <v>0.5</v>
      </c>
      <c r="X109">
        <v>0</v>
      </c>
      <c r="Y109">
        <v>1.1000000000000001</v>
      </c>
      <c r="Z109">
        <v>0</v>
      </c>
      <c r="AA109">
        <v>-12.5</v>
      </c>
      <c r="AB109">
        <v>-0.1</v>
      </c>
      <c r="AC109">
        <v>-0.17799999999999999</v>
      </c>
    </row>
    <row r="110" spans="1:29" x14ac:dyDescent="0.35">
      <c r="A110" s="3" t="s">
        <v>160</v>
      </c>
      <c r="B110" s="1" t="s">
        <v>2</v>
      </c>
      <c r="C110" s="1" t="s">
        <v>597</v>
      </c>
      <c r="D110" s="1" t="s">
        <v>19</v>
      </c>
      <c r="E110" s="1" t="s">
        <v>20</v>
      </c>
      <c r="F110" s="4">
        <v>0.1</v>
      </c>
      <c r="G110">
        <v>27</v>
      </c>
      <c r="H110">
        <v>17</v>
      </c>
      <c r="I110">
        <v>4.4000000000000004</v>
      </c>
      <c r="J110">
        <v>1.5</v>
      </c>
      <c r="K110">
        <v>0.46200000000000002</v>
      </c>
      <c r="L110">
        <v>0.9</v>
      </c>
      <c r="M110">
        <v>0.4</v>
      </c>
      <c r="N110">
        <v>0.6</v>
      </c>
      <c r="O110">
        <v>0.54500000000000004</v>
      </c>
      <c r="P110">
        <v>0.57699999999999996</v>
      </c>
      <c r="Q110">
        <v>0.5</v>
      </c>
      <c r="R110">
        <v>0.75</v>
      </c>
      <c r="S110">
        <v>1.2</v>
      </c>
      <c r="T110">
        <v>0.5</v>
      </c>
      <c r="U110">
        <v>0</v>
      </c>
      <c r="V110">
        <v>0</v>
      </c>
      <c r="W110">
        <v>0.1</v>
      </c>
      <c r="X110">
        <v>0.4</v>
      </c>
      <c r="Y110">
        <v>2.1</v>
      </c>
      <c r="Z110">
        <v>3</v>
      </c>
      <c r="AA110">
        <v>1.2</v>
      </c>
      <c r="AB110">
        <v>16.5</v>
      </c>
      <c r="AC110">
        <v>0.17100000000000001</v>
      </c>
    </row>
    <row r="111" spans="1:29" x14ac:dyDescent="0.35">
      <c r="A111" s="3" t="s">
        <v>358</v>
      </c>
      <c r="B111" s="1" t="s">
        <v>2</v>
      </c>
      <c r="C111" s="1" t="s">
        <v>35</v>
      </c>
      <c r="D111" s="1" t="s">
        <v>23</v>
      </c>
      <c r="E111" s="1" t="s">
        <v>28</v>
      </c>
      <c r="F111" s="4">
        <v>0</v>
      </c>
      <c r="G111">
        <v>28</v>
      </c>
      <c r="H111">
        <v>46</v>
      </c>
      <c r="I111">
        <v>6.8</v>
      </c>
      <c r="J111">
        <v>1.6</v>
      </c>
      <c r="K111">
        <v>0.43099999999999999</v>
      </c>
      <c r="L111">
        <v>1</v>
      </c>
      <c r="M111">
        <v>0.41299999999999998</v>
      </c>
      <c r="N111">
        <v>0.6</v>
      </c>
      <c r="O111">
        <v>0.46200000000000002</v>
      </c>
      <c r="P111">
        <v>0.56299999999999994</v>
      </c>
      <c r="Q111">
        <v>0.5</v>
      </c>
      <c r="R111">
        <v>0.77300000000000002</v>
      </c>
      <c r="S111">
        <v>0.7</v>
      </c>
      <c r="T111">
        <v>1.1000000000000001</v>
      </c>
      <c r="U111">
        <v>0.3</v>
      </c>
      <c r="V111">
        <v>0</v>
      </c>
      <c r="W111">
        <v>0.3</v>
      </c>
      <c r="X111">
        <v>0.4</v>
      </c>
      <c r="Y111">
        <v>2.1</v>
      </c>
      <c r="Z111">
        <v>5</v>
      </c>
      <c r="AA111">
        <v>-1.6</v>
      </c>
      <c r="AB111">
        <v>12.3</v>
      </c>
      <c r="AC111">
        <v>9.8000000000000004E-2</v>
      </c>
    </row>
    <row r="112" spans="1:29" x14ac:dyDescent="0.35">
      <c r="A112" s="3" t="s">
        <v>368</v>
      </c>
      <c r="B112" s="1" t="s">
        <v>2</v>
      </c>
      <c r="C112" s="1" t="s">
        <v>35</v>
      </c>
      <c r="D112" s="1" t="s">
        <v>19</v>
      </c>
      <c r="E112" s="1" t="s">
        <v>50</v>
      </c>
      <c r="F112" s="4">
        <v>-0.1</v>
      </c>
      <c r="G112">
        <v>36</v>
      </c>
      <c r="H112">
        <v>29</v>
      </c>
      <c r="I112">
        <v>11.1</v>
      </c>
      <c r="J112">
        <v>3.3</v>
      </c>
      <c r="K112">
        <v>0.375</v>
      </c>
      <c r="L112">
        <v>2.6</v>
      </c>
      <c r="M112">
        <v>0.34699999999999998</v>
      </c>
      <c r="N112">
        <v>0.7</v>
      </c>
      <c r="O112">
        <v>0.47599999999999998</v>
      </c>
      <c r="P112">
        <v>0.51</v>
      </c>
      <c r="Q112">
        <v>0.5</v>
      </c>
      <c r="R112">
        <v>0.92900000000000005</v>
      </c>
      <c r="S112">
        <v>0.8</v>
      </c>
      <c r="T112">
        <v>0.9</v>
      </c>
      <c r="U112">
        <v>0.4</v>
      </c>
      <c r="V112">
        <v>0.1</v>
      </c>
      <c r="W112">
        <v>0.6</v>
      </c>
      <c r="X112">
        <v>0.8</v>
      </c>
      <c r="Y112">
        <v>3.8</v>
      </c>
      <c r="Z112">
        <v>15</v>
      </c>
      <c r="AA112">
        <v>-3.2</v>
      </c>
      <c r="AB112">
        <v>8.4</v>
      </c>
      <c r="AC112">
        <v>1.7000000000000001E-2</v>
      </c>
    </row>
    <row r="113" spans="1:29" x14ac:dyDescent="0.35">
      <c r="A113" s="3" t="s">
        <v>357</v>
      </c>
      <c r="B113" s="1" t="s">
        <v>2</v>
      </c>
      <c r="C113" s="1" t="s">
        <v>598</v>
      </c>
      <c r="D113" s="1" t="s">
        <v>23</v>
      </c>
      <c r="E113" s="1" t="s">
        <v>50</v>
      </c>
      <c r="F113" s="4">
        <v>-0.1</v>
      </c>
      <c r="G113">
        <v>22</v>
      </c>
      <c r="H113">
        <v>13</v>
      </c>
      <c r="I113">
        <v>2.5</v>
      </c>
      <c r="J113">
        <v>1.1000000000000001</v>
      </c>
      <c r="K113">
        <v>0.28599999999999998</v>
      </c>
      <c r="L113">
        <v>0.3</v>
      </c>
      <c r="M113">
        <v>0</v>
      </c>
      <c r="N113">
        <v>0.8</v>
      </c>
      <c r="O113">
        <v>0.4</v>
      </c>
      <c r="P113">
        <v>0.28599999999999998</v>
      </c>
      <c r="Q113">
        <v>0.5</v>
      </c>
      <c r="R113">
        <v>0.83299999999999996</v>
      </c>
      <c r="S113">
        <v>0.2</v>
      </c>
      <c r="T113">
        <v>0.2</v>
      </c>
      <c r="U113">
        <v>0.1</v>
      </c>
      <c r="V113">
        <v>0</v>
      </c>
      <c r="W113">
        <v>0.3</v>
      </c>
      <c r="X113">
        <v>0.2</v>
      </c>
      <c r="Y113">
        <v>1</v>
      </c>
      <c r="Z113">
        <v>2</v>
      </c>
      <c r="AA113">
        <v>-13.6</v>
      </c>
      <c r="AB113">
        <v>1.7</v>
      </c>
      <c r="AC113">
        <v>-0.17199999999999999</v>
      </c>
    </row>
    <row r="114" spans="1:29" x14ac:dyDescent="0.35">
      <c r="A114" s="3" t="s">
        <v>545</v>
      </c>
      <c r="B114" s="1" t="s">
        <v>26</v>
      </c>
      <c r="C114" s="1" t="s">
        <v>597</v>
      </c>
      <c r="D114" s="1" t="s">
        <v>23</v>
      </c>
      <c r="E114" s="1" t="s">
        <v>28</v>
      </c>
      <c r="F114" s="4">
        <v>0.7</v>
      </c>
      <c r="G114">
        <v>28</v>
      </c>
      <c r="H114">
        <v>59</v>
      </c>
      <c r="I114">
        <v>21.2</v>
      </c>
      <c r="J114">
        <v>4.5999999999999996</v>
      </c>
      <c r="K114">
        <v>0.41299999999999998</v>
      </c>
      <c r="L114">
        <v>3.8</v>
      </c>
      <c r="M114">
        <v>0.36</v>
      </c>
      <c r="N114">
        <v>0.8</v>
      </c>
      <c r="O114">
        <v>0.65300000000000002</v>
      </c>
      <c r="P114">
        <v>0.56100000000000005</v>
      </c>
      <c r="Q114">
        <v>0.5</v>
      </c>
      <c r="R114">
        <v>0.53300000000000003</v>
      </c>
      <c r="S114">
        <v>4.2</v>
      </c>
      <c r="T114">
        <v>1.3</v>
      </c>
      <c r="U114">
        <v>0.7</v>
      </c>
      <c r="V114">
        <v>0.3</v>
      </c>
      <c r="W114">
        <v>0.4</v>
      </c>
      <c r="X114">
        <v>1.7</v>
      </c>
      <c r="Y114">
        <v>5.4</v>
      </c>
      <c r="Z114">
        <v>5</v>
      </c>
      <c r="AA114">
        <v>0.3</v>
      </c>
      <c r="AB114">
        <v>10.1</v>
      </c>
      <c r="AC114">
        <v>0.113</v>
      </c>
    </row>
    <row r="115" spans="1:29" x14ac:dyDescent="0.35">
      <c r="A115" s="3" t="s">
        <v>535</v>
      </c>
      <c r="B115" s="1" t="s">
        <v>26</v>
      </c>
      <c r="C115" s="1" t="s">
        <v>598</v>
      </c>
      <c r="D115" s="1" t="s">
        <v>23</v>
      </c>
      <c r="E115" s="1" t="s">
        <v>50</v>
      </c>
      <c r="F115" s="4">
        <v>-0.3</v>
      </c>
      <c r="G115">
        <v>24</v>
      </c>
      <c r="H115">
        <v>51</v>
      </c>
      <c r="I115">
        <v>7.8</v>
      </c>
      <c r="J115">
        <v>2.4</v>
      </c>
      <c r="K115">
        <v>0.375</v>
      </c>
      <c r="L115">
        <v>1.5</v>
      </c>
      <c r="M115">
        <v>0.311</v>
      </c>
      <c r="N115">
        <v>0.9</v>
      </c>
      <c r="O115">
        <v>0.47799999999999998</v>
      </c>
      <c r="P115">
        <v>0.47099999999999997</v>
      </c>
      <c r="Q115">
        <v>0.5</v>
      </c>
      <c r="R115">
        <v>0.75</v>
      </c>
      <c r="S115">
        <v>1.5</v>
      </c>
      <c r="T115">
        <v>0.4</v>
      </c>
      <c r="U115">
        <v>0.2</v>
      </c>
      <c r="V115">
        <v>0.1</v>
      </c>
      <c r="W115">
        <v>0.3</v>
      </c>
      <c r="X115">
        <v>0.9</v>
      </c>
      <c r="Y115">
        <v>2.6</v>
      </c>
      <c r="Z115">
        <v>1</v>
      </c>
      <c r="AA115">
        <v>-4.8</v>
      </c>
      <c r="AB115">
        <v>9</v>
      </c>
      <c r="AC115">
        <v>4.7E-2</v>
      </c>
    </row>
    <row r="116" spans="1:29" x14ac:dyDescent="0.35">
      <c r="A116" s="3" t="s">
        <v>131</v>
      </c>
      <c r="B116" s="1" t="s">
        <v>26</v>
      </c>
      <c r="C116" s="1" t="s">
        <v>35</v>
      </c>
      <c r="D116" s="1" t="s">
        <v>23</v>
      </c>
      <c r="E116" s="1" t="s">
        <v>28</v>
      </c>
      <c r="F116" s="4">
        <v>0.1</v>
      </c>
      <c r="G116">
        <v>34</v>
      </c>
      <c r="H116">
        <v>26</v>
      </c>
      <c r="I116">
        <v>12.1</v>
      </c>
      <c r="J116">
        <v>3.5</v>
      </c>
      <c r="K116">
        <v>0.42199999999999999</v>
      </c>
      <c r="L116">
        <v>2.5</v>
      </c>
      <c r="M116">
        <v>0.36399999999999999</v>
      </c>
      <c r="N116">
        <v>0.9</v>
      </c>
      <c r="O116">
        <v>0.58299999999999996</v>
      </c>
      <c r="P116">
        <v>0.55600000000000005</v>
      </c>
      <c r="Q116">
        <v>0.5</v>
      </c>
      <c r="R116">
        <v>0.66700000000000004</v>
      </c>
      <c r="S116">
        <v>2.8</v>
      </c>
      <c r="T116">
        <v>0.7</v>
      </c>
      <c r="U116">
        <v>0.3</v>
      </c>
      <c r="V116">
        <v>0.5</v>
      </c>
      <c r="W116">
        <v>0.3</v>
      </c>
      <c r="X116">
        <v>1.3</v>
      </c>
      <c r="Y116">
        <v>4.2</v>
      </c>
      <c r="Z116">
        <v>7</v>
      </c>
      <c r="AA116">
        <v>-0.9</v>
      </c>
      <c r="AB116">
        <v>12.9</v>
      </c>
      <c r="AC116">
        <v>0.122</v>
      </c>
    </row>
    <row r="117" spans="1:29" x14ac:dyDescent="0.35">
      <c r="A117" s="3" t="s">
        <v>288</v>
      </c>
      <c r="B117" s="1" t="s">
        <v>2</v>
      </c>
      <c r="C117" s="1" t="s">
        <v>598</v>
      </c>
      <c r="D117" s="1" t="s">
        <v>23</v>
      </c>
      <c r="E117" s="1" t="s">
        <v>28</v>
      </c>
      <c r="F117" s="4">
        <v>0.1</v>
      </c>
      <c r="G117">
        <v>26</v>
      </c>
      <c r="H117">
        <v>10</v>
      </c>
      <c r="I117">
        <v>4.5</v>
      </c>
      <c r="J117">
        <v>1.8</v>
      </c>
      <c r="K117">
        <v>0.5</v>
      </c>
      <c r="L117">
        <v>0.8</v>
      </c>
      <c r="M117">
        <v>0.125</v>
      </c>
      <c r="N117">
        <v>1</v>
      </c>
      <c r="O117">
        <v>0.8</v>
      </c>
      <c r="P117">
        <v>0.52800000000000002</v>
      </c>
      <c r="Q117">
        <v>0.5</v>
      </c>
      <c r="R117">
        <v>0.8</v>
      </c>
      <c r="S117">
        <v>0.9</v>
      </c>
      <c r="T117">
        <v>1.1000000000000001</v>
      </c>
      <c r="U117">
        <v>0</v>
      </c>
      <c r="V117">
        <v>0.1</v>
      </c>
      <c r="W117">
        <v>0.1</v>
      </c>
      <c r="X117">
        <v>0.3</v>
      </c>
      <c r="Y117">
        <v>2.2999999999999998</v>
      </c>
      <c r="Z117">
        <v>3</v>
      </c>
      <c r="AA117">
        <v>2.9</v>
      </c>
      <c r="AB117">
        <v>20.6</v>
      </c>
      <c r="AC117">
        <v>0.19800000000000001</v>
      </c>
    </row>
    <row r="118" spans="1:29" x14ac:dyDescent="0.35">
      <c r="A118" s="3" t="s">
        <v>432</v>
      </c>
      <c r="B118" s="1" t="s">
        <v>18</v>
      </c>
      <c r="C118" s="1" t="s">
        <v>598</v>
      </c>
      <c r="D118" s="1" t="s">
        <v>23</v>
      </c>
      <c r="E118" s="1" t="s">
        <v>28</v>
      </c>
      <c r="F118" s="4">
        <v>-0.3</v>
      </c>
      <c r="G118">
        <v>26</v>
      </c>
      <c r="H118">
        <v>38</v>
      </c>
      <c r="I118">
        <v>18.600000000000001</v>
      </c>
      <c r="J118">
        <v>3.6</v>
      </c>
      <c r="K118">
        <v>0.42199999999999999</v>
      </c>
      <c r="L118">
        <v>2.6</v>
      </c>
      <c r="M118">
        <v>0.316</v>
      </c>
      <c r="N118">
        <v>1</v>
      </c>
      <c r="O118">
        <v>0.70299999999999996</v>
      </c>
      <c r="P118">
        <v>0.53700000000000003</v>
      </c>
      <c r="Q118">
        <v>0.5</v>
      </c>
      <c r="R118">
        <v>0.85</v>
      </c>
      <c r="S118">
        <v>4.3</v>
      </c>
      <c r="T118">
        <v>0.8</v>
      </c>
      <c r="U118">
        <v>0.4</v>
      </c>
      <c r="V118">
        <v>0.4</v>
      </c>
      <c r="W118">
        <v>0.8</v>
      </c>
      <c r="X118">
        <v>1.3</v>
      </c>
      <c r="Y118">
        <v>4.3</v>
      </c>
      <c r="Z118">
        <v>3</v>
      </c>
      <c r="AA118">
        <v>-3.5</v>
      </c>
      <c r="AB118">
        <v>8.5</v>
      </c>
      <c r="AC118">
        <v>0.03</v>
      </c>
    </row>
    <row r="119" spans="1:29" x14ac:dyDescent="0.35">
      <c r="A119" s="3" t="s">
        <v>249</v>
      </c>
      <c r="B119" s="1" t="s">
        <v>18</v>
      </c>
      <c r="C119" s="1" t="s">
        <v>597</v>
      </c>
      <c r="D119" s="1" t="s">
        <v>19</v>
      </c>
      <c r="E119" s="1" t="s">
        <v>50</v>
      </c>
      <c r="F119" s="4">
        <v>-0.2</v>
      </c>
      <c r="G119">
        <v>22</v>
      </c>
      <c r="H119">
        <v>25</v>
      </c>
      <c r="I119">
        <v>8.6999999999999993</v>
      </c>
      <c r="J119">
        <v>1.2</v>
      </c>
      <c r="K119">
        <v>0.67700000000000005</v>
      </c>
      <c r="L119">
        <v>0</v>
      </c>
      <c r="M119" t="s">
        <v>599</v>
      </c>
      <c r="N119">
        <v>1.2</v>
      </c>
      <c r="O119">
        <v>0.67700000000000005</v>
      </c>
      <c r="P119">
        <v>0.67700000000000005</v>
      </c>
      <c r="Q119">
        <v>0.5</v>
      </c>
      <c r="R119">
        <v>0.46200000000000002</v>
      </c>
      <c r="S119">
        <v>2</v>
      </c>
      <c r="T119">
        <v>0.4</v>
      </c>
      <c r="U119">
        <v>0</v>
      </c>
      <c r="V119">
        <v>0.6</v>
      </c>
      <c r="W119">
        <v>0.8</v>
      </c>
      <c r="X119">
        <v>1.3</v>
      </c>
      <c r="Y119">
        <v>1.9</v>
      </c>
      <c r="Z119">
        <v>0</v>
      </c>
      <c r="AA119">
        <v>-5.6</v>
      </c>
      <c r="AB119">
        <v>7.6</v>
      </c>
      <c r="AC119">
        <v>0.02</v>
      </c>
    </row>
    <row r="120" spans="1:29" x14ac:dyDescent="0.35">
      <c r="A120" s="3" t="s">
        <v>266</v>
      </c>
      <c r="B120" s="1" t="s">
        <v>2</v>
      </c>
      <c r="C120" s="1" t="s">
        <v>598</v>
      </c>
      <c r="D120" s="1" t="s">
        <v>23</v>
      </c>
      <c r="E120" s="1" t="s">
        <v>50</v>
      </c>
      <c r="F120" s="4">
        <v>-0.2</v>
      </c>
      <c r="G120">
        <v>20</v>
      </c>
      <c r="H120">
        <v>27</v>
      </c>
      <c r="I120">
        <v>6.7</v>
      </c>
      <c r="J120">
        <v>2.5</v>
      </c>
      <c r="K120">
        <v>0.313</v>
      </c>
      <c r="L120">
        <v>1.2</v>
      </c>
      <c r="M120">
        <v>0.28100000000000003</v>
      </c>
      <c r="N120">
        <v>1.3</v>
      </c>
      <c r="O120">
        <v>0.34300000000000003</v>
      </c>
      <c r="P120">
        <v>0.38100000000000001</v>
      </c>
      <c r="Q120">
        <v>0.5</v>
      </c>
      <c r="R120">
        <v>0.78600000000000003</v>
      </c>
      <c r="S120">
        <v>0.7</v>
      </c>
      <c r="T120">
        <v>0.8</v>
      </c>
      <c r="U120">
        <v>0.3</v>
      </c>
      <c r="V120">
        <v>0.1</v>
      </c>
      <c r="W120">
        <v>0.5</v>
      </c>
      <c r="X120">
        <v>0.5</v>
      </c>
      <c r="Y120">
        <v>2.2999999999999998</v>
      </c>
      <c r="Z120">
        <v>0</v>
      </c>
      <c r="AA120">
        <v>-7.2</v>
      </c>
      <c r="AB120">
        <v>7.1</v>
      </c>
      <c r="AC120">
        <v>-4.2999999999999997E-2</v>
      </c>
    </row>
    <row r="121" spans="1:29" x14ac:dyDescent="0.35">
      <c r="A121" s="3" t="s">
        <v>284</v>
      </c>
      <c r="B121" s="1" t="s">
        <v>26</v>
      </c>
      <c r="C121" s="1" t="s">
        <v>598</v>
      </c>
      <c r="D121" s="1" t="s">
        <v>23</v>
      </c>
      <c r="E121" s="1" t="s">
        <v>20</v>
      </c>
      <c r="F121" s="4">
        <v>-0.3</v>
      </c>
      <c r="G121">
        <v>23</v>
      </c>
      <c r="H121">
        <v>54</v>
      </c>
      <c r="I121">
        <v>10.199999999999999</v>
      </c>
      <c r="J121">
        <v>2.5</v>
      </c>
      <c r="K121">
        <v>0.38300000000000001</v>
      </c>
      <c r="L121">
        <v>1.2</v>
      </c>
      <c r="M121">
        <v>0.254</v>
      </c>
      <c r="N121">
        <v>1.3</v>
      </c>
      <c r="O121">
        <v>0.5</v>
      </c>
      <c r="P121">
        <v>0.44400000000000001</v>
      </c>
      <c r="Q121">
        <v>0.5</v>
      </c>
      <c r="R121">
        <v>0.60699999999999998</v>
      </c>
      <c r="S121">
        <v>2.2000000000000002</v>
      </c>
      <c r="T121">
        <v>1.1000000000000001</v>
      </c>
      <c r="U121">
        <v>0.3</v>
      </c>
      <c r="V121">
        <v>0.1</v>
      </c>
      <c r="W121">
        <v>0.5</v>
      </c>
      <c r="X121">
        <v>1</v>
      </c>
      <c r="Y121">
        <v>2.5</v>
      </c>
      <c r="Z121">
        <v>0</v>
      </c>
      <c r="AA121">
        <v>-4</v>
      </c>
      <c r="AB121">
        <v>8.1</v>
      </c>
      <c r="AC121">
        <v>6.7000000000000004E-2</v>
      </c>
    </row>
    <row r="122" spans="1:29" x14ac:dyDescent="0.35">
      <c r="A122" s="3" t="s">
        <v>444</v>
      </c>
      <c r="B122" s="1" t="s">
        <v>18</v>
      </c>
      <c r="C122" s="1" t="s">
        <v>598</v>
      </c>
      <c r="D122" s="1" t="s">
        <v>19</v>
      </c>
      <c r="E122" s="1" t="s">
        <v>28</v>
      </c>
      <c r="F122" s="4">
        <v>0.2</v>
      </c>
      <c r="G122">
        <v>28</v>
      </c>
      <c r="H122">
        <v>46</v>
      </c>
      <c r="I122">
        <v>10.199999999999999</v>
      </c>
      <c r="J122">
        <v>3.6</v>
      </c>
      <c r="K122">
        <v>0.42199999999999999</v>
      </c>
      <c r="L122">
        <v>2.2999999999999998</v>
      </c>
      <c r="M122">
        <v>0.32100000000000001</v>
      </c>
      <c r="N122">
        <v>1.3</v>
      </c>
      <c r="O122">
        <v>0.6</v>
      </c>
      <c r="P122">
        <v>0.52400000000000002</v>
      </c>
      <c r="Q122">
        <v>0.5</v>
      </c>
      <c r="R122">
        <v>0.90900000000000003</v>
      </c>
      <c r="S122">
        <v>2</v>
      </c>
      <c r="T122">
        <v>0.6</v>
      </c>
      <c r="U122">
        <v>0.3</v>
      </c>
      <c r="V122">
        <v>0.3</v>
      </c>
      <c r="W122">
        <v>0.3</v>
      </c>
      <c r="X122">
        <v>0.9</v>
      </c>
      <c r="Y122">
        <v>4.2</v>
      </c>
      <c r="Z122">
        <v>1</v>
      </c>
      <c r="AA122">
        <v>-0.3</v>
      </c>
      <c r="AB122">
        <v>13.7</v>
      </c>
      <c r="AC122">
        <v>0.105</v>
      </c>
    </row>
    <row r="123" spans="1:29" x14ac:dyDescent="0.35">
      <c r="A123" s="3" t="s">
        <v>183</v>
      </c>
      <c r="B123" s="1" t="s">
        <v>26</v>
      </c>
      <c r="C123" s="1" t="s">
        <v>598</v>
      </c>
      <c r="D123" s="1" t="s">
        <v>23</v>
      </c>
      <c r="E123" s="1" t="s">
        <v>28</v>
      </c>
      <c r="F123" s="4">
        <v>0</v>
      </c>
      <c r="G123">
        <v>19</v>
      </c>
      <c r="H123">
        <v>6</v>
      </c>
      <c r="I123">
        <v>4.5</v>
      </c>
      <c r="J123">
        <v>1.8</v>
      </c>
      <c r="K123">
        <v>0.36399999999999999</v>
      </c>
      <c r="L123">
        <v>0.3</v>
      </c>
      <c r="M123">
        <v>0</v>
      </c>
      <c r="N123">
        <v>1.5</v>
      </c>
      <c r="O123">
        <v>0.44400000000000001</v>
      </c>
      <c r="P123">
        <v>0.36399999999999999</v>
      </c>
      <c r="Q123">
        <v>0.5</v>
      </c>
      <c r="R123">
        <v>1</v>
      </c>
      <c r="S123">
        <v>0.7</v>
      </c>
      <c r="T123">
        <v>0</v>
      </c>
      <c r="U123">
        <v>0</v>
      </c>
      <c r="V123">
        <v>0</v>
      </c>
      <c r="W123">
        <v>0.2</v>
      </c>
      <c r="X123">
        <v>0.7</v>
      </c>
      <c r="Y123">
        <v>1.8</v>
      </c>
      <c r="Z123">
        <v>0</v>
      </c>
      <c r="AA123">
        <v>-8.3000000000000007</v>
      </c>
      <c r="AB123">
        <v>4.3</v>
      </c>
      <c r="AC123">
        <v>-3.3000000000000002E-2</v>
      </c>
    </row>
    <row r="124" spans="1:29" x14ac:dyDescent="0.35">
      <c r="A124" s="3" t="s">
        <v>353</v>
      </c>
      <c r="B124" s="1" t="s">
        <v>26</v>
      </c>
      <c r="C124" s="1" t="s">
        <v>597</v>
      </c>
      <c r="D124" s="1" t="s">
        <v>23</v>
      </c>
      <c r="E124" s="1" t="s">
        <v>50</v>
      </c>
      <c r="F124" s="4">
        <v>0</v>
      </c>
      <c r="G124">
        <v>23</v>
      </c>
      <c r="H124">
        <v>4</v>
      </c>
      <c r="I124">
        <v>7.3</v>
      </c>
      <c r="J124">
        <v>1.8</v>
      </c>
      <c r="K124">
        <v>0.28599999999999998</v>
      </c>
      <c r="L124">
        <v>0.3</v>
      </c>
      <c r="M124">
        <v>0</v>
      </c>
      <c r="N124">
        <v>1.5</v>
      </c>
      <c r="O124">
        <v>0.33300000000000002</v>
      </c>
      <c r="P124">
        <v>0.28599999999999998</v>
      </c>
      <c r="Q124">
        <v>0.5</v>
      </c>
      <c r="R124">
        <v>1</v>
      </c>
      <c r="S124">
        <v>2</v>
      </c>
      <c r="T124">
        <v>0.5</v>
      </c>
      <c r="U124">
        <v>0.3</v>
      </c>
      <c r="V124">
        <v>0.3</v>
      </c>
      <c r="W124">
        <v>0</v>
      </c>
      <c r="X124">
        <v>1.5</v>
      </c>
      <c r="Y124">
        <v>1.5</v>
      </c>
      <c r="Z124">
        <v>0</v>
      </c>
      <c r="AA124">
        <v>-7.2</v>
      </c>
      <c r="AB124">
        <v>6.7</v>
      </c>
      <c r="AC124">
        <v>0.06</v>
      </c>
    </row>
    <row r="125" spans="1:29" x14ac:dyDescent="0.35">
      <c r="A125" s="3" t="s">
        <v>536</v>
      </c>
      <c r="B125" s="1" t="s">
        <v>2</v>
      </c>
      <c r="C125" s="1" t="s">
        <v>597</v>
      </c>
      <c r="D125" s="1" t="s">
        <v>23</v>
      </c>
      <c r="E125" s="1" t="s">
        <v>20</v>
      </c>
      <c r="F125" s="4">
        <v>-0.1</v>
      </c>
      <c r="G125">
        <v>22</v>
      </c>
      <c r="H125">
        <v>47</v>
      </c>
      <c r="I125">
        <v>9.6</v>
      </c>
      <c r="J125">
        <v>3.2</v>
      </c>
      <c r="K125">
        <v>0.43</v>
      </c>
      <c r="L125">
        <v>1.2</v>
      </c>
      <c r="M125">
        <v>0.34499999999999997</v>
      </c>
      <c r="N125">
        <v>1.9</v>
      </c>
      <c r="O125">
        <v>0.48399999999999999</v>
      </c>
      <c r="P125">
        <v>0.497</v>
      </c>
      <c r="Q125">
        <v>0.5</v>
      </c>
      <c r="R125">
        <v>0.79200000000000004</v>
      </c>
      <c r="S125">
        <v>2</v>
      </c>
      <c r="T125">
        <v>0.9</v>
      </c>
      <c r="U125">
        <v>0.3</v>
      </c>
      <c r="V125">
        <v>0.1</v>
      </c>
      <c r="W125">
        <v>0.6</v>
      </c>
      <c r="X125">
        <v>1.1000000000000001</v>
      </c>
      <c r="Y125">
        <v>3.6</v>
      </c>
      <c r="Z125">
        <v>0</v>
      </c>
      <c r="AA125">
        <v>-2.7</v>
      </c>
      <c r="AB125">
        <v>11.1</v>
      </c>
      <c r="AC125">
        <v>8.3000000000000004E-2</v>
      </c>
    </row>
    <row r="126" spans="1:29" x14ac:dyDescent="0.35">
      <c r="A126" s="3" t="s">
        <v>453</v>
      </c>
      <c r="B126" s="1" t="s">
        <v>2</v>
      </c>
      <c r="C126" s="1" t="s">
        <v>597</v>
      </c>
      <c r="D126" s="1" t="s">
        <v>23</v>
      </c>
      <c r="E126" s="1" t="s">
        <v>50</v>
      </c>
      <c r="F126" s="4">
        <v>-0.2</v>
      </c>
      <c r="G126">
        <v>31</v>
      </c>
      <c r="H126">
        <v>8</v>
      </c>
      <c r="I126">
        <v>18.8</v>
      </c>
      <c r="J126">
        <v>4.8</v>
      </c>
      <c r="K126">
        <v>0.28899999999999998</v>
      </c>
      <c r="L126">
        <v>2.8</v>
      </c>
      <c r="M126">
        <v>0.27300000000000002</v>
      </c>
      <c r="N126">
        <v>2</v>
      </c>
      <c r="O126">
        <v>0.313</v>
      </c>
      <c r="P126">
        <v>0.36799999999999999</v>
      </c>
      <c r="Q126">
        <v>0.5</v>
      </c>
      <c r="R126">
        <v>1</v>
      </c>
      <c r="S126">
        <v>1.5</v>
      </c>
      <c r="T126">
        <v>1.5</v>
      </c>
      <c r="U126">
        <v>1</v>
      </c>
      <c r="V126">
        <v>0.1</v>
      </c>
      <c r="W126">
        <v>1</v>
      </c>
      <c r="X126">
        <v>2.1</v>
      </c>
      <c r="Y126">
        <v>4</v>
      </c>
      <c r="Z126">
        <v>9</v>
      </c>
      <c r="AA126">
        <v>-6.7</v>
      </c>
      <c r="AB126">
        <v>4.4000000000000004</v>
      </c>
      <c r="AC126">
        <v>-2.1000000000000001E-2</v>
      </c>
    </row>
    <row r="127" spans="1:29" x14ac:dyDescent="0.35">
      <c r="A127" s="3" t="s">
        <v>197</v>
      </c>
      <c r="B127" s="1" t="s">
        <v>18</v>
      </c>
      <c r="C127" s="1" t="s">
        <v>597</v>
      </c>
      <c r="D127" s="1" t="s">
        <v>23</v>
      </c>
      <c r="E127" s="1" t="s">
        <v>20</v>
      </c>
      <c r="F127" s="4">
        <v>-0.3</v>
      </c>
      <c r="G127">
        <v>39</v>
      </c>
      <c r="H127">
        <v>37</v>
      </c>
      <c r="I127">
        <v>11.1</v>
      </c>
      <c r="J127">
        <v>2.6</v>
      </c>
      <c r="K127">
        <v>0.495</v>
      </c>
      <c r="L127">
        <v>0.1</v>
      </c>
      <c r="M127">
        <v>0.5</v>
      </c>
      <c r="N127">
        <v>2.5</v>
      </c>
      <c r="O127">
        <v>0.495</v>
      </c>
      <c r="P127">
        <v>0.5</v>
      </c>
      <c r="Q127">
        <v>0.5</v>
      </c>
      <c r="R127">
        <v>0.6</v>
      </c>
      <c r="S127">
        <v>3.2</v>
      </c>
      <c r="T127">
        <v>0.6</v>
      </c>
      <c r="U127">
        <v>0.2</v>
      </c>
      <c r="V127">
        <v>0.5</v>
      </c>
      <c r="W127">
        <v>0.7</v>
      </c>
      <c r="X127">
        <v>1.5</v>
      </c>
      <c r="Y127">
        <v>2.9</v>
      </c>
      <c r="Z127">
        <v>15</v>
      </c>
      <c r="AA127">
        <v>-5.3</v>
      </c>
      <c r="AB127">
        <v>10.8</v>
      </c>
      <c r="AC127">
        <v>4.2999999999999997E-2</v>
      </c>
    </row>
    <row r="128" spans="1:29" x14ac:dyDescent="0.35">
      <c r="A128" s="3" t="s">
        <v>179</v>
      </c>
      <c r="B128" s="1" t="s">
        <v>18</v>
      </c>
      <c r="C128" s="1" t="s">
        <v>597</v>
      </c>
      <c r="D128" s="1" t="s">
        <v>19</v>
      </c>
      <c r="E128" s="1" t="s">
        <v>50</v>
      </c>
      <c r="F128" s="4">
        <v>0.1</v>
      </c>
      <c r="G128">
        <v>26</v>
      </c>
      <c r="H128">
        <v>17</v>
      </c>
      <c r="I128">
        <v>8.6</v>
      </c>
      <c r="J128">
        <v>2.9</v>
      </c>
      <c r="K128">
        <v>0.53100000000000003</v>
      </c>
      <c r="L128">
        <v>0</v>
      </c>
      <c r="M128" t="s">
        <v>599</v>
      </c>
      <c r="N128">
        <v>2.9</v>
      </c>
      <c r="O128">
        <v>0.53100000000000003</v>
      </c>
      <c r="P128">
        <v>0.53100000000000003</v>
      </c>
      <c r="Q128">
        <v>0.5</v>
      </c>
      <c r="R128">
        <v>0.75</v>
      </c>
      <c r="S128">
        <v>3</v>
      </c>
      <c r="T128">
        <v>1.1000000000000001</v>
      </c>
      <c r="U128">
        <v>0.2</v>
      </c>
      <c r="V128">
        <v>0.5</v>
      </c>
      <c r="W128">
        <v>0.8</v>
      </c>
      <c r="X128">
        <v>1.6</v>
      </c>
      <c r="Y128">
        <v>3.4</v>
      </c>
      <c r="Z128">
        <v>5</v>
      </c>
      <c r="AA128">
        <v>-0.7</v>
      </c>
      <c r="AB128">
        <v>15.3</v>
      </c>
      <c r="AC128">
        <v>8.5000000000000006E-2</v>
      </c>
    </row>
    <row r="129" spans="1:29" x14ac:dyDescent="0.35">
      <c r="A129" s="3" t="s">
        <v>164</v>
      </c>
      <c r="B129" s="1" t="s">
        <v>26</v>
      </c>
      <c r="C129" s="1" t="s">
        <v>598</v>
      </c>
      <c r="D129" s="1" t="s">
        <v>23</v>
      </c>
      <c r="E129" s="1" t="s">
        <v>20</v>
      </c>
      <c r="F129" s="4">
        <v>-0.7</v>
      </c>
      <c r="G129">
        <v>22</v>
      </c>
      <c r="H129">
        <v>74</v>
      </c>
      <c r="I129">
        <v>19.100000000000001</v>
      </c>
      <c r="J129">
        <v>6.4</v>
      </c>
      <c r="K129">
        <v>0.43</v>
      </c>
      <c r="L129">
        <v>3.6</v>
      </c>
      <c r="M129">
        <v>0.311</v>
      </c>
      <c r="N129">
        <v>2.9</v>
      </c>
      <c r="O129">
        <v>0.57699999999999996</v>
      </c>
      <c r="P129">
        <v>0.51600000000000001</v>
      </c>
      <c r="Q129">
        <v>0.5</v>
      </c>
      <c r="R129">
        <v>0.48699999999999999</v>
      </c>
      <c r="S129">
        <v>3.6</v>
      </c>
      <c r="T129">
        <v>0.8</v>
      </c>
      <c r="U129">
        <v>0.6</v>
      </c>
      <c r="V129">
        <v>0.5</v>
      </c>
      <c r="W129">
        <v>0.5</v>
      </c>
      <c r="X129">
        <v>2.2000000000000002</v>
      </c>
      <c r="Y129">
        <v>6.9</v>
      </c>
      <c r="Z129">
        <v>0</v>
      </c>
      <c r="AA129">
        <v>-4.0999999999999996</v>
      </c>
      <c r="AB129">
        <v>10.7</v>
      </c>
      <c r="AC129">
        <v>3.4000000000000002E-2</v>
      </c>
    </row>
    <row r="130" spans="1:29" x14ac:dyDescent="0.35">
      <c r="A130" s="3" t="s">
        <v>393</v>
      </c>
      <c r="B130" s="1" t="s">
        <v>26</v>
      </c>
      <c r="C130" s="1" t="s">
        <v>597</v>
      </c>
      <c r="D130" s="1" t="s">
        <v>23</v>
      </c>
      <c r="E130" s="1" t="s">
        <v>20</v>
      </c>
      <c r="F130" s="4">
        <v>0.4</v>
      </c>
      <c r="G130">
        <v>32</v>
      </c>
      <c r="H130">
        <v>24</v>
      </c>
      <c r="I130">
        <v>19.3</v>
      </c>
      <c r="J130">
        <v>6.5</v>
      </c>
      <c r="K130">
        <v>0.51600000000000001</v>
      </c>
      <c r="L130">
        <v>3.2</v>
      </c>
      <c r="M130">
        <v>0.44700000000000001</v>
      </c>
      <c r="N130">
        <v>3.3</v>
      </c>
      <c r="O130">
        <v>0.58199999999999996</v>
      </c>
      <c r="P130">
        <v>0.626</v>
      </c>
      <c r="Q130">
        <v>0.5</v>
      </c>
      <c r="R130">
        <v>0.69199999999999995</v>
      </c>
      <c r="S130">
        <v>4.3</v>
      </c>
      <c r="T130">
        <v>1.6</v>
      </c>
      <c r="U130">
        <v>0.8</v>
      </c>
      <c r="V130">
        <v>0.5</v>
      </c>
      <c r="W130">
        <v>0.7</v>
      </c>
      <c r="X130">
        <v>1.5</v>
      </c>
      <c r="Y130">
        <v>8.5</v>
      </c>
      <c r="Z130">
        <v>9</v>
      </c>
      <c r="AA130">
        <v>1.8</v>
      </c>
      <c r="AB130">
        <v>16</v>
      </c>
      <c r="AC130">
        <v>0.13100000000000001</v>
      </c>
    </row>
    <row r="131" spans="1:29" x14ac:dyDescent="0.35">
      <c r="A131" s="3" t="s">
        <v>551</v>
      </c>
      <c r="B131" s="1" t="s">
        <v>2</v>
      </c>
      <c r="C131" s="1" t="s">
        <v>598</v>
      </c>
      <c r="D131" s="1" t="s">
        <v>23</v>
      </c>
      <c r="E131" s="1" t="s">
        <v>20</v>
      </c>
      <c r="F131" s="4">
        <v>1.5</v>
      </c>
      <c r="G131">
        <v>21</v>
      </c>
      <c r="H131">
        <v>68</v>
      </c>
      <c r="I131">
        <v>27.6</v>
      </c>
      <c r="J131">
        <v>7.2</v>
      </c>
      <c r="K131">
        <v>0.47399999999999998</v>
      </c>
      <c r="L131">
        <v>3.1</v>
      </c>
      <c r="M131">
        <v>0.35599999999999998</v>
      </c>
      <c r="N131">
        <v>4.0999999999999996</v>
      </c>
      <c r="O131">
        <v>0.56200000000000006</v>
      </c>
      <c r="P131">
        <v>0.55000000000000004</v>
      </c>
      <c r="Q131">
        <v>0.5</v>
      </c>
      <c r="R131">
        <v>0.81100000000000005</v>
      </c>
      <c r="S131">
        <v>3.4</v>
      </c>
      <c r="T131">
        <v>2.5</v>
      </c>
      <c r="U131">
        <v>1.8</v>
      </c>
      <c r="V131">
        <v>0.5</v>
      </c>
      <c r="W131">
        <v>0.9</v>
      </c>
      <c r="X131">
        <v>2.1</v>
      </c>
      <c r="Y131">
        <v>8.4</v>
      </c>
      <c r="Z131">
        <v>1</v>
      </c>
      <c r="AA131">
        <v>1</v>
      </c>
      <c r="AB131">
        <v>12.3</v>
      </c>
      <c r="AC131">
        <v>0.13300000000000001</v>
      </c>
    </row>
    <row r="132" spans="1:29" x14ac:dyDescent="0.35">
      <c r="A132" s="3" t="s">
        <v>367</v>
      </c>
      <c r="B132" s="1" t="s">
        <v>26</v>
      </c>
      <c r="C132" s="1" t="s">
        <v>598</v>
      </c>
      <c r="D132" s="1" t="s">
        <v>19</v>
      </c>
      <c r="E132" s="1" t="s">
        <v>50</v>
      </c>
      <c r="F132" s="4">
        <v>0</v>
      </c>
      <c r="G132">
        <v>21</v>
      </c>
      <c r="H132">
        <v>13</v>
      </c>
      <c r="I132">
        <v>2.5</v>
      </c>
      <c r="J132">
        <v>1.2</v>
      </c>
      <c r="K132">
        <v>0.4</v>
      </c>
      <c r="L132">
        <v>0.4</v>
      </c>
      <c r="M132">
        <v>0</v>
      </c>
      <c r="N132">
        <v>0.8</v>
      </c>
      <c r="O132">
        <v>0.6</v>
      </c>
      <c r="P132">
        <v>0.4</v>
      </c>
      <c r="Q132">
        <v>0.6</v>
      </c>
      <c r="R132">
        <v>1</v>
      </c>
      <c r="S132">
        <v>0.8</v>
      </c>
      <c r="T132">
        <v>0</v>
      </c>
      <c r="U132">
        <v>0.2</v>
      </c>
      <c r="V132">
        <v>0.1</v>
      </c>
      <c r="W132">
        <v>0.2</v>
      </c>
      <c r="X132">
        <v>0.2</v>
      </c>
      <c r="Y132">
        <v>1.5</v>
      </c>
      <c r="Z132">
        <v>1</v>
      </c>
      <c r="AA132">
        <v>-3.7</v>
      </c>
      <c r="AB132">
        <v>19.899999999999999</v>
      </c>
      <c r="AC132">
        <v>0.14499999999999999</v>
      </c>
    </row>
    <row r="133" spans="1:29" x14ac:dyDescent="0.35">
      <c r="A133" s="3" t="s">
        <v>62</v>
      </c>
      <c r="B133" s="1" t="s">
        <v>26</v>
      </c>
      <c r="C133" s="1" t="s">
        <v>35</v>
      </c>
      <c r="D133" s="1" t="s">
        <v>23</v>
      </c>
      <c r="E133" s="1" t="s">
        <v>20</v>
      </c>
      <c r="F133" s="4">
        <v>-0.1</v>
      </c>
      <c r="G133">
        <v>24</v>
      </c>
      <c r="H133">
        <v>35</v>
      </c>
      <c r="I133">
        <v>4.5</v>
      </c>
      <c r="J133">
        <v>1.9</v>
      </c>
      <c r="K133">
        <v>0.41499999999999998</v>
      </c>
      <c r="L133">
        <v>0.8</v>
      </c>
      <c r="M133">
        <v>0.34499999999999997</v>
      </c>
      <c r="N133">
        <v>1</v>
      </c>
      <c r="O133">
        <v>0.47199999999999998</v>
      </c>
      <c r="P133">
        <v>0.49199999999999999</v>
      </c>
      <c r="Q133">
        <v>0.6</v>
      </c>
      <c r="R133">
        <v>0.75</v>
      </c>
      <c r="S133">
        <v>1.3</v>
      </c>
      <c r="T133">
        <v>0.3</v>
      </c>
      <c r="U133">
        <v>0.1</v>
      </c>
      <c r="V133">
        <v>0</v>
      </c>
      <c r="W133">
        <v>0.4</v>
      </c>
      <c r="X133">
        <v>0.4</v>
      </c>
      <c r="Y133">
        <v>2.2999999999999998</v>
      </c>
      <c r="Z133">
        <v>2</v>
      </c>
      <c r="AA133">
        <v>-4.3</v>
      </c>
      <c r="AB133">
        <v>12.3</v>
      </c>
      <c r="AC133">
        <v>0.02</v>
      </c>
    </row>
    <row r="134" spans="1:29" x14ac:dyDescent="0.35">
      <c r="A134" s="3" t="s">
        <v>100</v>
      </c>
      <c r="B134" s="1" t="s">
        <v>18</v>
      </c>
      <c r="C134" s="1" t="s">
        <v>598</v>
      </c>
      <c r="D134" s="1" t="s">
        <v>23</v>
      </c>
      <c r="E134" s="1" t="s">
        <v>28</v>
      </c>
      <c r="F134" s="4">
        <v>0.2</v>
      </c>
      <c r="G134">
        <v>25</v>
      </c>
      <c r="H134">
        <v>32</v>
      </c>
      <c r="I134">
        <v>7.7</v>
      </c>
      <c r="J134">
        <v>3</v>
      </c>
      <c r="K134">
        <v>0.443</v>
      </c>
      <c r="L134">
        <v>2.1</v>
      </c>
      <c r="M134">
        <v>0.33300000000000002</v>
      </c>
      <c r="N134">
        <v>1</v>
      </c>
      <c r="O134">
        <v>0.67700000000000005</v>
      </c>
      <c r="P134">
        <v>0.55700000000000005</v>
      </c>
      <c r="Q134">
        <v>0.6</v>
      </c>
      <c r="R134">
        <v>0.77800000000000002</v>
      </c>
      <c r="S134">
        <v>1.7</v>
      </c>
      <c r="T134">
        <v>0.4</v>
      </c>
      <c r="U134">
        <v>0.2</v>
      </c>
      <c r="V134">
        <v>0.7</v>
      </c>
      <c r="W134">
        <v>0.2</v>
      </c>
      <c r="X134">
        <v>0.7</v>
      </c>
      <c r="Y134">
        <v>3.8</v>
      </c>
      <c r="Z134">
        <v>0</v>
      </c>
      <c r="AA134">
        <v>1.3</v>
      </c>
      <c r="AB134">
        <v>17.600000000000001</v>
      </c>
      <c r="AC134">
        <v>0.17699999999999999</v>
      </c>
    </row>
    <row r="135" spans="1:29" x14ac:dyDescent="0.35">
      <c r="A135" s="3" t="s">
        <v>222</v>
      </c>
      <c r="B135" s="1" t="s">
        <v>2</v>
      </c>
      <c r="C135" s="1" t="s">
        <v>598</v>
      </c>
      <c r="D135" s="1" t="s">
        <v>23</v>
      </c>
      <c r="E135" s="1" t="s">
        <v>28</v>
      </c>
      <c r="F135" s="4">
        <v>-0.1</v>
      </c>
      <c r="G135">
        <v>24</v>
      </c>
      <c r="H135">
        <v>10</v>
      </c>
      <c r="I135">
        <v>13.8</v>
      </c>
      <c r="J135">
        <v>3.5</v>
      </c>
      <c r="K135">
        <v>0.314</v>
      </c>
      <c r="L135">
        <v>2.5</v>
      </c>
      <c r="M135">
        <v>0.28000000000000003</v>
      </c>
      <c r="N135">
        <v>1</v>
      </c>
      <c r="O135">
        <v>0.4</v>
      </c>
      <c r="P135">
        <v>0.41399999999999998</v>
      </c>
      <c r="Q135">
        <v>0.6</v>
      </c>
      <c r="R135">
        <v>0.5</v>
      </c>
      <c r="S135">
        <v>2.1</v>
      </c>
      <c r="T135">
        <v>0.8</v>
      </c>
      <c r="U135">
        <v>1</v>
      </c>
      <c r="V135">
        <v>0.1</v>
      </c>
      <c r="W135">
        <v>0.3</v>
      </c>
      <c r="X135">
        <v>1.8</v>
      </c>
      <c r="Y135">
        <v>3.2</v>
      </c>
      <c r="Z135">
        <v>0</v>
      </c>
      <c r="AA135">
        <v>-3.8</v>
      </c>
      <c r="AB135">
        <v>7.8</v>
      </c>
      <c r="AC135">
        <v>2.3E-2</v>
      </c>
    </row>
    <row r="136" spans="1:29" x14ac:dyDescent="0.35">
      <c r="A136" s="3" t="s">
        <v>280</v>
      </c>
      <c r="B136" s="1" t="s">
        <v>26</v>
      </c>
      <c r="C136" s="1" t="s">
        <v>597</v>
      </c>
      <c r="D136" s="1" t="s">
        <v>23</v>
      </c>
      <c r="E136" s="1" t="s">
        <v>28</v>
      </c>
      <c r="F136" s="4">
        <v>0</v>
      </c>
      <c r="G136">
        <v>23</v>
      </c>
      <c r="H136">
        <v>16</v>
      </c>
      <c r="I136">
        <v>6.1</v>
      </c>
      <c r="J136">
        <v>1.6</v>
      </c>
      <c r="K136">
        <v>0.69199999999999995</v>
      </c>
      <c r="L136">
        <v>0.4</v>
      </c>
      <c r="M136">
        <v>0.42899999999999999</v>
      </c>
      <c r="N136">
        <v>1.2</v>
      </c>
      <c r="O136">
        <v>0.78900000000000003</v>
      </c>
      <c r="P136">
        <v>0.75</v>
      </c>
      <c r="Q136">
        <v>0.6</v>
      </c>
      <c r="R136">
        <v>0.44400000000000001</v>
      </c>
      <c r="S136">
        <v>1.8</v>
      </c>
      <c r="T136">
        <v>0.3</v>
      </c>
      <c r="U136">
        <v>0.3</v>
      </c>
      <c r="V136">
        <v>0.3</v>
      </c>
      <c r="W136">
        <v>0.3</v>
      </c>
      <c r="X136">
        <v>0.7</v>
      </c>
      <c r="Y136">
        <v>2.7</v>
      </c>
      <c r="Z136">
        <v>0</v>
      </c>
      <c r="AA136">
        <v>-0.1</v>
      </c>
      <c r="AB136">
        <v>19.100000000000001</v>
      </c>
      <c r="AC136">
        <v>0.18099999999999999</v>
      </c>
    </row>
    <row r="137" spans="1:29" x14ac:dyDescent="0.35">
      <c r="A137" s="3" t="s">
        <v>302</v>
      </c>
      <c r="B137" s="1" t="s">
        <v>26</v>
      </c>
      <c r="C137" s="1" t="s">
        <v>598</v>
      </c>
      <c r="D137" s="1" t="s">
        <v>19</v>
      </c>
      <c r="E137" s="1" t="s">
        <v>28</v>
      </c>
      <c r="F137" s="4">
        <v>-0.3</v>
      </c>
      <c r="G137">
        <v>33</v>
      </c>
      <c r="H137">
        <v>34</v>
      </c>
      <c r="I137">
        <v>18.7</v>
      </c>
      <c r="J137">
        <v>2.8</v>
      </c>
      <c r="K137">
        <v>0.38500000000000001</v>
      </c>
      <c r="L137">
        <v>1.4</v>
      </c>
      <c r="M137">
        <v>0.26500000000000001</v>
      </c>
      <c r="N137">
        <v>1.4</v>
      </c>
      <c r="O137">
        <v>0.51100000000000001</v>
      </c>
      <c r="P137">
        <v>0.45300000000000001</v>
      </c>
      <c r="Q137">
        <v>0.6</v>
      </c>
      <c r="R137">
        <v>0.76200000000000001</v>
      </c>
      <c r="S137">
        <v>2.8</v>
      </c>
      <c r="T137">
        <v>1.3</v>
      </c>
      <c r="U137">
        <v>0.3</v>
      </c>
      <c r="V137">
        <v>0.5</v>
      </c>
      <c r="W137">
        <v>0.7</v>
      </c>
      <c r="X137">
        <v>1.9</v>
      </c>
      <c r="Y137">
        <v>3</v>
      </c>
      <c r="Z137">
        <v>7</v>
      </c>
      <c r="AA137">
        <v>-3.8</v>
      </c>
      <c r="AB137">
        <v>5.6</v>
      </c>
      <c r="AC137">
        <v>2.3E-2</v>
      </c>
    </row>
    <row r="138" spans="1:29" x14ac:dyDescent="0.35">
      <c r="A138" s="3" t="s">
        <v>578</v>
      </c>
      <c r="B138" s="1" t="s">
        <v>26</v>
      </c>
      <c r="C138" s="1" t="s">
        <v>598</v>
      </c>
      <c r="D138" s="1" t="s">
        <v>23</v>
      </c>
      <c r="E138" s="1" t="s">
        <v>50</v>
      </c>
      <c r="F138" s="4">
        <v>1.2</v>
      </c>
      <c r="G138">
        <v>22</v>
      </c>
      <c r="H138">
        <v>47</v>
      </c>
      <c r="I138">
        <v>16.7</v>
      </c>
      <c r="J138">
        <v>4.7</v>
      </c>
      <c r="K138">
        <v>0.439</v>
      </c>
      <c r="L138">
        <v>3.3</v>
      </c>
      <c r="M138">
        <v>0.39900000000000002</v>
      </c>
      <c r="N138">
        <v>1.4</v>
      </c>
      <c r="O138">
        <v>0.52900000000000003</v>
      </c>
      <c r="P138">
        <v>0.57699999999999996</v>
      </c>
      <c r="Q138">
        <v>0.6</v>
      </c>
      <c r="R138">
        <v>0.76700000000000002</v>
      </c>
      <c r="S138">
        <v>5.6</v>
      </c>
      <c r="T138">
        <v>2.6</v>
      </c>
      <c r="U138">
        <v>0.5</v>
      </c>
      <c r="V138">
        <v>0.6</v>
      </c>
      <c r="W138">
        <v>0.7</v>
      </c>
      <c r="X138">
        <v>1.7</v>
      </c>
      <c r="Y138">
        <v>5.9</v>
      </c>
      <c r="Z138">
        <v>2</v>
      </c>
      <c r="AA138">
        <v>4.3</v>
      </c>
      <c r="AB138">
        <v>16.399999999999999</v>
      </c>
      <c r="AC138">
        <v>0.19900000000000001</v>
      </c>
    </row>
    <row r="139" spans="1:29" x14ac:dyDescent="0.35">
      <c r="A139" s="3" t="s">
        <v>305</v>
      </c>
      <c r="B139" s="1" t="s">
        <v>26</v>
      </c>
      <c r="C139" s="1" t="s">
        <v>598</v>
      </c>
      <c r="D139" s="1" t="s">
        <v>23</v>
      </c>
      <c r="E139" s="1" t="s">
        <v>20</v>
      </c>
      <c r="F139" s="4">
        <v>0</v>
      </c>
      <c r="G139">
        <v>25</v>
      </c>
      <c r="H139">
        <v>14</v>
      </c>
      <c r="I139">
        <v>6</v>
      </c>
      <c r="J139">
        <v>2.6</v>
      </c>
      <c r="K139">
        <v>0.5</v>
      </c>
      <c r="L139">
        <v>1.1000000000000001</v>
      </c>
      <c r="M139">
        <v>0.26700000000000002</v>
      </c>
      <c r="N139">
        <v>1.5</v>
      </c>
      <c r="O139">
        <v>0.66700000000000004</v>
      </c>
      <c r="P139">
        <v>0.55600000000000005</v>
      </c>
      <c r="Q139">
        <v>0.6</v>
      </c>
      <c r="R139">
        <v>0.75</v>
      </c>
      <c r="S139">
        <v>1.2</v>
      </c>
      <c r="T139">
        <v>0.4</v>
      </c>
      <c r="U139">
        <v>0.1</v>
      </c>
      <c r="V139">
        <v>0.3</v>
      </c>
      <c r="W139">
        <v>0.3</v>
      </c>
      <c r="X139">
        <v>0.4</v>
      </c>
      <c r="Y139">
        <v>3.3</v>
      </c>
      <c r="Z139">
        <v>6</v>
      </c>
      <c r="AA139">
        <v>-1.3</v>
      </c>
      <c r="AB139">
        <v>17.100000000000001</v>
      </c>
      <c r="AC139">
        <v>0.121</v>
      </c>
    </row>
    <row r="140" spans="1:29" x14ac:dyDescent="0.35">
      <c r="A140" s="3" t="s">
        <v>590</v>
      </c>
      <c r="B140" s="1" t="s">
        <v>2</v>
      </c>
      <c r="C140" s="1" t="s">
        <v>35</v>
      </c>
      <c r="D140" s="1" t="s">
        <v>23</v>
      </c>
      <c r="E140" s="1" t="s">
        <v>20</v>
      </c>
      <c r="F140" s="4">
        <v>0.1</v>
      </c>
      <c r="G140">
        <v>32</v>
      </c>
      <c r="H140">
        <v>40</v>
      </c>
      <c r="I140">
        <v>15.9</v>
      </c>
      <c r="J140">
        <v>3.3</v>
      </c>
      <c r="K140">
        <v>0.34399999999999997</v>
      </c>
      <c r="L140">
        <v>1.8</v>
      </c>
      <c r="M140">
        <v>0.27400000000000002</v>
      </c>
      <c r="N140">
        <v>1.5</v>
      </c>
      <c r="O140">
        <v>0.43099999999999999</v>
      </c>
      <c r="P140">
        <v>0.42</v>
      </c>
      <c r="Q140">
        <v>0.6</v>
      </c>
      <c r="R140">
        <v>0.6</v>
      </c>
      <c r="S140">
        <v>1.7</v>
      </c>
      <c r="T140">
        <v>1.9</v>
      </c>
      <c r="U140">
        <v>0.9</v>
      </c>
      <c r="V140">
        <v>0.3</v>
      </c>
      <c r="W140">
        <v>0.6</v>
      </c>
      <c r="X140">
        <v>0.6</v>
      </c>
      <c r="Y140">
        <v>3.1</v>
      </c>
      <c r="Z140">
        <v>9</v>
      </c>
      <c r="AA140">
        <v>-1.4</v>
      </c>
      <c r="AB140">
        <v>9.1999999999999993</v>
      </c>
      <c r="AC140">
        <v>5.2999999999999999E-2</v>
      </c>
    </row>
    <row r="141" spans="1:29" x14ac:dyDescent="0.35">
      <c r="A141" s="3" t="s">
        <v>464</v>
      </c>
      <c r="B141" s="1" t="s">
        <v>2</v>
      </c>
      <c r="C141" s="1" t="s">
        <v>598</v>
      </c>
      <c r="D141" s="1" t="s">
        <v>19</v>
      </c>
      <c r="E141" s="1" t="s">
        <v>50</v>
      </c>
      <c r="F141" s="4">
        <v>-0.3</v>
      </c>
      <c r="G141">
        <v>20</v>
      </c>
      <c r="H141">
        <v>52</v>
      </c>
      <c r="I141">
        <v>8.8000000000000007</v>
      </c>
      <c r="J141">
        <v>2.7</v>
      </c>
      <c r="K141">
        <v>0.40799999999999997</v>
      </c>
      <c r="L141">
        <v>1.1000000000000001</v>
      </c>
      <c r="M141">
        <v>0.27100000000000002</v>
      </c>
      <c r="N141">
        <v>1.6</v>
      </c>
      <c r="O141">
        <v>0.50600000000000001</v>
      </c>
      <c r="P141">
        <v>0.46500000000000002</v>
      </c>
      <c r="Q141">
        <v>0.6</v>
      </c>
      <c r="R141">
        <v>0.76700000000000002</v>
      </c>
      <c r="S141">
        <v>1.3</v>
      </c>
      <c r="T141">
        <v>0.5</v>
      </c>
      <c r="U141">
        <v>0.3</v>
      </c>
      <c r="V141">
        <v>0.1</v>
      </c>
      <c r="W141">
        <v>0.6</v>
      </c>
      <c r="X141">
        <v>0.7</v>
      </c>
      <c r="Y141">
        <v>3</v>
      </c>
      <c r="Z141">
        <v>1</v>
      </c>
      <c r="AA141">
        <v>-4.7</v>
      </c>
      <c r="AB141">
        <v>8.1</v>
      </c>
      <c r="AC141">
        <v>7.0000000000000001E-3</v>
      </c>
    </row>
    <row r="142" spans="1:29" x14ac:dyDescent="0.35">
      <c r="A142" s="3" t="s">
        <v>426</v>
      </c>
      <c r="B142" s="1" t="s">
        <v>2</v>
      </c>
      <c r="C142" s="1" t="s">
        <v>597</v>
      </c>
      <c r="D142" s="1" t="s">
        <v>23</v>
      </c>
      <c r="E142" s="1" t="s">
        <v>28</v>
      </c>
      <c r="F142" s="4">
        <v>0.4</v>
      </c>
      <c r="G142">
        <v>24</v>
      </c>
      <c r="H142">
        <v>51</v>
      </c>
      <c r="I142">
        <v>10.1</v>
      </c>
      <c r="J142">
        <v>2.7</v>
      </c>
      <c r="K142">
        <v>0.51400000000000001</v>
      </c>
      <c r="L142">
        <v>0.9</v>
      </c>
      <c r="M142">
        <v>0.438</v>
      </c>
      <c r="N142">
        <v>1.8</v>
      </c>
      <c r="O142">
        <v>0.55400000000000005</v>
      </c>
      <c r="P142">
        <v>0.58899999999999997</v>
      </c>
      <c r="Q142">
        <v>0.6</v>
      </c>
      <c r="R142">
        <v>0.71899999999999997</v>
      </c>
      <c r="S142">
        <v>1.3</v>
      </c>
      <c r="T142">
        <v>1.4</v>
      </c>
      <c r="U142">
        <v>0.3</v>
      </c>
      <c r="V142">
        <v>0.3</v>
      </c>
      <c r="W142">
        <v>0.7</v>
      </c>
      <c r="X142">
        <v>0.5</v>
      </c>
      <c r="Y142">
        <v>3.7</v>
      </c>
      <c r="Z142">
        <v>1</v>
      </c>
      <c r="AA142">
        <v>1.1000000000000001</v>
      </c>
      <c r="AB142">
        <v>13.1</v>
      </c>
      <c r="AC142">
        <v>0.10199999999999999</v>
      </c>
    </row>
    <row r="143" spans="1:29" x14ac:dyDescent="0.35">
      <c r="A143" s="3" t="s">
        <v>63</v>
      </c>
      <c r="B143" s="1" t="s">
        <v>2</v>
      </c>
      <c r="C143" s="1" t="s">
        <v>35</v>
      </c>
      <c r="D143" s="1" t="s">
        <v>23</v>
      </c>
      <c r="E143" s="1" t="s">
        <v>28</v>
      </c>
      <c r="F143" s="4">
        <v>-0.4</v>
      </c>
      <c r="G143">
        <v>23</v>
      </c>
      <c r="H143">
        <v>36</v>
      </c>
      <c r="I143">
        <v>13</v>
      </c>
      <c r="J143">
        <v>3</v>
      </c>
      <c r="K143">
        <v>0.32700000000000001</v>
      </c>
      <c r="L143">
        <v>1.1000000000000001</v>
      </c>
      <c r="M143">
        <v>0.17499999999999999</v>
      </c>
      <c r="N143">
        <v>1.9</v>
      </c>
      <c r="O143">
        <v>0.41799999999999998</v>
      </c>
      <c r="P143">
        <v>0.36</v>
      </c>
      <c r="Q143">
        <v>0.6</v>
      </c>
      <c r="R143">
        <v>0.76200000000000001</v>
      </c>
      <c r="S143">
        <v>1.1000000000000001</v>
      </c>
      <c r="T143">
        <v>1.8</v>
      </c>
      <c r="U143">
        <v>0.9</v>
      </c>
      <c r="V143">
        <v>0.1</v>
      </c>
      <c r="W143">
        <v>0.6</v>
      </c>
      <c r="X143">
        <v>1</v>
      </c>
      <c r="Y143">
        <v>2.6</v>
      </c>
      <c r="Z143">
        <v>0</v>
      </c>
      <c r="AA143">
        <v>-5.4</v>
      </c>
      <c r="AB143">
        <v>7.5</v>
      </c>
      <c r="AC143">
        <v>0.01</v>
      </c>
    </row>
    <row r="144" spans="1:29" x14ac:dyDescent="0.35">
      <c r="A144" s="3" t="s">
        <v>471</v>
      </c>
      <c r="B144" s="1" t="s">
        <v>18</v>
      </c>
      <c r="C144" s="1" t="s">
        <v>598</v>
      </c>
      <c r="D144" s="1" t="s">
        <v>19</v>
      </c>
      <c r="E144" s="1" t="s">
        <v>20</v>
      </c>
      <c r="F144" s="4">
        <v>-0.1</v>
      </c>
      <c r="G144">
        <v>30</v>
      </c>
      <c r="H144">
        <v>16</v>
      </c>
      <c r="I144">
        <v>13.1</v>
      </c>
      <c r="J144">
        <v>3.6</v>
      </c>
      <c r="K144">
        <v>0.36199999999999999</v>
      </c>
      <c r="L144">
        <v>1.6</v>
      </c>
      <c r="M144">
        <v>0.26900000000000002</v>
      </c>
      <c r="N144">
        <v>2</v>
      </c>
      <c r="O144">
        <v>0.438</v>
      </c>
      <c r="P144">
        <v>0.42199999999999999</v>
      </c>
      <c r="Q144">
        <v>0.6</v>
      </c>
      <c r="R144">
        <v>0.7</v>
      </c>
      <c r="S144">
        <v>3.1</v>
      </c>
      <c r="T144">
        <v>1.4</v>
      </c>
      <c r="U144">
        <v>0.4</v>
      </c>
      <c r="V144">
        <v>0.1</v>
      </c>
      <c r="W144">
        <v>0.9</v>
      </c>
      <c r="X144">
        <v>1.2</v>
      </c>
      <c r="Y144">
        <v>3.5</v>
      </c>
      <c r="Z144">
        <v>8</v>
      </c>
      <c r="AA144">
        <v>-4.8</v>
      </c>
      <c r="AB144">
        <v>7.7</v>
      </c>
      <c r="AC144">
        <v>1E-3</v>
      </c>
    </row>
    <row r="145" spans="1:29" x14ac:dyDescent="0.35">
      <c r="A145" s="3" t="s">
        <v>504</v>
      </c>
      <c r="B145" s="1" t="s">
        <v>26</v>
      </c>
      <c r="C145" s="1" t="s">
        <v>598</v>
      </c>
      <c r="D145" s="1" t="s">
        <v>23</v>
      </c>
      <c r="E145" s="1" t="s">
        <v>28</v>
      </c>
      <c r="F145" s="4">
        <v>-0.1</v>
      </c>
      <c r="G145">
        <v>27</v>
      </c>
      <c r="H145">
        <v>17</v>
      </c>
      <c r="I145">
        <v>9.1</v>
      </c>
      <c r="J145">
        <v>3.7</v>
      </c>
      <c r="K145">
        <v>0.46</v>
      </c>
      <c r="L145">
        <v>1.6</v>
      </c>
      <c r="M145">
        <v>0.29599999999999999</v>
      </c>
      <c r="N145">
        <v>2.1</v>
      </c>
      <c r="O145">
        <v>0.58299999999999996</v>
      </c>
      <c r="P145">
        <v>0.52400000000000002</v>
      </c>
      <c r="Q145">
        <v>0.6</v>
      </c>
      <c r="R145">
        <v>0.72699999999999998</v>
      </c>
      <c r="S145">
        <v>2.2000000000000002</v>
      </c>
      <c r="T145">
        <v>0.5</v>
      </c>
      <c r="U145">
        <v>0.3</v>
      </c>
      <c r="V145">
        <v>0.2</v>
      </c>
      <c r="W145">
        <v>0.6</v>
      </c>
      <c r="X145">
        <v>0.9</v>
      </c>
      <c r="Y145">
        <v>4.4000000000000004</v>
      </c>
      <c r="Z145">
        <v>4</v>
      </c>
      <c r="AA145">
        <v>-4.2</v>
      </c>
      <c r="AB145">
        <v>11.5</v>
      </c>
      <c r="AC145">
        <v>5.1999999999999998E-2</v>
      </c>
    </row>
    <row r="146" spans="1:29" x14ac:dyDescent="0.35">
      <c r="A146" s="3" t="s">
        <v>236</v>
      </c>
      <c r="B146" s="1" t="s">
        <v>26</v>
      </c>
      <c r="C146" s="1" t="s">
        <v>597</v>
      </c>
      <c r="D146" s="1" t="s">
        <v>23</v>
      </c>
      <c r="E146" s="1" t="s">
        <v>28</v>
      </c>
      <c r="F146" s="4">
        <v>0.1</v>
      </c>
      <c r="G146">
        <v>28</v>
      </c>
      <c r="H146">
        <v>74</v>
      </c>
      <c r="I146">
        <v>24.6</v>
      </c>
      <c r="J146">
        <v>5.3</v>
      </c>
      <c r="K146">
        <v>0.45800000000000002</v>
      </c>
      <c r="L146">
        <v>3.1</v>
      </c>
      <c r="M146">
        <v>0.38200000000000001</v>
      </c>
      <c r="N146">
        <v>2.1</v>
      </c>
      <c r="O146">
        <v>0.56999999999999995</v>
      </c>
      <c r="P146">
        <v>0.57199999999999995</v>
      </c>
      <c r="Q146">
        <v>0.6</v>
      </c>
      <c r="R146">
        <v>0.72099999999999997</v>
      </c>
      <c r="S146">
        <v>3.4</v>
      </c>
      <c r="T146">
        <v>1.5</v>
      </c>
      <c r="U146">
        <v>0.9</v>
      </c>
      <c r="V146">
        <v>0.5</v>
      </c>
      <c r="W146">
        <v>0.7</v>
      </c>
      <c r="X146">
        <v>2.2000000000000002</v>
      </c>
      <c r="Y146">
        <v>6.5</v>
      </c>
      <c r="Z146">
        <v>4</v>
      </c>
      <c r="AA146">
        <v>-1.9</v>
      </c>
      <c r="AB146">
        <v>9.9</v>
      </c>
      <c r="AC146">
        <v>8.7999999999999995E-2</v>
      </c>
    </row>
    <row r="147" spans="1:29" x14ac:dyDescent="0.35">
      <c r="A147" s="3" t="s">
        <v>435</v>
      </c>
      <c r="B147" s="1" t="s">
        <v>26</v>
      </c>
      <c r="C147" s="1" t="s">
        <v>597</v>
      </c>
      <c r="D147" s="1" t="s">
        <v>23</v>
      </c>
      <c r="E147" s="1" t="s">
        <v>20</v>
      </c>
      <c r="F147" s="4">
        <v>0.1</v>
      </c>
      <c r="G147">
        <v>30</v>
      </c>
      <c r="H147">
        <v>80</v>
      </c>
      <c r="I147">
        <v>27.1</v>
      </c>
      <c r="J147">
        <v>6.4</v>
      </c>
      <c r="K147">
        <v>0.45700000000000002</v>
      </c>
      <c r="L147">
        <v>4.2</v>
      </c>
      <c r="M147">
        <v>0.439</v>
      </c>
      <c r="N147">
        <v>2.2000000000000002</v>
      </c>
      <c r="O147">
        <v>0.49199999999999999</v>
      </c>
      <c r="P147">
        <v>0.6</v>
      </c>
      <c r="Q147">
        <v>0.6</v>
      </c>
      <c r="R147">
        <v>0.81299999999999994</v>
      </c>
      <c r="S147">
        <v>3.6</v>
      </c>
      <c r="T147">
        <v>1.9</v>
      </c>
      <c r="U147">
        <v>1</v>
      </c>
      <c r="V147">
        <v>0.2</v>
      </c>
      <c r="W147">
        <v>1</v>
      </c>
      <c r="X147">
        <v>2.1</v>
      </c>
      <c r="Y147">
        <v>8.1999999999999993</v>
      </c>
      <c r="Z147">
        <v>8</v>
      </c>
      <c r="AA147">
        <v>-1.7</v>
      </c>
      <c r="AB147">
        <v>9.8000000000000007</v>
      </c>
      <c r="AC147">
        <v>7.6999999999999999E-2</v>
      </c>
    </row>
    <row r="148" spans="1:29" x14ac:dyDescent="0.35">
      <c r="A148" s="3" t="s">
        <v>431</v>
      </c>
      <c r="B148" s="1" t="s">
        <v>26</v>
      </c>
      <c r="C148" s="1" t="s">
        <v>598</v>
      </c>
      <c r="D148" s="1" t="s">
        <v>19</v>
      </c>
      <c r="E148" s="1" t="s">
        <v>50</v>
      </c>
      <c r="F148" s="4">
        <v>0.4</v>
      </c>
      <c r="G148">
        <v>24</v>
      </c>
      <c r="H148">
        <v>42</v>
      </c>
      <c r="I148">
        <v>16.3</v>
      </c>
      <c r="J148">
        <v>6.5</v>
      </c>
      <c r="K148">
        <v>0.44900000000000001</v>
      </c>
      <c r="L148">
        <v>4.3</v>
      </c>
      <c r="M148">
        <v>0.40799999999999997</v>
      </c>
      <c r="N148">
        <v>2.2999999999999998</v>
      </c>
      <c r="O148">
        <v>0.52600000000000002</v>
      </c>
      <c r="P148">
        <v>0.58199999999999996</v>
      </c>
      <c r="Q148">
        <v>0.6</v>
      </c>
      <c r="R148">
        <v>0.77800000000000002</v>
      </c>
      <c r="S148">
        <v>3.5</v>
      </c>
      <c r="T148">
        <v>1.3</v>
      </c>
      <c r="U148">
        <v>0.4</v>
      </c>
      <c r="V148">
        <v>0.4</v>
      </c>
      <c r="W148">
        <v>0.8</v>
      </c>
      <c r="X148">
        <v>2</v>
      </c>
      <c r="Y148">
        <v>8.1</v>
      </c>
      <c r="Z148">
        <v>0</v>
      </c>
      <c r="AA148">
        <v>0.1</v>
      </c>
      <c r="AB148">
        <v>14.2</v>
      </c>
      <c r="AC148">
        <v>0.11600000000000001</v>
      </c>
    </row>
    <row r="149" spans="1:29" x14ac:dyDescent="0.35">
      <c r="A149" s="3" t="s">
        <v>383</v>
      </c>
      <c r="B149" s="1" t="s">
        <v>2</v>
      </c>
      <c r="C149" s="1" t="s">
        <v>35</v>
      </c>
      <c r="D149" s="1" t="s">
        <v>23</v>
      </c>
      <c r="E149" s="1" t="s">
        <v>20</v>
      </c>
      <c r="F149" s="4">
        <v>-0.1</v>
      </c>
      <c r="G149">
        <v>23</v>
      </c>
      <c r="H149">
        <v>36</v>
      </c>
      <c r="I149">
        <v>13.9</v>
      </c>
      <c r="J149">
        <v>3.5</v>
      </c>
      <c r="K149">
        <v>0.46800000000000003</v>
      </c>
      <c r="L149">
        <v>1.1000000000000001</v>
      </c>
      <c r="M149">
        <v>0.34100000000000003</v>
      </c>
      <c r="N149">
        <v>2.4</v>
      </c>
      <c r="O149">
        <v>0.52900000000000003</v>
      </c>
      <c r="P149">
        <v>0.52400000000000002</v>
      </c>
      <c r="Q149">
        <v>0.6</v>
      </c>
      <c r="R149">
        <v>0.81799999999999995</v>
      </c>
      <c r="S149">
        <v>2.6</v>
      </c>
      <c r="T149">
        <v>1.2</v>
      </c>
      <c r="U149">
        <v>0.6</v>
      </c>
      <c r="V149">
        <v>0.1</v>
      </c>
      <c r="W149">
        <v>0.8</v>
      </c>
      <c r="X149">
        <v>0.9</v>
      </c>
      <c r="Y149">
        <v>4.2</v>
      </c>
      <c r="Z149">
        <v>2</v>
      </c>
      <c r="AA149">
        <v>-2.7</v>
      </c>
      <c r="AB149">
        <v>11</v>
      </c>
      <c r="AC149">
        <v>6.3E-2</v>
      </c>
    </row>
    <row r="150" spans="1:29" x14ac:dyDescent="0.35">
      <c r="A150" s="3" t="s">
        <v>136</v>
      </c>
      <c r="B150" s="1" t="s">
        <v>2</v>
      </c>
      <c r="C150" s="1" t="s">
        <v>597</v>
      </c>
      <c r="D150" s="1" t="s">
        <v>23</v>
      </c>
      <c r="E150" s="1" t="s">
        <v>28</v>
      </c>
      <c r="F150" s="4">
        <v>0.1</v>
      </c>
      <c r="G150">
        <v>34</v>
      </c>
      <c r="H150">
        <v>68</v>
      </c>
      <c r="I150">
        <v>15.6</v>
      </c>
      <c r="J150">
        <v>5</v>
      </c>
      <c r="K150">
        <v>0.47799999999999998</v>
      </c>
      <c r="L150">
        <v>2.7</v>
      </c>
      <c r="M150">
        <v>0.45600000000000002</v>
      </c>
      <c r="N150">
        <v>2.4</v>
      </c>
      <c r="O150">
        <v>0.503</v>
      </c>
      <c r="P150">
        <v>0.59899999999999998</v>
      </c>
      <c r="Q150">
        <v>0.6</v>
      </c>
      <c r="R150">
        <v>0.84599999999999997</v>
      </c>
      <c r="S150">
        <v>1.7</v>
      </c>
      <c r="T150">
        <v>0.9</v>
      </c>
      <c r="U150">
        <v>0.4</v>
      </c>
      <c r="V150">
        <v>0.1</v>
      </c>
      <c r="W150">
        <v>0.5</v>
      </c>
      <c r="X150">
        <v>0.9</v>
      </c>
      <c r="Y150">
        <v>6.5</v>
      </c>
      <c r="Z150">
        <v>11</v>
      </c>
      <c r="AA150">
        <v>-1.7</v>
      </c>
      <c r="AB150">
        <v>12.2</v>
      </c>
      <c r="AC150">
        <v>0.08</v>
      </c>
    </row>
    <row r="151" spans="1:29" x14ac:dyDescent="0.35">
      <c r="A151" s="3" t="s">
        <v>243</v>
      </c>
      <c r="B151" s="1" t="s">
        <v>18</v>
      </c>
      <c r="C151" s="1" t="s">
        <v>597</v>
      </c>
      <c r="D151" s="1" t="s">
        <v>33</v>
      </c>
      <c r="E151" s="1" t="s">
        <v>20</v>
      </c>
      <c r="F151" s="4">
        <v>1.3</v>
      </c>
      <c r="G151">
        <v>38</v>
      </c>
      <c r="H151">
        <v>60</v>
      </c>
      <c r="I151">
        <v>27.7</v>
      </c>
      <c r="J151">
        <v>7.7</v>
      </c>
      <c r="K151">
        <v>0.42299999999999999</v>
      </c>
      <c r="L151">
        <v>5.2</v>
      </c>
      <c r="M151">
        <v>0.36299999999999999</v>
      </c>
      <c r="N151">
        <v>2.5</v>
      </c>
      <c r="O151">
        <v>0.55100000000000005</v>
      </c>
      <c r="P151">
        <v>0.54700000000000004</v>
      </c>
      <c r="Q151">
        <v>0.6</v>
      </c>
      <c r="R151">
        <v>0.89500000000000002</v>
      </c>
      <c r="S151">
        <v>6.2</v>
      </c>
      <c r="T151">
        <v>2.1</v>
      </c>
      <c r="U151">
        <v>0.6</v>
      </c>
      <c r="V151">
        <v>0.9</v>
      </c>
      <c r="W151">
        <v>0.8</v>
      </c>
      <c r="X151">
        <v>1.4</v>
      </c>
      <c r="Y151">
        <v>9</v>
      </c>
      <c r="Z151">
        <v>17</v>
      </c>
      <c r="AA151">
        <v>1.2</v>
      </c>
      <c r="AB151">
        <v>12.9</v>
      </c>
      <c r="AC151">
        <v>0.129</v>
      </c>
    </row>
    <row r="152" spans="1:29" x14ac:dyDescent="0.35">
      <c r="A152" s="3" t="s">
        <v>155</v>
      </c>
      <c r="B152" s="1" t="s">
        <v>26</v>
      </c>
      <c r="C152" s="1" t="s">
        <v>598</v>
      </c>
      <c r="D152" s="1" t="s">
        <v>19</v>
      </c>
      <c r="E152" s="1" t="s">
        <v>28</v>
      </c>
      <c r="F152" s="4">
        <v>1.2</v>
      </c>
      <c r="G152">
        <v>25</v>
      </c>
      <c r="H152">
        <v>71</v>
      </c>
      <c r="I152">
        <v>29.2</v>
      </c>
      <c r="J152">
        <v>8.4</v>
      </c>
      <c r="K152">
        <v>0.435</v>
      </c>
      <c r="L152">
        <v>5.8</v>
      </c>
      <c r="M152">
        <v>0.41199999999999998</v>
      </c>
      <c r="N152">
        <v>2.5</v>
      </c>
      <c r="O152">
        <v>0.48899999999999999</v>
      </c>
      <c r="P152">
        <v>0.57799999999999996</v>
      </c>
      <c r="Q152">
        <v>0.6</v>
      </c>
      <c r="R152">
        <v>0.71699999999999997</v>
      </c>
      <c r="S152">
        <v>4.0999999999999996</v>
      </c>
      <c r="T152">
        <v>1.6</v>
      </c>
      <c r="U152">
        <v>1.1000000000000001</v>
      </c>
      <c r="V152">
        <v>0.5</v>
      </c>
      <c r="W152">
        <v>0.7</v>
      </c>
      <c r="X152">
        <v>2.9</v>
      </c>
      <c r="Y152">
        <v>10.1</v>
      </c>
      <c r="Z152">
        <v>5</v>
      </c>
      <c r="AA152">
        <v>0.2</v>
      </c>
      <c r="AB152">
        <v>11.3</v>
      </c>
      <c r="AC152">
        <v>0.129</v>
      </c>
    </row>
    <row r="153" spans="1:29" x14ac:dyDescent="0.35">
      <c r="A153" s="3" t="s">
        <v>579</v>
      </c>
      <c r="B153" s="1" t="s">
        <v>26</v>
      </c>
      <c r="C153" s="1" t="s">
        <v>598</v>
      </c>
      <c r="D153" s="1" t="s">
        <v>23</v>
      </c>
      <c r="E153" s="1" t="s">
        <v>28</v>
      </c>
      <c r="F153" s="4">
        <v>0.7</v>
      </c>
      <c r="G153">
        <v>30</v>
      </c>
      <c r="H153">
        <v>69</v>
      </c>
      <c r="I153">
        <v>16.399999999999999</v>
      </c>
      <c r="J153">
        <v>5.0999999999999996</v>
      </c>
      <c r="K153">
        <v>0.48299999999999998</v>
      </c>
      <c r="L153">
        <v>2.5</v>
      </c>
      <c r="M153">
        <v>0.38600000000000001</v>
      </c>
      <c r="N153">
        <v>2.7</v>
      </c>
      <c r="O153">
        <v>0.57399999999999995</v>
      </c>
      <c r="P153">
        <v>0.57599999999999996</v>
      </c>
      <c r="Q153">
        <v>0.6</v>
      </c>
      <c r="R153">
        <v>0.71799999999999997</v>
      </c>
      <c r="S153">
        <v>3.5</v>
      </c>
      <c r="T153">
        <v>1.4</v>
      </c>
      <c r="U153">
        <v>0.6</v>
      </c>
      <c r="V153">
        <v>0.1</v>
      </c>
      <c r="W153">
        <v>0.6</v>
      </c>
      <c r="X153">
        <v>1.6</v>
      </c>
      <c r="Y153">
        <v>6.3</v>
      </c>
      <c r="Z153">
        <v>6</v>
      </c>
      <c r="AA153">
        <v>0.6</v>
      </c>
      <c r="AB153">
        <v>13.7</v>
      </c>
      <c r="AC153">
        <v>0.151</v>
      </c>
    </row>
    <row r="154" spans="1:29" x14ac:dyDescent="0.35">
      <c r="A154" s="3" t="s">
        <v>269</v>
      </c>
      <c r="B154" s="1" t="s">
        <v>2</v>
      </c>
      <c r="C154" s="1" t="s">
        <v>597</v>
      </c>
      <c r="D154" s="1" t="s">
        <v>23</v>
      </c>
      <c r="E154" s="1" t="s">
        <v>28</v>
      </c>
      <c r="F154" s="4">
        <v>-0.7</v>
      </c>
      <c r="G154">
        <v>27</v>
      </c>
      <c r="H154">
        <v>47</v>
      </c>
      <c r="I154">
        <v>22.8</v>
      </c>
      <c r="J154">
        <v>6.2</v>
      </c>
      <c r="K154">
        <v>0.40500000000000003</v>
      </c>
      <c r="L154">
        <v>3.5</v>
      </c>
      <c r="M154">
        <v>0.33500000000000002</v>
      </c>
      <c r="N154">
        <v>2.7</v>
      </c>
      <c r="O154">
        <v>0.496</v>
      </c>
      <c r="P154">
        <v>0.5</v>
      </c>
      <c r="Q154">
        <v>0.6</v>
      </c>
      <c r="R154">
        <v>0.8</v>
      </c>
      <c r="S154">
        <v>2.9</v>
      </c>
      <c r="T154">
        <v>1.1000000000000001</v>
      </c>
      <c r="U154">
        <v>0.6</v>
      </c>
      <c r="V154">
        <v>0.5</v>
      </c>
      <c r="W154">
        <v>0.7</v>
      </c>
      <c r="X154">
        <v>2.1</v>
      </c>
      <c r="Y154">
        <v>6.7</v>
      </c>
      <c r="Z154">
        <v>5</v>
      </c>
      <c r="AA154">
        <v>-4.7</v>
      </c>
      <c r="AB154">
        <v>7.9</v>
      </c>
      <c r="AC154">
        <v>2.7E-2</v>
      </c>
    </row>
    <row r="155" spans="1:29" x14ac:dyDescent="0.35">
      <c r="A155" s="3" t="s">
        <v>341</v>
      </c>
      <c r="B155" s="1" t="s">
        <v>26</v>
      </c>
      <c r="C155" s="1" t="s">
        <v>35</v>
      </c>
      <c r="D155" s="1" t="s">
        <v>23</v>
      </c>
      <c r="E155" s="1" t="s">
        <v>28</v>
      </c>
      <c r="F155" s="4">
        <v>-0.3</v>
      </c>
      <c r="G155">
        <v>21</v>
      </c>
      <c r="H155">
        <v>16</v>
      </c>
      <c r="I155">
        <v>14.9</v>
      </c>
      <c r="J155">
        <v>4.5999999999999996</v>
      </c>
      <c r="K155">
        <v>0.41899999999999998</v>
      </c>
      <c r="L155">
        <v>1.4</v>
      </c>
      <c r="M155">
        <v>0.30399999999999999</v>
      </c>
      <c r="N155">
        <v>3.2</v>
      </c>
      <c r="O155">
        <v>0.47099999999999997</v>
      </c>
      <c r="P155">
        <v>0.46600000000000003</v>
      </c>
      <c r="Q155">
        <v>0.6</v>
      </c>
      <c r="R155">
        <v>0.9</v>
      </c>
      <c r="S155">
        <v>2.8</v>
      </c>
      <c r="T155">
        <v>1.1000000000000001</v>
      </c>
      <c r="U155">
        <v>0.6</v>
      </c>
      <c r="V155">
        <v>0</v>
      </c>
      <c r="W155">
        <v>0.8</v>
      </c>
      <c r="X155">
        <v>0.9</v>
      </c>
      <c r="Y155">
        <v>4.9000000000000004</v>
      </c>
      <c r="Z155">
        <v>1</v>
      </c>
      <c r="AA155">
        <v>-6.3</v>
      </c>
      <c r="AB155">
        <v>9.1</v>
      </c>
      <c r="AC155">
        <v>-4.0000000000000001E-3</v>
      </c>
    </row>
    <row r="156" spans="1:29" x14ac:dyDescent="0.35">
      <c r="A156" s="3" t="s">
        <v>416</v>
      </c>
      <c r="B156" s="1" t="s">
        <v>2</v>
      </c>
      <c r="C156" s="1" t="s">
        <v>598</v>
      </c>
      <c r="D156" s="1" t="s">
        <v>23</v>
      </c>
      <c r="E156" s="1" t="s">
        <v>28</v>
      </c>
      <c r="F156" s="4">
        <v>0.8</v>
      </c>
      <c r="G156">
        <v>32</v>
      </c>
      <c r="H156">
        <v>62</v>
      </c>
      <c r="I156">
        <v>15</v>
      </c>
      <c r="J156">
        <v>4.8</v>
      </c>
      <c r="K156">
        <v>0.57399999999999995</v>
      </c>
      <c r="L156">
        <v>1.5</v>
      </c>
      <c r="M156">
        <v>0.32600000000000001</v>
      </c>
      <c r="N156">
        <v>3.3</v>
      </c>
      <c r="O156">
        <v>0.69</v>
      </c>
      <c r="P156">
        <v>0.626</v>
      </c>
      <c r="Q156">
        <v>0.6</v>
      </c>
      <c r="R156">
        <v>0.71099999999999997</v>
      </c>
      <c r="S156">
        <v>3</v>
      </c>
      <c r="T156">
        <v>1.3</v>
      </c>
      <c r="U156">
        <v>0.8</v>
      </c>
      <c r="V156">
        <v>0.3</v>
      </c>
      <c r="W156">
        <v>0.6</v>
      </c>
      <c r="X156">
        <v>1.7</v>
      </c>
      <c r="Y156">
        <v>6.5</v>
      </c>
      <c r="Z156">
        <v>8</v>
      </c>
      <c r="AA156">
        <v>1.4</v>
      </c>
      <c r="AB156">
        <v>16.2</v>
      </c>
      <c r="AC156">
        <v>0.155</v>
      </c>
    </row>
    <row r="157" spans="1:29" x14ac:dyDescent="0.35">
      <c r="A157" s="3" t="s">
        <v>487</v>
      </c>
      <c r="B157" s="1" t="s">
        <v>2</v>
      </c>
      <c r="C157" s="1" t="s">
        <v>35</v>
      </c>
      <c r="D157" s="1" t="s">
        <v>19</v>
      </c>
      <c r="E157" s="1" t="s">
        <v>20</v>
      </c>
      <c r="F157" s="4">
        <v>0.4</v>
      </c>
      <c r="G157">
        <v>28</v>
      </c>
      <c r="H157">
        <v>51</v>
      </c>
      <c r="I157">
        <v>22</v>
      </c>
      <c r="J157">
        <v>4.4000000000000004</v>
      </c>
      <c r="K157">
        <v>0.52</v>
      </c>
      <c r="L157">
        <v>0</v>
      </c>
      <c r="M157" t="s">
        <v>599</v>
      </c>
      <c r="N157">
        <v>4.4000000000000004</v>
      </c>
      <c r="O157">
        <v>0.52</v>
      </c>
      <c r="P157">
        <v>0.52</v>
      </c>
      <c r="Q157">
        <v>0.6</v>
      </c>
      <c r="R157">
        <v>0.72699999999999998</v>
      </c>
      <c r="S157">
        <v>4.7</v>
      </c>
      <c r="T157">
        <v>5.6</v>
      </c>
      <c r="U157">
        <v>0.7</v>
      </c>
      <c r="V157">
        <v>0.5</v>
      </c>
      <c r="W157">
        <v>2</v>
      </c>
      <c r="X157">
        <v>2.1</v>
      </c>
      <c r="Y157">
        <v>5</v>
      </c>
      <c r="Z157">
        <v>8</v>
      </c>
      <c r="AA157">
        <v>-0.5</v>
      </c>
      <c r="AB157">
        <v>12.4</v>
      </c>
      <c r="AC157">
        <v>7.8E-2</v>
      </c>
    </row>
    <row r="158" spans="1:29" x14ac:dyDescent="0.35">
      <c r="A158" s="3" t="s">
        <v>158</v>
      </c>
      <c r="B158" s="1" t="s">
        <v>2</v>
      </c>
      <c r="C158" s="1" t="s">
        <v>598</v>
      </c>
      <c r="D158" s="1" t="s">
        <v>23</v>
      </c>
      <c r="E158" s="1" t="s">
        <v>28</v>
      </c>
      <c r="F158" s="4">
        <v>0</v>
      </c>
      <c r="G158">
        <v>28</v>
      </c>
      <c r="H158">
        <v>9</v>
      </c>
      <c r="I158">
        <v>3.9</v>
      </c>
      <c r="J158">
        <v>0.3</v>
      </c>
      <c r="K158">
        <v>0.66700000000000004</v>
      </c>
      <c r="L158">
        <v>0.3</v>
      </c>
      <c r="M158">
        <v>0.66700000000000004</v>
      </c>
      <c r="N158">
        <v>0</v>
      </c>
      <c r="O158" t="s">
        <v>599</v>
      </c>
      <c r="P158">
        <v>1</v>
      </c>
      <c r="Q158">
        <v>0.7</v>
      </c>
      <c r="R158">
        <v>0.16700000000000001</v>
      </c>
      <c r="S158">
        <v>0.6</v>
      </c>
      <c r="T158">
        <v>0.6</v>
      </c>
      <c r="U158">
        <v>0.1</v>
      </c>
      <c r="V158">
        <v>0</v>
      </c>
      <c r="W158">
        <v>0.1</v>
      </c>
      <c r="X158">
        <v>0.3</v>
      </c>
      <c r="Y158">
        <v>0.8</v>
      </c>
      <c r="Z158">
        <v>6</v>
      </c>
      <c r="AA158">
        <v>0.7</v>
      </c>
      <c r="AB158">
        <v>9.5</v>
      </c>
      <c r="AC158">
        <v>0.107</v>
      </c>
    </row>
    <row r="159" spans="1:29" x14ac:dyDescent="0.35">
      <c r="A159" s="3" t="s">
        <v>399</v>
      </c>
      <c r="B159" s="1" t="s">
        <v>2</v>
      </c>
      <c r="C159" s="1" t="s">
        <v>598</v>
      </c>
      <c r="D159" s="1" t="s">
        <v>23</v>
      </c>
      <c r="E159" s="1" t="s">
        <v>28</v>
      </c>
      <c r="F159" s="4">
        <v>0</v>
      </c>
      <c r="G159">
        <v>22</v>
      </c>
      <c r="H159">
        <v>3</v>
      </c>
      <c r="I159">
        <v>4.3</v>
      </c>
      <c r="J159">
        <v>0.3</v>
      </c>
      <c r="K159">
        <v>0</v>
      </c>
      <c r="L159">
        <v>0.3</v>
      </c>
      <c r="M159">
        <v>0</v>
      </c>
      <c r="N159">
        <v>0</v>
      </c>
      <c r="O159" t="s">
        <v>599</v>
      </c>
      <c r="P159">
        <v>0</v>
      </c>
      <c r="Q159">
        <v>0.7</v>
      </c>
      <c r="R159">
        <v>0.5</v>
      </c>
      <c r="S159">
        <v>1.3</v>
      </c>
      <c r="T159">
        <v>1</v>
      </c>
      <c r="U159">
        <v>0</v>
      </c>
      <c r="V159">
        <v>0</v>
      </c>
      <c r="W159">
        <v>1.3</v>
      </c>
      <c r="X159">
        <v>0.3</v>
      </c>
      <c r="Y159">
        <v>0.3</v>
      </c>
      <c r="Z159">
        <v>3</v>
      </c>
      <c r="AA159">
        <v>-16.2</v>
      </c>
      <c r="AB159">
        <v>-7</v>
      </c>
      <c r="AC159">
        <v>-0.32700000000000001</v>
      </c>
    </row>
    <row r="160" spans="1:29" x14ac:dyDescent="0.35">
      <c r="A160" s="3" t="s">
        <v>322</v>
      </c>
      <c r="B160" s="1" t="s">
        <v>26</v>
      </c>
      <c r="C160" s="1" t="s">
        <v>598</v>
      </c>
      <c r="D160" s="1" t="s">
        <v>19</v>
      </c>
      <c r="E160" s="1" t="s">
        <v>28</v>
      </c>
      <c r="F160" s="4">
        <v>-0.1</v>
      </c>
      <c r="G160">
        <v>25</v>
      </c>
      <c r="H160">
        <v>6</v>
      </c>
      <c r="I160">
        <v>3.5</v>
      </c>
      <c r="J160">
        <v>0.3</v>
      </c>
      <c r="K160">
        <v>0</v>
      </c>
      <c r="L160">
        <v>0.2</v>
      </c>
      <c r="M160">
        <v>0</v>
      </c>
      <c r="N160">
        <v>0.2</v>
      </c>
      <c r="O160">
        <v>0</v>
      </c>
      <c r="P160">
        <v>0</v>
      </c>
      <c r="Q160">
        <v>0.7</v>
      </c>
      <c r="R160">
        <v>0.5</v>
      </c>
      <c r="S160">
        <v>0.5</v>
      </c>
      <c r="T160">
        <v>0.2</v>
      </c>
      <c r="U160">
        <v>0</v>
      </c>
      <c r="V160">
        <v>0</v>
      </c>
      <c r="W160">
        <v>0.2</v>
      </c>
      <c r="X160">
        <v>0.7</v>
      </c>
      <c r="Y160">
        <v>0.3</v>
      </c>
      <c r="Z160">
        <v>0</v>
      </c>
      <c r="AA160">
        <v>-12.4</v>
      </c>
      <c r="AB160">
        <v>-2.2999999999999998</v>
      </c>
      <c r="AC160">
        <v>-5.1999999999999998E-2</v>
      </c>
    </row>
    <row r="161" spans="1:29" x14ac:dyDescent="0.35">
      <c r="A161" s="3" t="s">
        <v>401</v>
      </c>
      <c r="B161" s="1" t="s">
        <v>26</v>
      </c>
      <c r="C161" s="1" t="s">
        <v>597</v>
      </c>
      <c r="D161" s="1" t="s">
        <v>23</v>
      </c>
      <c r="E161" s="1" t="s">
        <v>28</v>
      </c>
      <c r="F161" s="4">
        <v>0</v>
      </c>
      <c r="G161">
        <v>24</v>
      </c>
      <c r="H161">
        <v>3</v>
      </c>
      <c r="I161">
        <v>11.7</v>
      </c>
      <c r="J161">
        <v>3</v>
      </c>
      <c r="K161">
        <v>0.222</v>
      </c>
      <c r="L161">
        <v>2.2999999999999998</v>
      </c>
      <c r="M161">
        <v>0.28599999999999998</v>
      </c>
      <c r="N161">
        <v>0.7</v>
      </c>
      <c r="O161">
        <v>0</v>
      </c>
      <c r="P161">
        <v>0.33300000000000002</v>
      </c>
      <c r="Q161">
        <v>0.7</v>
      </c>
      <c r="R161">
        <v>0.5</v>
      </c>
      <c r="S161">
        <v>3</v>
      </c>
      <c r="T161">
        <v>0</v>
      </c>
      <c r="U161">
        <v>0.7</v>
      </c>
      <c r="V161">
        <v>0.3</v>
      </c>
      <c r="W161">
        <v>0</v>
      </c>
      <c r="X161">
        <v>0</v>
      </c>
      <c r="Y161">
        <v>2.2999999999999998</v>
      </c>
      <c r="Z161">
        <v>1</v>
      </c>
      <c r="AA161">
        <v>-1.9</v>
      </c>
      <c r="AB161">
        <v>8.5</v>
      </c>
      <c r="AC161">
        <v>4.9000000000000002E-2</v>
      </c>
    </row>
    <row r="162" spans="1:29" x14ac:dyDescent="0.35">
      <c r="A162" s="3" t="s">
        <v>133</v>
      </c>
      <c r="B162" s="1" t="s">
        <v>26</v>
      </c>
      <c r="C162" s="1" t="s">
        <v>598</v>
      </c>
      <c r="D162" s="1" t="s">
        <v>23</v>
      </c>
      <c r="E162" s="1" t="s">
        <v>50</v>
      </c>
      <c r="F162" s="4">
        <v>-0.1</v>
      </c>
      <c r="G162">
        <v>34</v>
      </c>
      <c r="H162">
        <v>9</v>
      </c>
      <c r="I162">
        <v>11.4</v>
      </c>
      <c r="J162">
        <v>2.4</v>
      </c>
      <c r="K162">
        <v>0.318</v>
      </c>
      <c r="L162">
        <v>1.7</v>
      </c>
      <c r="M162">
        <v>0.26700000000000002</v>
      </c>
      <c r="N162">
        <v>0.8</v>
      </c>
      <c r="O162">
        <v>0.42899999999999999</v>
      </c>
      <c r="P162">
        <v>0.40899999999999997</v>
      </c>
      <c r="Q162">
        <v>0.7</v>
      </c>
      <c r="R162">
        <v>0.83299999999999996</v>
      </c>
      <c r="S162">
        <v>2.2000000000000002</v>
      </c>
      <c r="T162">
        <v>0.7</v>
      </c>
      <c r="U162">
        <v>0.3</v>
      </c>
      <c r="V162">
        <v>0</v>
      </c>
      <c r="W162">
        <v>0.4</v>
      </c>
      <c r="X162">
        <v>1.1000000000000001</v>
      </c>
      <c r="Y162">
        <v>2.6</v>
      </c>
      <c r="Z162">
        <v>12</v>
      </c>
      <c r="AA162">
        <v>-4.3</v>
      </c>
      <c r="AB162">
        <v>6.6</v>
      </c>
      <c r="AC162">
        <v>2.5999999999999999E-2</v>
      </c>
    </row>
    <row r="163" spans="1:29" x14ac:dyDescent="0.35">
      <c r="A163" s="3" t="s">
        <v>237</v>
      </c>
      <c r="B163" s="1" t="s">
        <v>2</v>
      </c>
      <c r="C163" s="1" t="s">
        <v>598</v>
      </c>
      <c r="D163" s="1" t="s">
        <v>23</v>
      </c>
      <c r="E163" s="1" t="s">
        <v>20</v>
      </c>
      <c r="F163" s="4">
        <v>0.3</v>
      </c>
      <c r="G163">
        <v>28</v>
      </c>
      <c r="H163">
        <v>62</v>
      </c>
      <c r="I163">
        <v>12.8</v>
      </c>
      <c r="J163">
        <v>4.3</v>
      </c>
      <c r="K163">
        <v>0.437</v>
      </c>
      <c r="L163">
        <v>2.9</v>
      </c>
      <c r="M163">
        <v>0.39800000000000002</v>
      </c>
      <c r="N163">
        <v>1.4</v>
      </c>
      <c r="O163">
        <v>0.51700000000000002</v>
      </c>
      <c r="P163">
        <v>0.57099999999999995</v>
      </c>
      <c r="Q163">
        <v>0.7</v>
      </c>
      <c r="R163">
        <v>0.82899999999999996</v>
      </c>
      <c r="S163">
        <v>1.3</v>
      </c>
      <c r="T163">
        <v>1.3</v>
      </c>
      <c r="U163">
        <v>0.3</v>
      </c>
      <c r="V163">
        <v>0.2</v>
      </c>
      <c r="W163">
        <v>0.6</v>
      </c>
      <c r="X163">
        <v>1</v>
      </c>
      <c r="Y163">
        <v>5.5</v>
      </c>
      <c r="Z163">
        <v>6</v>
      </c>
      <c r="AA163">
        <v>-0.2</v>
      </c>
      <c r="AB163">
        <v>12.2</v>
      </c>
      <c r="AC163">
        <v>0.122</v>
      </c>
    </row>
    <row r="164" spans="1:29" x14ac:dyDescent="0.35">
      <c r="A164" s="3" t="s">
        <v>507</v>
      </c>
      <c r="B164" s="1" t="s">
        <v>26</v>
      </c>
      <c r="C164" s="1" t="s">
        <v>597</v>
      </c>
      <c r="D164" s="1" t="s">
        <v>23</v>
      </c>
      <c r="E164" s="1" t="s">
        <v>28</v>
      </c>
      <c r="F164" s="4">
        <v>1.1000000000000001</v>
      </c>
      <c r="G164">
        <v>28</v>
      </c>
      <c r="H164">
        <v>50</v>
      </c>
      <c r="I164">
        <v>25.5</v>
      </c>
      <c r="J164">
        <v>7.5</v>
      </c>
      <c r="K164">
        <v>0.442</v>
      </c>
      <c r="L164">
        <v>5.9</v>
      </c>
      <c r="M164">
        <v>0.38600000000000001</v>
      </c>
      <c r="N164">
        <v>1.6</v>
      </c>
      <c r="O164">
        <v>0.65</v>
      </c>
      <c r="P164">
        <v>0.59399999999999997</v>
      </c>
      <c r="Q164">
        <v>0.7</v>
      </c>
      <c r="R164">
        <v>0.82399999999999995</v>
      </c>
      <c r="S164">
        <v>4.3</v>
      </c>
      <c r="T164">
        <v>3.2</v>
      </c>
      <c r="U164">
        <v>0.5</v>
      </c>
      <c r="V164">
        <v>0.2</v>
      </c>
      <c r="W164">
        <v>1.1000000000000001</v>
      </c>
      <c r="X164">
        <v>2.1</v>
      </c>
      <c r="Y164">
        <v>9.4</v>
      </c>
      <c r="Z164">
        <v>5</v>
      </c>
      <c r="AA164">
        <v>1.3</v>
      </c>
      <c r="AB164">
        <v>12.6</v>
      </c>
      <c r="AC164">
        <v>0.13</v>
      </c>
    </row>
    <row r="165" spans="1:29" x14ac:dyDescent="0.35">
      <c r="A165" s="3" t="s">
        <v>181</v>
      </c>
      <c r="B165" s="1" t="s">
        <v>26</v>
      </c>
      <c r="C165" s="1" t="s">
        <v>35</v>
      </c>
      <c r="D165" s="1" t="s">
        <v>23</v>
      </c>
      <c r="E165" s="1" t="s">
        <v>28</v>
      </c>
      <c r="F165" s="4">
        <v>0.5</v>
      </c>
      <c r="G165">
        <v>31</v>
      </c>
      <c r="H165">
        <v>63</v>
      </c>
      <c r="I165">
        <v>28.9</v>
      </c>
      <c r="J165">
        <v>6.9</v>
      </c>
      <c r="K165">
        <v>0.44800000000000001</v>
      </c>
      <c r="L165">
        <v>5</v>
      </c>
      <c r="M165">
        <v>0.41099999999999998</v>
      </c>
      <c r="N165">
        <v>1.9</v>
      </c>
      <c r="O165">
        <v>0.54500000000000004</v>
      </c>
      <c r="P165">
        <v>0.59699999999999998</v>
      </c>
      <c r="Q165">
        <v>0.7</v>
      </c>
      <c r="R165">
        <v>0.66700000000000004</v>
      </c>
      <c r="S165">
        <v>3.9</v>
      </c>
      <c r="T165">
        <v>1.4</v>
      </c>
      <c r="U165">
        <v>0.9</v>
      </c>
      <c r="V165">
        <v>0.4</v>
      </c>
      <c r="W165">
        <v>0.9</v>
      </c>
      <c r="X165">
        <v>2.2000000000000002</v>
      </c>
      <c r="Y165">
        <v>8.6999999999999993</v>
      </c>
      <c r="Z165">
        <v>8</v>
      </c>
      <c r="AA165">
        <v>-1</v>
      </c>
      <c r="AB165">
        <v>10.1</v>
      </c>
      <c r="AC165">
        <v>7.8E-2</v>
      </c>
    </row>
    <row r="166" spans="1:29" x14ac:dyDescent="0.35">
      <c r="A166" s="3" t="s">
        <v>201</v>
      </c>
      <c r="B166" s="1" t="s">
        <v>2</v>
      </c>
      <c r="C166" s="1" t="s">
        <v>598</v>
      </c>
      <c r="D166" s="1" t="s">
        <v>23</v>
      </c>
      <c r="E166" s="1" t="s">
        <v>28</v>
      </c>
      <c r="F166" s="4">
        <v>0.5</v>
      </c>
      <c r="G166">
        <v>25</v>
      </c>
      <c r="H166">
        <v>33</v>
      </c>
      <c r="I166">
        <v>14</v>
      </c>
      <c r="J166">
        <v>4.8</v>
      </c>
      <c r="K166">
        <v>0.43</v>
      </c>
      <c r="L166">
        <v>2.7</v>
      </c>
      <c r="M166">
        <v>0.433</v>
      </c>
      <c r="N166">
        <v>2.1</v>
      </c>
      <c r="O166">
        <v>0.42599999999999999</v>
      </c>
      <c r="P166">
        <v>0.55400000000000005</v>
      </c>
      <c r="Q166">
        <v>0.7</v>
      </c>
      <c r="R166">
        <v>0.86399999999999999</v>
      </c>
      <c r="S166">
        <v>2.4</v>
      </c>
      <c r="T166">
        <v>2.4</v>
      </c>
      <c r="U166">
        <v>0.6</v>
      </c>
      <c r="V166">
        <v>0.2</v>
      </c>
      <c r="W166">
        <v>0.5</v>
      </c>
      <c r="X166">
        <v>0.9</v>
      </c>
      <c r="Y166">
        <v>5.9</v>
      </c>
      <c r="Z166">
        <v>2</v>
      </c>
      <c r="AA166">
        <v>2.5</v>
      </c>
      <c r="AB166">
        <v>16.8</v>
      </c>
      <c r="AC166">
        <v>0.13100000000000001</v>
      </c>
    </row>
    <row r="167" spans="1:29" x14ac:dyDescent="0.35">
      <c r="A167" s="3" t="s">
        <v>75</v>
      </c>
      <c r="B167" s="1" t="s">
        <v>2</v>
      </c>
      <c r="C167" s="1" t="s">
        <v>598</v>
      </c>
      <c r="D167" s="1" t="s">
        <v>23</v>
      </c>
      <c r="E167" s="1" t="s">
        <v>20</v>
      </c>
      <c r="F167" s="4">
        <v>-0.1</v>
      </c>
      <c r="G167">
        <v>21</v>
      </c>
      <c r="H167">
        <v>47</v>
      </c>
      <c r="I167">
        <v>9.1</v>
      </c>
      <c r="J167">
        <v>4</v>
      </c>
      <c r="K167">
        <v>0.45800000000000002</v>
      </c>
      <c r="L167">
        <v>1.8</v>
      </c>
      <c r="M167">
        <v>0.40500000000000003</v>
      </c>
      <c r="N167">
        <v>2.2999999999999998</v>
      </c>
      <c r="O167">
        <v>0.5</v>
      </c>
      <c r="P167">
        <v>0.54700000000000004</v>
      </c>
      <c r="Q167">
        <v>0.7</v>
      </c>
      <c r="R167">
        <v>0.81799999999999995</v>
      </c>
      <c r="S167">
        <v>1.1000000000000001</v>
      </c>
      <c r="T167">
        <v>0.8</v>
      </c>
      <c r="U167">
        <v>0.2</v>
      </c>
      <c r="V167">
        <v>0</v>
      </c>
      <c r="W167">
        <v>0.7</v>
      </c>
      <c r="X167">
        <v>0.6</v>
      </c>
      <c r="Y167">
        <v>5</v>
      </c>
      <c r="Z167">
        <v>2</v>
      </c>
      <c r="AA167">
        <v>-3.2</v>
      </c>
      <c r="AB167">
        <v>12</v>
      </c>
      <c r="AC167">
        <v>7.0000000000000001E-3</v>
      </c>
    </row>
    <row r="168" spans="1:29" x14ac:dyDescent="0.35">
      <c r="A168" s="3" t="s">
        <v>439</v>
      </c>
      <c r="B168" s="1" t="s">
        <v>2</v>
      </c>
      <c r="C168" s="1" t="s">
        <v>597</v>
      </c>
      <c r="D168" s="1" t="s">
        <v>23</v>
      </c>
      <c r="E168" s="1" t="s">
        <v>28</v>
      </c>
      <c r="F168" s="4">
        <v>0.2</v>
      </c>
      <c r="G168">
        <v>27</v>
      </c>
      <c r="H168">
        <v>31</v>
      </c>
      <c r="I168">
        <v>13.9</v>
      </c>
      <c r="J168">
        <v>4.7</v>
      </c>
      <c r="K168">
        <v>0.38100000000000001</v>
      </c>
      <c r="L168">
        <v>2.5</v>
      </c>
      <c r="M168">
        <v>0.28599999999999998</v>
      </c>
      <c r="N168">
        <v>2.2999999999999998</v>
      </c>
      <c r="O168">
        <v>0.48599999999999999</v>
      </c>
      <c r="P168">
        <v>0.45600000000000002</v>
      </c>
      <c r="Q168">
        <v>0.7</v>
      </c>
      <c r="R168">
        <v>0.85699999999999998</v>
      </c>
      <c r="S168">
        <v>1.7</v>
      </c>
      <c r="T168">
        <v>1.2</v>
      </c>
      <c r="U168">
        <v>1</v>
      </c>
      <c r="V168">
        <v>0.3</v>
      </c>
      <c r="W168">
        <v>0.7</v>
      </c>
      <c r="X168">
        <v>1.2</v>
      </c>
      <c r="Y168">
        <v>4.9000000000000004</v>
      </c>
      <c r="Z168">
        <v>3</v>
      </c>
      <c r="AA168">
        <v>-0.3</v>
      </c>
      <c r="AB168">
        <v>11.9</v>
      </c>
      <c r="AC168">
        <v>7.3999999999999996E-2</v>
      </c>
    </row>
    <row r="169" spans="1:29" x14ac:dyDescent="0.35">
      <c r="A169" s="3" t="s">
        <v>456</v>
      </c>
      <c r="B169" s="1" t="s">
        <v>26</v>
      </c>
      <c r="C169" s="1" t="s">
        <v>597</v>
      </c>
      <c r="D169" s="1" t="s">
        <v>23</v>
      </c>
      <c r="E169" s="1" t="s">
        <v>28</v>
      </c>
      <c r="F169" s="4">
        <v>0.1</v>
      </c>
      <c r="G169">
        <v>30</v>
      </c>
      <c r="H169">
        <v>74</v>
      </c>
      <c r="I169">
        <v>24.1</v>
      </c>
      <c r="J169">
        <v>9</v>
      </c>
      <c r="K169">
        <v>0.437</v>
      </c>
      <c r="L169">
        <v>6.5</v>
      </c>
      <c r="M169">
        <v>0.39300000000000002</v>
      </c>
      <c r="N169">
        <v>2.4</v>
      </c>
      <c r="O169">
        <v>0.55600000000000005</v>
      </c>
      <c r="P169">
        <v>0.58099999999999996</v>
      </c>
      <c r="Q169">
        <v>0.7</v>
      </c>
      <c r="R169">
        <v>0.88700000000000001</v>
      </c>
      <c r="S169">
        <v>2.2999999999999998</v>
      </c>
      <c r="T169">
        <v>2.4</v>
      </c>
      <c r="U169">
        <v>0.5</v>
      </c>
      <c r="V169">
        <v>0.1</v>
      </c>
      <c r="W169">
        <v>1.2</v>
      </c>
      <c r="X169">
        <v>1.8</v>
      </c>
      <c r="Y169">
        <v>11</v>
      </c>
      <c r="Z169">
        <v>6</v>
      </c>
      <c r="AA169">
        <v>-1.7</v>
      </c>
      <c r="AB169">
        <v>11.8</v>
      </c>
      <c r="AC169">
        <v>7.0999999999999994E-2</v>
      </c>
    </row>
    <row r="170" spans="1:29" x14ac:dyDescent="0.35">
      <c r="A170" s="3" t="s">
        <v>68</v>
      </c>
      <c r="B170" s="1" t="s">
        <v>26</v>
      </c>
      <c r="C170" s="1" t="s">
        <v>598</v>
      </c>
      <c r="D170" s="1" t="s">
        <v>23</v>
      </c>
      <c r="E170" s="1" t="s">
        <v>50</v>
      </c>
      <c r="F170" s="4">
        <v>0.3</v>
      </c>
      <c r="G170">
        <v>25</v>
      </c>
      <c r="H170">
        <v>36</v>
      </c>
      <c r="I170">
        <v>12.4</v>
      </c>
      <c r="J170">
        <v>5.0999999999999996</v>
      </c>
      <c r="K170">
        <v>0.52500000000000002</v>
      </c>
      <c r="L170">
        <v>2.6</v>
      </c>
      <c r="M170">
        <v>0.34399999999999997</v>
      </c>
      <c r="N170">
        <v>2.5</v>
      </c>
      <c r="O170">
        <v>0.71099999999999997</v>
      </c>
      <c r="P170">
        <v>0.61199999999999999</v>
      </c>
      <c r="Q170">
        <v>0.7</v>
      </c>
      <c r="R170">
        <v>0.76900000000000002</v>
      </c>
      <c r="S170">
        <v>2.9</v>
      </c>
      <c r="T170">
        <v>0.6</v>
      </c>
      <c r="U170">
        <v>0.3</v>
      </c>
      <c r="V170">
        <v>0.7</v>
      </c>
      <c r="W170">
        <v>0.6</v>
      </c>
      <c r="X170">
        <v>0.6</v>
      </c>
      <c r="Y170">
        <v>6.8</v>
      </c>
      <c r="Z170">
        <v>5</v>
      </c>
      <c r="AA170">
        <v>0.8</v>
      </c>
      <c r="AB170">
        <v>18.399999999999999</v>
      </c>
      <c r="AC170">
        <v>9.7000000000000003E-2</v>
      </c>
    </row>
    <row r="171" spans="1:29" x14ac:dyDescent="0.35">
      <c r="A171" s="3" t="s">
        <v>480</v>
      </c>
      <c r="B171" s="1" t="s">
        <v>2</v>
      </c>
      <c r="C171" s="1" t="s">
        <v>598</v>
      </c>
      <c r="D171" s="1" t="s">
        <v>23</v>
      </c>
      <c r="E171" s="1" t="s">
        <v>20</v>
      </c>
      <c r="F171" s="4">
        <v>0</v>
      </c>
      <c r="G171">
        <v>24</v>
      </c>
      <c r="H171">
        <v>32</v>
      </c>
      <c r="I171">
        <v>10.6</v>
      </c>
      <c r="J171">
        <v>3.6</v>
      </c>
      <c r="K171">
        <v>0.48199999999999998</v>
      </c>
      <c r="L171">
        <v>1</v>
      </c>
      <c r="M171">
        <v>0.35499999999999998</v>
      </c>
      <c r="N171">
        <v>2.6</v>
      </c>
      <c r="O171">
        <v>0.53</v>
      </c>
      <c r="P171">
        <v>0.53100000000000003</v>
      </c>
      <c r="Q171">
        <v>0.7</v>
      </c>
      <c r="R171">
        <v>0.81</v>
      </c>
      <c r="S171">
        <v>1.5</v>
      </c>
      <c r="T171">
        <v>1</v>
      </c>
      <c r="U171">
        <v>0.2</v>
      </c>
      <c r="V171">
        <v>0.2</v>
      </c>
      <c r="W171">
        <v>0.5</v>
      </c>
      <c r="X171">
        <v>0.8</v>
      </c>
      <c r="Y171">
        <v>4.3</v>
      </c>
      <c r="Z171">
        <v>0</v>
      </c>
      <c r="AA171">
        <v>-2.1</v>
      </c>
      <c r="AB171">
        <v>11.9</v>
      </c>
      <c r="AC171">
        <v>9.0999999999999998E-2</v>
      </c>
    </row>
    <row r="172" spans="1:29" x14ac:dyDescent="0.35">
      <c r="A172" s="3" t="s">
        <v>398</v>
      </c>
      <c r="B172" s="1" t="s">
        <v>26</v>
      </c>
      <c r="C172" s="1" t="s">
        <v>35</v>
      </c>
      <c r="D172" s="1" t="s">
        <v>23</v>
      </c>
      <c r="E172" s="1" t="s">
        <v>50</v>
      </c>
      <c r="F172" s="4">
        <v>-0.1</v>
      </c>
      <c r="G172">
        <v>31</v>
      </c>
      <c r="H172">
        <v>79</v>
      </c>
      <c r="I172">
        <v>21.5</v>
      </c>
      <c r="J172">
        <v>7.8</v>
      </c>
      <c r="K172">
        <v>0.46100000000000002</v>
      </c>
      <c r="L172">
        <v>5.2</v>
      </c>
      <c r="M172">
        <v>0.40600000000000003</v>
      </c>
      <c r="N172">
        <v>2.7</v>
      </c>
      <c r="O172">
        <v>0.56899999999999995</v>
      </c>
      <c r="P172">
        <v>0.59499999999999997</v>
      </c>
      <c r="Q172">
        <v>0.7</v>
      </c>
      <c r="R172">
        <v>0.79300000000000004</v>
      </c>
      <c r="S172">
        <v>3.4</v>
      </c>
      <c r="T172">
        <v>1.4</v>
      </c>
      <c r="U172">
        <v>0.4</v>
      </c>
      <c r="V172">
        <v>0.2</v>
      </c>
      <c r="W172">
        <v>1</v>
      </c>
      <c r="X172">
        <v>2.5</v>
      </c>
      <c r="Y172">
        <v>9.9</v>
      </c>
      <c r="Z172">
        <v>8</v>
      </c>
      <c r="AA172">
        <v>-2.2999999999999998</v>
      </c>
      <c r="AB172">
        <v>11.2</v>
      </c>
      <c r="AC172">
        <v>8.1000000000000003E-2</v>
      </c>
    </row>
    <row r="173" spans="1:29" x14ac:dyDescent="0.35">
      <c r="A173" s="3" t="s">
        <v>247</v>
      </c>
      <c r="B173" s="1" t="s">
        <v>2</v>
      </c>
      <c r="C173" s="1" t="s">
        <v>35</v>
      </c>
      <c r="D173" s="1" t="s">
        <v>23</v>
      </c>
      <c r="E173" s="1" t="s">
        <v>20</v>
      </c>
      <c r="F173" s="4">
        <v>0</v>
      </c>
      <c r="G173">
        <v>26</v>
      </c>
      <c r="H173">
        <v>69</v>
      </c>
      <c r="I173">
        <v>24.3</v>
      </c>
      <c r="J173">
        <v>8.8000000000000007</v>
      </c>
      <c r="K173">
        <v>0.42499999999999999</v>
      </c>
      <c r="L173">
        <v>5.7</v>
      </c>
      <c r="M173">
        <v>0.33800000000000002</v>
      </c>
      <c r="N173">
        <v>3.1</v>
      </c>
      <c r="O173">
        <v>0.58699999999999997</v>
      </c>
      <c r="P173">
        <v>0.53500000000000003</v>
      </c>
      <c r="Q173">
        <v>0.7</v>
      </c>
      <c r="R173">
        <v>0.71399999999999997</v>
      </c>
      <c r="S173">
        <v>3</v>
      </c>
      <c r="T173">
        <v>2.2999999999999998</v>
      </c>
      <c r="U173">
        <v>1</v>
      </c>
      <c r="V173">
        <v>0.3</v>
      </c>
      <c r="W173">
        <v>1</v>
      </c>
      <c r="X173">
        <v>1.8</v>
      </c>
      <c r="Y173">
        <v>9.9</v>
      </c>
      <c r="Z173">
        <v>6</v>
      </c>
      <c r="AA173">
        <v>-2</v>
      </c>
      <c r="AB173">
        <v>11.3</v>
      </c>
      <c r="AC173">
        <v>5.3999999999999999E-2</v>
      </c>
    </row>
    <row r="174" spans="1:29" x14ac:dyDescent="0.35">
      <c r="A174" s="3" t="s">
        <v>291</v>
      </c>
      <c r="B174" s="1" t="s">
        <v>2</v>
      </c>
      <c r="C174" s="1" t="s">
        <v>598</v>
      </c>
      <c r="D174" s="1" t="s">
        <v>23</v>
      </c>
      <c r="E174" s="1" t="s">
        <v>20</v>
      </c>
      <c r="F174" s="4">
        <v>1.1000000000000001</v>
      </c>
      <c r="G174">
        <v>28</v>
      </c>
      <c r="H174">
        <v>81</v>
      </c>
      <c r="I174">
        <v>26.8</v>
      </c>
      <c r="J174">
        <v>8.4</v>
      </c>
      <c r="K174">
        <v>0.44800000000000001</v>
      </c>
      <c r="L174">
        <v>5</v>
      </c>
      <c r="M174">
        <v>0.41399999999999998</v>
      </c>
      <c r="N174">
        <v>3.5</v>
      </c>
      <c r="O174">
        <v>0.496</v>
      </c>
      <c r="P174">
        <v>0.56999999999999995</v>
      </c>
      <c r="Q174">
        <v>0.7</v>
      </c>
      <c r="R174">
        <v>0.89500000000000002</v>
      </c>
      <c r="S174">
        <v>2.4</v>
      </c>
      <c r="T174">
        <v>5.3</v>
      </c>
      <c r="U174">
        <v>0.9</v>
      </c>
      <c r="V174">
        <v>0.1</v>
      </c>
      <c r="W174">
        <v>1.1000000000000001</v>
      </c>
      <c r="X174">
        <v>0.8</v>
      </c>
      <c r="Y174">
        <v>10.199999999999999</v>
      </c>
      <c r="Z174">
        <v>9</v>
      </c>
      <c r="AA174">
        <v>0.1</v>
      </c>
      <c r="AB174">
        <v>14.5</v>
      </c>
      <c r="AC174">
        <v>9.6000000000000002E-2</v>
      </c>
    </row>
    <row r="175" spans="1:29" x14ac:dyDescent="0.35">
      <c r="A175" s="3" t="s">
        <v>455</v>
      </c>
      <c r="B175" s="1" t="s">
        <v>18</v>
      </c>
      <c r="C175" s="1" t="s">
        <v>597</v>
      </c>
      <c r="D175" s="1" t="s">
        <v>23</v>
      </c>
      <c r="E175" s="1" t="s">
        <v>28</v>
      </c>
      <c r="F175" s="4">
        <v>-0.1</v>
      </c>
      <c r="G175">
        <v>25</v>
      </c>
      <c r="H175">
        <v>13</v>
      </c>
      <c r="I175">
        <v>4.4000000000000004</v>
      </c>
      <c r="J175">
        <v>0.6</v>
      </c>
      <c r="K175">
        <v>0.25</v>
      </c>
      <c r="L175">
        <v>0.2</v>
      </c>
      <c r="M175">
        <v>0</v>
      </c>
      <c r="N175">
        <v>0.5</v>
      </c>
      <c r="O175">
        <v>0.33300000000000002</v>
      </c>
      <c r="P175">
        <v>0.25</v>
      </c>
      <c r="Q175">
        <v>0.8</v>
      </c>
      <c r="R175">
        <v>0.5</v>
      </c>
      <c r="S175">
        <v>0.9</v>
      </c>
      <c r="T175">
        <v>0.2</v>
      </c>
      <c r="U175">
        <v>0.2</v>
      </c>
      <c r="V175">
        <v>0.2</v>
      </c>
      <c r="W175">
        <v>0.5</v>
      </c>
      <c r="X175">
        <v>0.7</v>
      </c>
      <c r="Y175">
        <v>0.7</v>
      </c>
      <c r="Z175">
        <v>0</v>
      </c>
      <c r="AA175">
        <v>-10.5</v>
      </c>
      <c r="AB175">
        <v>2.6</v>
      </c>
      <c r="AC175">
        <v>-6.6000000000000003E-2</v>
      </c>
    </row>
    <row r="176" spans="1:29" x14ac:dyDescent="0.35">
      <c r="A176" s="3" t="s">
        <v>328</v>
      </c>
      <c r="B176" s="1" t="s">
        <v>26</v>
      </c>
      <c r="C176" s="1" t="s">
        <v>597</v>
      </c>
      <c r="D176" s="1" t="s">
        <v>23</v>
      </c>
      <c r="E176" s="1" t="s">
        <v>50</v>
      </c>
      <c r="F176" s="4">
        <v>-0.1</v>
      </c>
      <c r="G176">
        <v>21</v>
      </c>
      <c r="H176">
        <v>21</v>
      </c>
      <c r="I176">
        <v>5</v>
      </c>
      <c r="J176">
        <v>1.3</v>
      </c>
      <c r="K176">
        <v>0.33300000000000002</v>
      </c>
      <c r="L176">
        <v>0.4</v>
      </c>
      <c r="M176">
        <v>0</v>
      </c>
      <c r="N176">
        <v>0.9</v>
      </c>
      <c r="O176">
        <v>0.47399999999999998</v>
      </c>
      <c r="P176">
        <v>0.33300000000000002</v>
      </c>
      <c r="Q176">
        <v>0.8</v>
      </c>
      <c r="R176">
        <v>0.75</v>
      </c>
      <c r="S176">
        <v>1.7</v>
      </c>
      <c r="T176">
        <v>0.2</v>
      </c>
      <c r="U176">
        <v>0.2</v>
      </c>
      <c r="V176">
        <v>0</v>
      </c>
      <c r="W176">
        <v>0.3</v>
      </c>
      <c r="X176">
        <v>0.4</v>
      </c>
      <c r="Y176">
        <v>1.4</v>
      </c>
      <c r="Z176">
        <v>1</v>
      </c>
      <c r="AA176">
        <v>-6.1</v>
      </c>
      <c r="AB176">
        <v>9.8000000000000007</v>
      </c>
      <c r="AC176">
        <v>3.5000000000000003E-2</v>
      </c>
    </row>
    <row r="177" spans="1:29" x14ac:dyDescent="0.35">
      <c r="A177" s="3" t="s">
        <v>448</v>
      </c>
      <c r="B177" s="1" t="s">
        <v>26</v>
      </c>
      <c r="C177" s="1" t="s">
        <v>35</v>
      </c>
      <c r="D177" s="1" t="s">
        <v>23</v>
      </c>
      <c r="E177" s="1" t="s">
        <v>28</v>
      </c>
      <c r="F177" s="4">
        <v>0</v>
      </c>
      <c r="G177">
        <v>25</v>
      </c>
      <c r="H177">
        <v>15</v>
      </c>
      <c r="I177">
        <v>14.4</v>
      </c>
      <c r="J177">
        <v>3.6</v>
      </c>
      <c r="K177">
        <v>0.48099999999999998</v>
      </c>
      <c r="L177">
        <v>2.7</v>
      </c>
      <c r="M177">
        <v>0.36599999999999999</v>
      </c>
      <c r="N177">
        <v>0.9</v>
      </c>
      <c r="O177">
        <v>0.84599999999999997</v>
      </c>
      <c r="P177">
        <v>0.62</v>
      </c>
      <c r="Q177">
        <v>0.8</v>
      </c>
      <c r="R177">
        <v>0.75</v>
      </c>
      <c r="S177">
        <v>3.1</v>
      </c>
      <c r="T177">
        <v>0.3</v>
      </c>
      <c r="U177">
        <v>0.7</v>
      </c>
      <c r="V177">
        <v>0.7</v>
      </c>
      <c r="W177">
        <v>0.4</v>
      </c>
      <c r="X177">
        <v>1.4</v>
      </c>
      <c r="Y177">
        <v>5.0999999999999996</v>
      </c>
      <c r="Z177">
        <v>0</v>
      </c>
      <c r="AA177">
        <v>-1.2</v>
      </c>
      <c r="AB177">
        <v>14</v>
      </c>
      <c r="AC177">
        <v>0.109</v>
      </c>
    </row>
    <row r="178" spans="1:29" x14ac:dyDescent="0.35">
      <c r="A178" s="3" t="s">
        <v>433</v>
      </c>
      <c r="B178" s="1" t="s">
        <v>18</v>
      </c>
      <c r="C178" s="1" t="s">
        <v>598</v>
      </c>
      <c r="D178" s="1" t="s">
        <v>19</v>
      </c>
      <c r="E178" s="1" t="s">
        <v>50</v>
      </c>
      <c r="F178" s="4">
        <v>0.3</v>
      </c>
      <c r="G178">
        <v>33</v>
      </c>
      <c r="H178">
        <v>55</v>
      </c>
      <c r="I178">
        <v>10</v>
      </c>
      <c r="J178">
        <v>1.1000000000000001</v>
      </c>
      <c r="K178">
        <v>0.68899999999999995</v>
      </c>
      <c r="L178">
        <v>0.1</v>
      </c>
      <c r="M178">
        <v>0.4</v>
      </c>
      <c r="N178">
        <v>1</v>
      </c>
      <c r="O178">
        <v>0.71399999999999997</v>
      </c>
      <c r="P178">
        <v>0.70499999999999996</v>
      </c>
      <c r="Q178">
        <v>0.8</v>
      </c>
      <c r="R178">
        <v>0.65100000000000002</v>
      </c>
      <c r="S178">
        <v>2.1</v>
      </c>
      <c r="T178">
        <v>1</v>
      </c>
      <c r="U178">
        <v>0.3</v>
      </c>
      <c r="V178">
        <v>0.4</v>
      </c>
      <c r="W178">
        <v>0.3</v>
      </c>
      <c r="X178">
        <v>1.4</v>
      </c>
      <c r="Y178">
        <v>2.1</v>
      </c>
      <c r="Z178">
        <v>10</v>
      </c>
      <c r="AA178">
        <v>0</v>
      </c>
      <c r="AB178">
        <v>12.9</v>
      </c>
      <c r="AC178">
        <v>0.14699999999999999</v>
      </c>
    </row>
    <row r="179" spans="1:29" x14ac:dyDescent="0.35">
      <c r="A179" s="3" t="s">
        <v>500</v>
      </c>
      <c r="B179" s="1" t="s">
        <v>2</v>
      </c>
      <c r="C179" s="1" t="s">
        <v>598</v>
      </c>
      <c r="D179" s="1" t="s">
        <v>23</v>
      </c>
      <c r="E179" s="1" t="s">
        <v>50</v>
      </c>
      <c r="F179" s="4">
        <v>0.2</v>
      </c>
      <c r="G179">
        <v>24</v>
      </c>
      <c r="H179">
        <v>25</v>
      </c>
      <c r="I179">
        <v>10.1</v>
      </c>
      <c r="J179">
        <v>3.3</v>
      </c>
      <c r="K179">
        <v>0.41499999999999998</v>
      </c>
      <c r="L179">
        <v>2.1</v>
      </c>
      <c r="M179">
        <v>0.36499999999999999</v>
      </c>
      <c r="N179">
        <v>1.2</v>
      </c>
      <c r="O179">
        <v>0.5</v>
      </c>
      <c r="P179">
        <v>0.53</v>
      </c>
      <c r="Q179">
        <v>0.8</v>
      </c>
      <c r="R179">
        <v>1</v>
      </c>
      <c r="S179">
        <v>1.2</v>
      </c>
      <c r="T179">
        <v>1.4</v>
      </c>
      <c r="U179">
        <v>0.4</v>
      </c>
      <c r="V179">
        <v>0</v>
      </c>
      <c r="W179">
        <v>0.2</v>
      </c>
      <c r="X179">
        <v>0.9</v>
      </c>
      <c r="Y179">
        <v>4.2</v>
      </c>
      <c r="Z179">
        <v>0</v>
      </c>
      <c r="AA179">
        <v>0.5</v>
      </c>
      <c r="AB179">
        <v>14.2</v>
      </c>
      <c r="AC179">
        <v>0.16</v>
      </c>
    </row>
    <row r="180" spans="1:29" x14ac:dyDescent="0.35">
      <c r="A180" s="3" t="s">
        <v>529</v>
      </c>
      <c r="B180" s="1" t="s">
        <v>26</v>
      </c>
      <c r="C180" s="1" t="s">
        <v>598</v>
      </c>
      <c r="D180" s="1" t="s">
        <v>19</v>
      </c>
      <c r="E180" s="1" t="s">
        <v>28</v>
      </c>
      <c r="F180" s="4">
        <v>-0.1</v>
      </c>
      <c r="G180">
        <v>22</v>
      </c>
      <c r="H180">
        <v>9</v>
      </c>
      <c r="I180">
        <v>7.4</v>
      </c>
      <c r="J180">
        <v>2.1</v>
      </c>
      <c r="K180">
        <v>0.316</v>
      </c>
      <c r="L180">
        <v>0.8</v>
      </c>
      <c r="M180">
        <v>0</v>
      </c>
      <c r="N180">
        <v>1.3</v>
      </c>
      <c r="O180">
        <v>0.5</v>
      </c>
      <c r="P180">
        <v>0.316</v>
      </c>
      <c r="Q180">
        <v>0.8</v>
      </c>
      <c r="R180">
        <v>0.28599999999999998</v>
      </c>
      <c r="S180">
        <v>1.7</v>
      </c>
      <c r="T180">
        <v>0.1</v>
      </c>
      <c r="U180">
        <v>0.4</v>
      </c>
      <c r="V180">
        <v>0.2</v>
      </c>
      <c r="W180">
        <v>0.3</v>
      </c>
      <c r="X180">
        <v>0.7</v>
      </c>
      <c r="Y180">
        <v>1.6</v>
      </c>
      <c r="Z180">
        <v>0</v>
      </c>
      <c r="AA180">
        <v>-9.8000000000000007</v>
      </c>
      <c r="AB180">
        <v>3.5</v>
      </c>
      <c r="AC180">
        <v>-9.1999999999999998E-2</v>
      </c>
    </row>
    <row r="181" spans="1:29" x14ac:dyDescent="0.35">
      <c r="A181" s="3" t="s">
        <v>212</v>
      </c>
      <c r="B181" s="1" t="s">
        <v>26</v>
      </c>
      <c r="C181" s="1" t="s">
        <v>598</v>
      </c>
      <c r="D181" s="1" t="s">
        <v>23</v>
      </c>
      <c r="E181" s="1" t="s">
        <v>20</v>
      </c>
      <c r="F181" s="4">
        <v>0.2</v>
      </c>
      <c r="G181">
        <v>38</v>
      </c>
      <c r="H181">
        <v>32</v>
      </c>
      <c r="I181">
        <v>12.4</v>
      </c>
      <c r="J181">
        <v>3.8</v>
      </c>
      <c r="K181">
        <v>0.504</v>
      </c>
      <c r="L181">
        <v>2.5</v>
      </c>
      <c r="M181">
        <v>0.36699999999999999</v>
      </c>
      <c r="N181">
        <v>1.3</v>
      </c>
      <c r="O181">
        <v>0.76200000000000001</v>
      </c>
      <c r="P181">
        <v>0.624</v>
      </c>
      <c r="Q181">
        <v>0.8</v>
      </c>
      <c r="R181">
        <v>0.80800000000000005</v>
      </c>
      <c r="S181">
        <v>1.8</v>
      </c>
      <c r="T181">
        <v>0.6</v>
      </c>
      <c r="U181">
        <v>0.2</v>
      </c>
      <c r="V181">
        <v>0.1</v>
      </c>
      <c r="W181">
        <v>0.3</v>
      </c>
      <c r="X181">
        <v>1</v>
      </c>
      <c r="Y181">
        <v>5.4</v>
      </c>
      <c r="Z181">
        <v>16</v>
      </c>
      <c r="AA181">
        <v>0.4</v>
      </c>
      <c r="AB181">
        <v>13.6</v>
      </c>
      <c r="AC181">
        <v>0.159</v>
      </c>
    </row>
    <row r="182" spans="1:29" x14ac:dyDescent="0.35">
      <c r="A182" s="3" t="s">
        <v>446</v>
      </c>
      <c r="B182" s="1" t="s">
        <v>26</v>
      </c>
      <c r="C182" s="1" t="s">
        <v>598</v>
      </c>
      <c r="D182" s="1" t="s">
        <v>23</v>
      </c>
      <c r="E182" s="1" t="s">
        <v>20</v>
      </c>
      <c r="F182" s="4">
        <v>-0.1</v>
      </c>
      <c r="G182">
        <v>25</v>
      </c>
      <c r="H182">
        <v>33</v>
      </c>
      <c r="I182">
        <v>17.8</v>
      </c>
      <c r="J182">
        <v>2.8</v>
      </c>
      <c r="K182">
        <v>0.40400000000000003</v>
      </c>
      <c r="L182">
        <v>1.4</v>
      </c>
      <c r="M182">
        <v>0.27700000000000002</v>
      </c>
      <c r="N182">
        <v>1.4</v>
      </c>
      <c r="O182">
        <v>0.53200000000000003</v>
      </c>
      <c r="P182">
        <v>0.47299999999999998</v>
      </c>
      <c r="Q182">
        <v>0.8</v>
      </c>
      <c r="R182">
        <v>0.61499999999999999</v>
      </c>
      <c r="S182">
        <v>2</v>
      </c>
      <c r="T182">
        <v>0.7</v>
      </c>
      <c r="U182">
        <v>1</v>
      </c>
      <c r="V182">
        <v>0.3</v>
      </c>
      <c r="W182">
        <v>0.4</v>
      </c>
      <c r="X182">
        <v>1.3</v>
      </c>
      <c r="Y182">
        <v>3.2</v>
      </c>
      <c r="Z182">
        <v>5</v>
      </c>
      <c r="AA182">
        <v>-2.7</v>
      </c>
      <c r="AB182">
        <v>7.4</v>
      </c>
      <c r="AC182">
        <v>5.3999999999999999E-2</v>
      </c>
    </row>
    <row r="183" spans="1:29" x14ac:dyDescent="0.35">
      <c r="A183" s="3" t="s">
        <v>470</v>
      </c>
      <c r="B183" s="1" t="s">
        <v>26</v>
      </c>
      <c r="C183" s="1" t="s">
        <v>598</v>
      </c>
      <c r="D183" s="1" t="s">
        <v>19</v>
      </c>
      <c r="E183" s="1" t="s">
        <v>50</v>
      </c>
      <c r="F183" s="4">
        <v>0.1</v>
      </c>
      <c r="G183">
        <v>22</v>
      </c>
      <c r="H183">
        <v>56</v>
      </c>
      <c r="I183">
        <v>13.6</v>
      </c>
      <c r="J183">
        <v>3.2</v>
      </c>
      <c r="K183">
        <v>0.45800000000000002</v>
      </c>
      <c r="L183">
        <v>1.8</v>
      </c>
      <c r="M183">
        <v>0.33</v>
      </c>
      <c r="N183">
        <v>1.4</v>
      </c>
      <c r="O183">
        <v>0.63200000000000001</v>
      </c>
      <c r="P183">
        <v>0.55300000000000005</v>
      </c>
      <c r="Q183">
        <v>0.8</v>
      </c>
      <c r="R183">
        <v>0.69</v>
      </c>
      <c r="S183">
        <v>3.1</v>
      </c>
      <c r="T183">
        <v>1.4</v>
      </c>
      <c r="U183">
        <v>0.4</v>
      </c>
      <c r="V183">
        <v>0.2</v>
      </c>
      <c r="W183">
        <v>0.8</v>
      </c>
      <c r="X183">
        <v>1.6</v>
      </c>
      <c r="Y183">
        <v>4.0999999999999996</v>
      </c>
      <c r="Z183">
        <v>1</v>
      </c>
      <c r="AA183">
        <v>-1.7</v>
      </c>
      <c r="AB183">
        <v>11.7</v>
      </c>
      <c r="AC183">
        <v>0.11</v>
      </c>
    </row>
    <row r="184" spans="1:29" x14ac:dyDescent="0.35">
      <c r="A184" s="3" t="s">
        <v>45</v>
      </c>
      <c r="B184" s="1" t="s">
        <v>2</v>
      </c>
      <c r="C184" s="1" t="s">
        <v>597</v>
      </c>
      <c r="D184" s="1" t="s">
        <v>23</v>
      </c>
      <c r="E184" s="1" t="s">
        <v>20</v>
      </c>
      <c r="F184" s="4">
        <v>0.4</v>
      </c>
      <c r="G184">
        <v>27</v>
      </c>
      <c r="H184">
        <v>35</v>
      </c>
      <c r="I184">
        <v>22.2</v>
      </c>
      <c r="J184">
        <v>6.9</v>
      </c>
      <c r="K184">
        <v>0.36599999999999999</v>
      </c>
      <c r="L184">
        <v>5.6</v>
      </c>
      <c r="M184">
        <v>0.34399999999999997</v>
      </c>
      <c r="N184">
        <v>1.4</v>
      </c>
      <c r="O184">
        <v>0.45800000000000002</v>
      </c>
      <c r="P184">
        <v>0.504</v>
      </c>
      <c r="Q184">
        <v>0.8</v>
      </c>
      <c r="R184">
        <v>0.81499999999999995</v>
      </c>
      <c r="S184">
        <v>3.4</v>
      </c>
      <c r="T184">
        <v>3.3</v>
      </c>
      <c r="U184">
        <v>1.3</v>
      </c>
      <c r="V184">
        <v>0.5</v>
      </c>
      <c r="W184">
        <v>1.2</v>
      </c>
      <c r="X184">
        <v>1.6</v>
      </c>
      <c r="Y184">
        <v>7.6</v>
      </c>
      <c r="Z184">
        <v>7</v>
      </c>
      <c r="AA184">
        <v>0.2</v>
      </c>
      <c r="AB184">
        <v>12.2</v>
      </c>
      <c r="AC184">
        <v>7.4999999999999997E-2</v>
      </c>
    </row>
    <row r="185" spans="1:29" x14ac:dyDescent="0.35">
      <c r="A185" s="3" t="s">
        <v>319</v>
      </c>
      <c r="B185" s="1" t="s">
        <v>2</v>
      </c>
      <c r="C185" s="1" t="s">
        <v>598</v>
      </c>
      <c r="D185" s="1" t="s">
        <v>23</v>
      </c>
      <c r="E185" s="1" t="s">
        <v>28</v>
      </c>
      <c r="F185" s="4">
        <v>-0.1</v>
      </c>
      <c r="G185">
        <v>32</v>
      </c>
      <c r="H185">
        <v>25</v>
      </c>
      <c r="I185">
        <v>5.8</v>
      </c>
      <c r="J185">
        <v>3</v>
      </c>
      <c r="K185">
        <v>0.36499999999999999</v>
      </c>
      <c r="L185">
        <v>1.5</v>
      </c>
      <c r="M185">
        <v>0.24299999999999999</v>
      </c>
      <c r="N185">
        <v>1.5</v>
      </c>
      <c r="O185">
        <v>0.48599999999999999</v>
      </c>
      <c r="P185">
        <v>0.42599999999999999</v>
      </c>
      <c r="Q185">
        <v>0.8</v>
      </c>
      <c r="R185">
        <v>0.95199999999999996</v>
      </c>
      <c r="S185">
        <v>0.8</v>
      </c>
      <c r="T185">
        <v>0.4</v>
      </c>
      <c r="U185">
        <v>0.2</v>
      </c>
      <c r="V185">
        <v>0</v>
      </c>
      <c r="W185">
        <v>0.4</v>
      </c>
      <c r="X185">
        <v>0.2</v>
      </c>
      <c r="Y185">
        <v>3.3</v>
      </c>
      <c r="Z185">
        <v>7</v>
      </c>
      <c r="AA185">
        <v>-5.0999999999999996</v>
      </c>
      <c r="AB185">
        <v>11.9</v>
      </c>
      <c r="AC185">
        <v>-3.1E-2</v>
      </c>
    </row>
    <row r="186" spans="1:29" x14ac:dyDescent="0.35">
      <c r="A186" s="3" t="s">
        <v>310</v>
      </c>
      <c r="B186" s="1" t="s">
        <v>2</v>
      </c>
      <c r="C186" s="1" t="s">
        <v>597</v>
      </c>
      <c r="D186" s="1" t="s">
        <v>19</v>
      </c>
      <c r="E186" s="1" t="s">
        <v>50</v>
      </c>
      <c r="F186" s="4">
        <v>0.8</v>
      </c>
      <c r="G186">
        <v>24</v>
      </c>
      <c r="H186">
        <v>57</v>
      </c>
      <c r="I186">
        <v>20.2</v>
      </c>
      <c r="J186">
        <v>5.0999999999999996</v>
      </c>
      <c r="K186">
        <v>0.497</v>
      </c>
      <c r="L186">
        <v>3.6</v>
      </c>
      <c r="M186">
        <v>0.437</v>
      </c>
      <c r="N186">
        <v>1.5</v>
      </c>
      <c r="O186">
        <v>0.64</v>
      </c>
      <c r="P186">
        <v>0.65100000000000002</v>
      </c>
      <c r="Q186">
        <v>0.8</v>
      </c>
      <c r="R186">
        <v>0.71099999999999997</v>
      </c>
      <c r="S186">
        <v>2.7</v>
      </c>
      <c r="T186">
        <v>2.6</v>
      </c>
      <c r="U186">
        <v>0.6</v>
      </c>
      <c r="V186">
        <v>0.5</v>
      </c>
      <c r="W186">
        <v>0.9</v>
      </c>
      <c r="X186">
        <v>1.8</v>
      </c>
      <c r="Y186">
        <v>7.2</v>
      </c>
      <c r="Z186">
        <v>3</v>
      </c>
      <c r="AA186">
        <v>0.7</v>
      </c>
      <c r="AB186">
        <v>12.7</v>
      </c>
      <c r="AC186">
        <v>0.11</v>
      </c>
    </row>
    <row r="187" spans="1:29" x14ac:dyDescent="0.35">
      <c r="A187" s="3" t="s">
        <v>400</v>
      </c>
      <c r="B187" s="1" t="s">
        <v>26</v>
      </c>
      <c r="C187" s="1" t="s">
        <v>598</v>
      </c>
      <c r="D187" s="1" t="s">
        <v>23</v>
      </c>
      <c r="E187" s="1" t="s">
        <v>20</v>
      </c>
      <c r="F187" s="4">
        <v>0.1</v>
      </c>
      <c r="G187">
        <v>24</v>
      </c>
      <c r="H187">
        <v>57</v>
      </c>
      <c r="I187">
        <v>10.7</v>
      </c>
      <c r="J187">
        <v>2.5</v>
      </c>
      <c r="K187">
        <v>0.496</v>
      </c>
      <c r="L187">
        <v>0.9</v>
      </c>
      <c r="M187">
        <v>0.32700000000000001</v>
      </c>
      <c r="N187">
        <v>1.6</v>
      </c>
      <c r="O187">
        <v>0.59599999999999997</v>
      </c>
      <c r="P187">
        <v>0.55700000000000005</v>
      </c>
      <c r="Q187">
        <v>0.8</v>
      </c>
      <c r="R187">
        <v>0.61399999999999999</v>
      </c>
      <c r="S187">
        <v>1.6</v>
      </c>
      <c r="T187">
        <v>0.4</v>
      </c>
      <c r="U187">
        <v>0.4</v>
      </c>
      <c r="V187">
        <v>0.7</v>
      </c>
      <c r="W187">
        <v>0.2</v>
      </c>
      <c r="X187">
        <v>1.1000000000000001</v>
      </c>
      <c r="Y187">
        <v>3.2</v>
      </c>
      <c r="Z187">
        <v>4</v>
      </c>
      <c r="AA187">
        <v>-1.3</v>
      </c>
      <c r="AB187">
        <v>12</v>
      </c>
      <c r="AC187">
        <v>9.7000000000000003E-2</v>
      </c>
    </row>
    <row r="188" spans="1:29" x14ac:dyDescent="0.35">
      <c r="A188" s="3" t="s">
        <v>273</v>
      </c>
      <c r="B188" s="1" t="s">
        <v>2</v>
      </c>
      <c r="C188" s="1" t="s">
        <v>598</v>
      </c>
      <c r="D188" s="1" t="s">
        <v>23</v>
      </c>
      <c r="E188" s="1" t="s">
        <v>50</v>
      </c>
      <c r="F188" s="4">
        <v>1.4</v>
      </c>
      <c r="G188">
        <v>25</v>
      </c>
      <c r="H188">
        <v>74</v>
      </c>
      <c r="I188">
        <v>21.7</v>
      </c>
      <c r="J188">
        <v>7.9</v>
      </c>
      <c r="K188">
        <v>0.44</v>
      </c>
      <c r="L188">
        <v>6.3</v>
      </c>
      <c r="M188">
        <v>0.41199999999999998</v>
      </c>
      <c r="N188">
        <v>1.6</v>
      </c>
      <c r="O188">
        <v>0.54900000000000004</v>
      </c>
      <c r="P188">
        <v>0.60399999999999998</v>
      </c>
      <c r="Q188">
        <v>0.8</v>
      </c>
      <c r="R188">
        <v>0.82099999999999995</v>
      </c>
      <c r="S188">
        <v>2.6</v>
      </c>
      <c r="T188">
        <v>1.6</v>
      </c>
      <c r="U188">
        <v>0.6</v>
      </c>
      <c r="V188">
        <v>0.1</v>
      </c>
      <c r="W188">
        <v>0.5</v>
      </c>
      <c r="X188">
        <v>1.5</v>
      </c>
      <c r="Y188">
        <v>10.199999999999999</v>
      </c>
      <c r="Z188">
        <v>4</v>
      </c>
      <c r="AA188">
        <v>1.3</v>
      </c>
      <c r="AB188">
        <v>14</v>
      </c>
      <c r="AC188">
        <v>0.153</v>
      </c>
    </row>
    <row r="189" spans="1:29" x14ac:dyDescent="0.35">
      <c r="A189" s="3" t="s">
        <v>520</v>
      </c>
      <c r="B189" s="1" t="s">
        <v>18</v>
      </c>
      <c r="C189" s="1" t="s">
        <v>597</v>
      </c>
      <c r="D189" s="1" t="s">
        <v>19</v>
      </c>
      <c r="E189" s="1" t="s">
        <v>20</v>
      </c>
      <c r="F189" s="4">
        <v>-0.2</v>
      </c>
      <c r="G189">
        <v>33</v>
      </c>
      <c r="H189">
        <v>40</v>
      </c>
      <c r="I189">
        <v>8.1999999999999993</v>
      </c>
      <c r="J189">
        <v>1.8</v>
      </c>
      <c r="K189">
        <v>0.437</v>
      </c>
      <c r="L189">
        <v>0.1</v>
      </c>
      <c r="M189">
        <v>0</v>
      </c>
      <c r="N189">
        <v>1.7</v>
      </c>
      <c r="O189">
        <v>0.45600000000000002</v>
      </c>
      <c r="P189">
        <v>0.437</v>
      </c>
      <c r="Q189">
        <v>0.8</v>
      </c>
      <c r="R189">
        <v>0.23300000000000001</v>
      </c>
      <c r="S189">
        <v>3.4</v>
      </c>
      <c r="T189">
        <v>0.6</v>
      </c>
      <c r="U189">
        <v>0.1</v>
      </c>
      <c r="V189">
        <v>0.3</v>
      </c>
      <c r="W189">
        <v>0.4</v>
      </c>
      <c r="X189">
        <v>0.9</v>
      </c>
      <c r="Y189">
        <v>1.7</v>
      </c>
      <c r="Z189">
        <v>13</v>
      </c>
      <c r="AA189">
        <v>-4.5999999999999996</v>
      </c>
      <c r="AB189">
        <v>9.1</v>
      </c>
      <c r="AC189">
        <v>5.7000000000000002E-2</v>
      </c>
    </row>
    <row r="190" spans="1:29" x14ac:dyDescent="0.35">
      <c r="A190" s="3" t="s">
        <v>46</v>
      </c>
      <c r="B190" s="1" t="s">
        <v>18</v>
      </c>
      <c r="C190" s="1" t="s">
        <v>35</v>
      </c>
      <c r="D190" s="1" t="s">
        <v>23</v>
      </c>
      <c r="E190" s="1" t="s">
        <v>20</v>
      </c>
      <c r="F190" s="4">
        <v>0.1</v>
      </c>
      <c r="G190">
        <v>26</v>
      </c>
      <c r="H190">
        <v>32</v>
      </c>
      <c r="I190">
        <v>12.9</v>
      </c>
      <c r="J190">
        <v>3.5</v>
      </c>
      <c r="K190">
        <v>0.46400000000000002</v>
      </c>
      <c r="L190">
        <v>1.7</v>
      </c>
      <c r="M190">
        <v>0.27800000000000002</v>
      </c>
      <c r="N190">
        <v>1.8</v>
      </c>
      <c r="O190">
        <v>0.63800000000000001</v>
      </c>
      <c r="P190">
        <v>0.53100000000000003</v>
      </c>
      <c r="Q190">
        <v>0.8</v>
      </c>
      <c r="R190">
        <v>0.70399999999999996</v>
      </c>
      <c r="S190">
        <v>4.5</v>
      </c>
      <c r="T190">
        <v>0.6</v>
      </c>
      <c r="U190">
        <v>0.3</v>
      </c>
      <c r="V190">
        <v>1</v>
      </c>
      <c r="W190">
        <v>0.6</v>
      </c>
      <c r="X190">
        <v>1.8</v>
      </c>
      <c r="Y190">
        <v>4.3</v>
      </c>
      <c r="Z190">
        <v>6</v>
      </c>
      <c r="AA190">
        <v>-0.9</v>
      </c>
      <c r="AB190">
        <v>13.9</v>
      </c>
      <c r="AC190">
        <v>0.11700000000000001</v>
      </c>
    </row>
    <row r="191" spans="1:29" x14ac:dyDescent="0.35">
      <c r="A191" s="3" t="s">
        <v>460</v>
      </c>
      <c r="B191" s="1" t="s">
        <v>26</v>
      </c>
      <c r="C191" s="1" t="s">
        <v>35</v>
      </c>
      <c r="D191" s="1" t="s">
        <v>23</v>
      </c>
      <c r="E191" s="1" t="s">
        <v>20</v>
      </c>
      <c r="F191" s="4">
        <v>0.1</v>
      </c>
      <c r="G191">
        <v>23</v>
      </c>
      <c r="H191">
        <v>33</v>
      </c>
      <c r="I191">
        <v>12.4</v>
      </c>
      <c r="J191">
        <v>3.8</v>
      </c>
      <c r="K191">
        <v>0.45600000000000002</v>
      </c>
      <c r="L191">
        <v>1.8</v>
      </c>
      <c r="M191">
        <v>0.311</v>
      </c>
      <c r="N191">
        <v>1.9</v>
      </c>
      <c r="O191">
        <v>0.59399999999999997</v>
      </c>
      <c r="P191">
        <v>0.53200000000000003</v>
      </c>
      <c r="Q191">
        <v>0.8</v>
      </c>
      <c r="R191">
        <v>0.76900000000000002</v>
      </c>
      <c r="S191">
        <v>2.5</v>
      </c>
      <c r="T191">
        <v>1.1000000000000001</v>
      </c>
      <c r="U191">
        <v>0.4</v>
      </c>
      <c r="V191">
        <v>0.3</v>
      </c>
      <c r="W191">
        <v>0.7</v>
      </c>
      <c r="X191">
        <v>0.6</v>
      </c>
      <c r="Y191">
        <v>4.5999999999999996</v>
      </c>
      <c r="Z191">
        <v>2</v>
      </c>
      <c r="AA191">
        <v>-1.5</v>
      </c>
      <c r="AB191">
        <v>11.9</v>
      </c>
      <c r="AC191">
        <v>6.2E-2</v>
      </c>
    </row>
    <row r="192" spans="1:29" x14ac:dyDescent="0.35">
      <c r="A192" s="3" t="s">
        <v>409</v>
      </c>
      <c r="B192" s="1" t="s">
        <v>2</v>
      </c>
      <c r="C192" s="1" t="s">
        <v>597</v>
      </c>
      <c r="D192" s="1" t="s">
        <v>23</v>
      </c>
      <c r="E192" s="1" t="s">
        <v>20</v>
      </c>
      <c r="F192" s="4">
        <v>0.4</v>
      </c>
      <c r="G192">
        <v>24</v>
      </c>
      <c r="H192">
        <v>55</v>
      </c>
      <c r="I192">
        <v>19.100000000000001</v>
      </c>
      <c r="J192">
        <v>4.9000000000000004</v>
      </c>
      <c r="K192">
        <v>0.46400000000000002</v>
      </c>
      <c r="L192">
        <v>2.7</v>
      </c>
      <c r="M192">
        <v>0.371</v>
      </c>
      <c r="N192">
        <v>2.1</v>
      </c>
      <c r="O192">
        <v>0.58599999999999997</v>
      </c>
      <c r="P192">
        <v>0.56899999999999995</v>
      </c>
      <c r="Q192">
        <v>0.8</v>
      </c>
      <c r="R192">
        <v>0.71699999999999997</v>
      </c>
      <c r="S192">
        <v>2.4</v>
      </c>
      <c r="T192">
        <v>1.2</v>
      </c>
      <c r="U192">
        <v>0.6</v>
      </c>
      <c r="V192">
        <v>0.3</v>
      </c>
      <c r="W192">
        <v>0.4</v>
      </c>
      <c r="X192">
        <v>1.9</v>
      </c>
      <c r="Y192">
        <v>6.1</v>
      </c>
      <c r="Z192">
        <v>4</v>
      </c>
      <c r="AA192">
        <v>-0.5</v>
      </c>
      <c r="AB192">
        <v>10.7</v>
      </c>
      <c r="AC192">
        <v>0.115</v>
      </c>
    </row>
    <row r="193" spans="1:29" x14ac:dyDescent="0.35">
      <c r="A193" s="3" t="s">
        <v>391</v>
      </c>
      <c r="B193" s="1" t="s">
        <v>26</v>
      </c>
      <c r="C193" s="1" t="s">
        <v>598</v>
      </c>
      <c r="D193" s="1" t="s">
        <v>23</v>
      </c>
      <c r="E193" s="1" t="s">
        <v>20</v>
      </c>
      <c r="F193" s="4">
        <v>-0.3</v>
      </c>
      <c r="G193">
        <v>24</v>
      </c>
      <c r="H193">
        <v>69</v>
      </c>
      <c r="I193">
        <v>15.1</v>
      </c>
      <c r="J193">
        <v>4</v>
      </c>
      <c r="K193">
        <v>0.41899999999999998</v>
      </c>
      <c r="L193">
        <v>1.7</v>
      </c>
      <c r="M193">
        <v>0.22500000000000001</v>
      </c>
      <c r="N193">
        <v>2.2999999999999998</v>
      </c>
      <c r="O193">
        <v>0.56599999999999995</v>
      </c>
      <c r="P193">
        <v>0.46800000000000003</v>
      </c>
      <c r="Q193">
        <v>0.8</v>
      </c>
      <c r="R193">
        <v>0.45600000000000002</v>
      </c>
      <c r="S193">
        <v>2.6</v>
      </c>
      <c r="T193">
        <v>1</v>
      </c>
      <c r="U193">
        <v>0.5</v>
      </c>
      <c r="V193">
        <v>0.2</v>
      </c>
      <c r="W193">
        <v>0.6</v>
      </c>
      <c r="X193">
        <v>1</v>
      </c>
      <c r="Y193">
        <v>4.2</v>
      </c>
      <c r="Z193">
        <v>1</v>
      </c>
      <c r="AA193">
        <v>-3</v>
      </c>
      <c r="AB193">
        <v>9.1</v>
      </c>
      <c r="AC193">
        <v>3.3000000000000002E-2</v>
      </c>
    </row>
    <row r="194" spans="1:29" x14ac:dyDescent="0.35">
      <c r="A194" s="3" t="s">
        <v>128</v>
      </c>
      <c r="B194" s="1" t="s">
        <v>2</v>
      </c>
      <c r="C194" s="1" t="s">
        <v>597</v>
      </c>
      <c r="D194" s="1" t="s">
        <v>23</v>
      </c>
      <c r="E194" s="1" t="s">
        <v>50</v>
      </c>
      <c r="F194" s="4">
        <v>0</v>
      </c>
      <c r="G194">
        <v>32</v>
      </c>
      <c r="H194">
        <v>41</v>
      </c>
      <c r="I194">
        <v>14.7</v>
      </c>
      <c r="J194">
        <v>4.3</v>
      </c>
      <c r="K194">
        <v>0.46899999999999997</v>
      </c>
      <c r="L194">
        <v>2</v>
      </c>
      <c r="M194">
        <v>0.32100000000000001</v>
      </c>
      <c r="N194">
        <v>2.2999999999999998</v>
      </c>
      <c r="O194">
        <v>0.59399999999999997</v>
      </c>
      <c r="P194">
        <v>0.54200000000000004</v>
      </c>
      <c r="Q194">
        <v>0.8</v>
      </c>
      <c r="R194">
        <v>0.77400000000000002</v>
      </c>
      <c r="S194">
        <v>2.7</v>
      </c>
      <c r="T194">
        <v>1.7</v>
      </c>
      <c r="U194">
        <v>0.2</v>
      </c>
      <c r="V194">
        <v>0.3</v>
      </c>
      <c r="W194">
        <v>0.6</v>
      </c>
      <c r="X194">
        <v>1.1000000000000001</v>
      </c>
      <c r="Y194">
        <v>5.3</v>
      </c>
      <c r="Z194">
        <v>9</v>
      </c>
      <c r="AA194">
        <v>-2.2999999999999998</v>
      </c>
      <c r="AB194">
        <v>12.1</v>
      </c>
      <c r="AC194">
        <v>9.2999999999999999E-2</v>
      </c>
    </row>
    <row r="195" spans="1:29" x14ac:dyDescent="0.35">
      <c r="A195" s="3" t="s">
        <v>575</v>
      </c>
      <c r="B195" s="1" t="s">
        <v>2</v>
      </c>
      <c r="C195" s="1" t="s">
        <v>598</v>
      </c>
      <c r="D195" s="1" t="s">
        <v>23</v>
      </c>
      <c r="E195" s="1" t="s">
        <v>20</v>
      </c>
      <c r="F195" s="4">
        <v>-1.4</v>
      </c>
      <c r="G195">
        <v>20</v>
      </c>
      <c r="H195">
        <v>50</v>
      </c>
      <c r="I195">
        <v>21.2</v>
      </c>
      <c r="J195">
        <v>5.0999999999999996</v>
      </c>
      <c r="K195">
        <v>0.32300000000000001</v>
      </c>
      <c r="L195">
        <v>2.7</v>
      </c>
      <c r="M195">
        <v>0.25900000000000001</v>
      </c>
      <c r="N195">
        <v>2.4</v>
      </c>
      <c r="O195">
        <v>0.39300000000000002</v>
      </c>
      <c r="P195">
        <v>0.39100000000000001</v>
      </c>
      <c r="Q195">
        <v>0.8</v>
      </c>
      <c r="R195">
        <v>0.72499999999999998</v>
      </c>
      <c r="S195">
        <v>2.2999999999999998</v>
      </c>
      <c r="T195">
        <v>1.2</v>
      </c>
      <c r="U195">
        <v>0.5</v>
      </c>
      <c r="V195">
        <v>0.3</v>
      </c>
      <c r="W195">
        <v>0.9</v>
      </c>
      <c r="X195">
        <v>1.9</v>
      </c>
      <c r="Y195">
        <v>4.5999999999999996</v>
      </c>
      <c r="Z195">
        <v>0</v>
      </c>
      <c r="AA195">
        <v>-7.3</v>
      </c>
      <c r="AB195">
        <v>3.7</v>
      </c>
      <c r="AC195">
        <v>-5.2999999999999999E-2</v>
      </c>
    </row>
    <row r="196" spans="1:29" x14ac:dyDescent="0.35">
      <c r="A196" s="3" t="s">
        <v>295</v>
      </c>
      <c r="B196" s="1" t="s">
        <v>2</v>
      </c>
      <c r="C196" s="1" t="s">
        <v>598</v>
      </c>
      <c r="D196" s="1" t="s">
        <v>23</v>
      </c>
      <c r="E196" s="1" t="s">
        <v>28</v>
      </c>
      <c r="F196" s="4">
        <v>-0.1</v>
      </c>
      <c r="G196">
        <v>23</v>
      </c>
      <c r="H196">
        <v>64</v>
      </c>
      <c r="I196">
        <v>19.8</v>
      </c>
      <c r="J196">
        <v>7.4</v>
      </c>
      <c r="K196">
        <v>0.42899999999999999</v>
      </c>
      <c r="L196">
        <v>4.9000000000000004</v>
      </c>
      <c r="M196">
        <v>0.376</v>
      </c>
      <c r="N196">
        <v>2.5</v>
      </c>
      <c r="O196">
        <v>0.53400000000000003</v>
      </c>
      <c r="P196">
        <v>0.55400000000000005</v>
      </c>
      <c r="Q196">
        <v>0.8</v>
      </c>
      <c r="R196">
        <v>0.84899999999999998</v>
      </c>
      <c r="S196">
        <v>2.9</v>
      </c>
      <c r="T196">
        <v>1.1000000000000001</v>
      </c>
      <c r="U196">
        <v>0.6</v>
      </c>
      <c r="V196">
        <v>0.1</v>
      </c>
      <c r="W196">
        <v>0.6</v>
      </c>
      <c r="X196">
        <v>2</v>
      </c>
      <c r="Y196">
        <v>8.9</v>
      </c>
      <c r="Z196">
        <v>2</v>
      </c>
      <c r="AA196">
        <v>-2.2999999999999998</v>
      </c>
      <c r="AB196">
        <v>11.8</v>
      </c>
      <c r="AC196">
        <v>0.06</v>
      </c>
    </row>
    <row r="197" spans="1:29" x14ac:dyDescent="0.35">
      <c r="A197" s="3" t="s">
        <v>287</v>
      </c>
      <c r="B197" s="1" t="s">
        <v>18</v>
      </c>
      <c r="C197" s="1" t="s">
        <v>35</v>
      </c>
      <c r="D197" s="1" t="s">
        <v>19</v>
      </c>
      <c r="E197" s="1" t="s">
        <v>20</v>
      </c>
      <c r="F197" s="4">
        <v>0.6</v>
      </c>
      <c r="G197">
        <v>24</v>
      </c>
      <c r="H197">
        <v>40</v>
      </c>
      <c r="I197">
        <v>11.7</v>
      </c>
      <c r="J197">
        <v>2.7</v>
      </c>
      <c r="K197">
        <v>0.79800000000000004</v>
      </c>
      <c r="L197">
        <v>0.1</v>
      </c>
      <c r="M197">
        <v>0.2</v>
      </c>
      <c r="N197">
        <v>2.6</v>
      </c>
      <c r="O197">
        <v>0.82699999999999996</v>
      </c>
      <c r="P197">
        <v>0.80300000000000005</v>
      </c>
      <c r="Q197">
        <v>0.8</v>
      </c>
      <c r="R197">
        <v>0.71899999999999997</v>
      </c>
      <c r="S197">
        <v>3.1</v>
      </c>
      <c r="T197">
        <v>0.6</v>
      </c>
      <c r="U197">
        <v>0.4</v>
      </c>
      <c r="V197">
        <v>0.6</v>
      </c>
      <c r="W197">
        <v>0.5</v>
      </c>
      <c r="X197">
        <v>1.3</v>
      </c>
      <c r="Y197">
        <v>5</v>
      </c>
      <c r="Z197">
        <v>3</v>
      </c>
      <c r="AA197">
        <v>2.9</v>
      </c>
      <c r="AB197">
        <v>20.2</v>
      </c>
      <c r="AC197">
        <v>0.216</v>
      </c>
    </row>
    <row r="198" spans="1:29" x14ac:dyDescent="0.35">
      <c r="A198" s="3" t="s">
        <v>414</v>
      </c>
      <c r="B198" s="1" t="s">
        <v>2</v>
      </c>
      <c r="C198" s="1" t="s">
        <v>597</v>
      </c>
      <c r="D198" s="1" t="s">
        <v>23</v>
      </c>
      <c r="E198" s="1" t="s">
        <v>20</v>
      </c>
      <c r="F198" s="4">
        <v>0.5</v>
      </c>
      <c r="G198">
        <v>30</v>
      </c>
      <c r="H198">
        <v>72</v>
      </c>
      <c r="I198">
        <v>15.1</v>
      </c>
      <c r="J198">
        <v>6.2</v>
      </c>
      <c r="K198">
        <v>0.40100000000000002</v>
      </c>
      <c r="L198">
        <v>3.6</v>
      </c>
      <c r="M198">
        <v>0.36299999999999999</v>
      </c>
      <c r="N198">
        <v>2.6</v>
      </c>
      <c r="O198">
        <v>0.45300000000000001</v>
      </c>
      <c r="P198">
        <v>0.50600000000000001</v>
      </c>
      <c r="Q198">
        <v>0.8</v>
      </c>
      <c r="R198">
        <v>0.90700000000000003</v>
      </c>
      <c r="S198">
        <v>1.4</v>
      </c>
      <c r="T198">
        <v>2.8</v>
      </c>
      <c r="U198">
        <v>0.5</v>
      </c>
      <c r="V198">
        <v>0.2</v>
      </c>
      <c r="W198">
        <v>0.7</v>
      </c>
      <c r="X198">
        <v>1.5</v>
      </c>
      <c r="Y198">
        <v>6.9</v>
      </c>
      <c r="Z198">
        <v>9</v>
      </c>
      <c r="AA198">
        <v>-0.2</v>
      </c>
      <c r="AB198">
        <v>13.8</v>
      </c>
      <c r="AC198">
        <v>9.9000000000000005E-2</v>
      </c>
    </row>
    <row r="199" spans="1:29" x14ac:dyDescent="0.35">
      <c r="A199" s="3" t="s">
        <v>461</v>
      </c>
      <c r="B199" s="1" t="s">
        <v>2</v>
      </c>
      <c r="C199" s="1" t="s">
        <v>597</v>
      </c>
      <c r="D199" s="1" t="s">
        <v>23</v>
      </c>
      <c r="E199" s="1" t="s">
        <v>50</v>
      </c>
      <c r="F199" s="4">
        <v>0.3</v>
      </c>
      <c r="G199">
        <v>22</v>
      </c>
      <c r="H199">
        <v>56</v>
      </c>
      <c r="I199">
        <v>14.6</v>
      </c>
      <c r="J199">
        <v>4.8</v>
      </c>
      <c r="K199">
        <v>0.48699999999999999</v>
      </c>
      <c r="L199">
        <v>2.1</v>
      </c>
      <c r="M199">
        <v>0.40799999999999997</v>
      </c>
      <c r="N199">
        <v>2.7</v>
      </c>
      <c r="O199">
        <v>0.55000000000000004</v>
      </c>
      <c r="P199">
        <v>0.57699999999999996</v>
      </c>
      <c r="Q199">
        <v>0.8</v>
      </c>
      <c r="R199">
        <v>0.8</v>
      </c>
      <c r="S199">
        <v>1.9</v>
      </c>
      <c r="T199">
        <v>1.9</v>
      </c>
      <c r="U199">
        <v>0.8</v>
      </c>
      <c r="V199">
        <v>0.3</v>
      </c>
      <c r="W199">
        <v>0.9</v>
      </c>
      <c r="X199">
        <v>1.6</v>
      </c>
      <c r="Y199">
        <v>6.2</v>
      </c>
      <c r="Z199">
        <v>2</v>
      </c>
      <c r="AA199">
        <v>-0.5</v>
      </c>
      <c r="AB199">
        <v>14</v>
      </c>
      <c r="AC199">
        <v>0.10100000000000001</v>
      </c>
    </row>
    <row r="200" spans="1:29" x14ac:dyDescent="0.35">
      <c r="A200" s="3" t="s">
        <v>449</v>
      </c>
      <c r="B200" s="1" t="s">
        <v>2</v>
      </c>
      <c r="C200" s="1" t="s">
        <v>598</v>
      </c>
      <c r="D200" s="1" t="s">
        <v>23</v>
      </c>
      <c r="E200" s="1" t="s">
        <v>50</v>
      </c>
      <c r="F200" s="4">
        <v>-0.2</v>
      </c>
      <c r="G200">
        <v>24</v>
      </c>
      <c r="H200">
        <v>44</v>
      </c>
      <c r="I200">
        <v>15</v>
      </c>
      <c r="J200">
        <v>5.6</v>
      </c>
      <c r="K200">
        <v>0.45600000000000002</v>
      </c>
      <c r="L200">
        <v>2.9</v>
      </c>
      <c r="M200">
        <v>0.39500000000000002</v>
      </c>
      <c r="N200">
        <v>2.7</v>
      </c>
      <c r="O200">
        <v>0.52100000000000002</v>
      </c>
      <c r="P200">
        <v>0.55800000000000005</v>
      </c>
      <c r="Q200">
        <v>0.8</v>
      </c>
      <c r="R200">
        <v>0.8</v>
      </c>
      <c r="S200">
        <v>1.4</v>
      </c>
      <c r="T200">
        <v>0.9</v>
      </c>
      <c r="U200">
        <v>0.5</v>
      </c>
      <c r="V200">
        <v>0.1</v>
      </c>
      <c r="W200">
        <v>0.7</v>
      </c>
      <c r="X200">
        <v>0.9</v>
      </c>
      <c r="Y200">
        <v>6.9</v>
      </c>
      <c r="Z200">
        <v>0</v>
      </c>
      <c r="AA200">
        <v>-3.2</v>
      </c>
      <c r="AB200">
        <v>11.7</v>
      </c>
      <c r="AC200">
        <v>2.9000000000000001E-2</v>
      </c>
    </row>
    <row r="201" spans="1:29" x14ac:dyDescent="0.35">
      <c r="A201" s="3" t="s">
        <v>459</v>
      </c>
      <c r="B201" s="1" t="s">
        <v>26</v>
      </c>
      <c r="C201" s="1" t="s">
        <v>598</v>
      </c>
      <c r="D201" s="1" t="s">
        <v>23</v>
      </c>
      <c r="E201" s="1" t="s">
        <v>50</v>
      </c>
      <c r="F201" s="4">
        <v>-0.2</v>
      </c>
      <c r="G201">
        <v>24</v>
      </c>
      <c r="H201">
        <v>66</v>
      </c>
      <c r="I201">
        <v>18.8</v>
      </c>
      <c r="J201">
        <v>5.3</v>
      </c>
      <c r="K201">
        <v>0.45500000000000002</v>
      </c>
      <c r="L201">
        <v>2.5</v>
      </c>
      <c r="M201">
        <v>0.34100000000000003</v>
      </c>
      <c r="N201">
        <v>2.8</v>
      </c>
      <c r="O201">
        <v>0.55700000000000005</v>
      </c>
      <c r="P201">
        <v>0.53600000000000003</v>
      </c>
      <c r="Q201">
        <v>0.8</v>
      </c>
      <c r="R201">
        <v>0.83599999999999997</v>
      </c>
      <c r="S201">
        <v>4.8</v>
      </c>
      <c r="T201">
        <v>1.3</v>
      </c>
      <c r="U201">
        <v>0.6</v>
      </c>
      <c r="V201">
        <v>0.1</v>
      </c>
      <c r="W201">
        <v>0.8</v>
      </c>
      <c r="X201">
        <v>1.2</v>
      </c>
      <c r="Y201">
        <v>6.3</v>
      </c>
      <c r="Z201">
        <v>3</v>
      </c>
      <c r="AA201">
        <v>-2.5</v>
      </c>
      <c r="AB201">
        <v>12.9</v>
      </c>
      <c r="AC201">
        <v>6.7000000000000004E-2</v>
      </c>
    </row>
    <row r="202" spans="1:29" x14ac:dyDescent="0.35">
      <c r="A202" s="3" t="s">
        <v>235</v>
      </c>
      <c r="B202" s="1" t="s">
        <v>2</v>
      </c>
      <c r="C202" s="1" t="s">
        <v>598</v>
      </c>
      <c r="D202" s="1" t="s">
        <v>19</v>
      </c>
      <c r="E202" s="1" t="s">
        <v>20</v>
      </c>
      <c r="F202" s="4">
        <v>0.5</v>
      </c>
      <c r="G202">
        <v>32</v>
      </c>
      <c r="H202">
        <v>82</v>
      </c>
      <c r="I202">
        <v>22.7</v>
      </c>
      <c r="J202">
        <v>9.6</v>
      </c>
      <c r="K202">
        <v>0.41699999999999998</v>
      </c>
      <c r="L202">
        <v>6.7</v>
      </c>
      <c r="M202">
        <v>0.37</v>
      </c>
      <c r="N202">
        <v>2.9</v>
      </c>
      <c r="O202">
        <v>0.52700000000000002</v>
      </c>
      <c r="P202">
        <v>0.54600000000000004</v>
      </c>
      <c r="Q202">
        <v>0.8</v>
      </c>
      <c r="R202">
        <v>0.82799999999999996</v>
      </c>
      <c r="S202">
        <v>3.2</v>
      </c>
      <c r="T202">
        <v>1.6</v>
      </c>
      <c r="U202">
        <v>0.8</v>
      </c>
      <c r="V202">
        <v>0.3</v>
      </c>
      <c r="W202">
        <v>1.1000000000000001</v>
      </c>
      <c r="X202">
        <v>1.6</v>
      </c>
      <c r="Y202">
        <v>11.1</v>
      </c>
      <c r="Z202">
        <v>8</v>
      </c>
      <c r="AA202">
        <v>-1</v>
      </c>
      <c r="AB202">
        <v>12.3</v>
      </c>
      <c r="AC202">
        <v>7.2999999999999995E-2</v>
      </c>
    </row>
    <row r="203" spans="1:29" x14ac:dyDescent="0.35">
      <c r="A203" s="3" t="s">
        <v>252</v>
      </c>
      <c r="B203" s="1" t="s">
        <v>26</v>
      </c>
      <c r="C203" s="1" t="s">
        <v>598</v>
      </c>
      <c r="D203" s="1" t="s">
        <v>23</v>
      </c>
      <c r="E203" s="1" t="s">
        <v>50</v>
      </c>
      <c r="F203" s="4">
        <v>-0.2</v>
      </c>
      <c r="G203">
        <v>22</v>
      </c>
      <c r="H203">
        <v>61</v>
      </c>
      <c r="I203">
        <v>17.100000000000001</v>
      </c>
      <c r="J203">
        <v>3.1</v>
      </c>
      <c r="K203">
        <v>0.60399999999999998</v>
      </c>
      <c r="L203">
        <v>0</v>
      </c>
      <c r="M203">
        <v>0</v>
      </c>
      <c r="N203">
        <v>3</v>
      </c>
      <c r="O203">
        <v>0.61099999999999999</v>
      </c>
      <c r="P203">
        <v>0.60399999999999998</v>
      </c>
      <c r="Q203">
        <v>0.8</v>
      </c>
      <c r="R203">
        <v>0.57999999999999996</v>
      </c>
      <c r="S203">
        <v>3.6</v>
      </c>
      <c r="T203">
        <v>1.2</v>
      </c>
      <c r="U203">
        <v>0.5</v>
      </c>
      <c r="V203">
        <v>0.5</v>
      </c>
      <c r="W203">
        <v>0.6</v>
      </c>
      <c r="X203">
        <v>1.7</v>
      </c>
      <c r="Y203">
        <v>4.2</v>
      </c>
      <c r="Z203">
        <v>0</v>
      </c>
      <c r="AA203">
        <v>-2.6</v>
      </c>
      <c r="AB203">
        <v>11.1</v>
      </c>
      <c r="AC203">
        <v>7.4999999999999997E-2</v>
      </c>
    </row>
    <row r="204" spans="1:29" x14ac:dyDescent="0.35">
      <c r="A204" s="3" t="s">
        <v>87</v>
      </c>
      <c r="B204" s="1" t="s">
        <v>18</v>
      </c>
      <c r="C204" s="1" t="s">
        <v>35</v>
      </c>
      <c r="D204" s="1" t="s">
        <v>23</v>
      </c>
      <c r="E204" s="1" t="s">
        <v>28</v>
      </c>
      <c r="F204" s="4">
        <v>0.1</v>
      </c>
      <c r="G204">
        <v>25</v>
      </c>
      <c r="H204">
        <v>13</v>
      </c>
      <c r="I204">
        <v>9.1999999999999993</v>
      </c>
      <c r="J204">
        <v>3.8</v>
      </c>
      <c r="K204">
        <v>0.69399999999999995</v>
      </c>
      <c r="L204">
        <v>0</v>
      </c>
      <c r="M204" t="s">
        <v>599</v>
      </c>
      <c r="N204">
        <v>3.8</v>
      </c>
      <c r="O204">
        <v>0.69399999999999995</v>
      </c>
      <c r="P204">
        <v>0.69399999999999995</v>
      </c>
      <c r="Q204">
        <v>0.8</v>
      </c>
      <c r="R204">
        <v>0.72699999999999998</v>
      </c>
      <c r="S204">
        <v>3.4</v>
      </c>
      <c r="T204">
        <v>0.2</v>
      </c>
      <c r="U204">
        <v>0.5</v>
      </c>
      <c r="V204">
        <v>0.3</v>
      </c>
      <c r="W204">
        <v>0.8</v>
      </c>
      <c r="X204">
        <v>1.3</v>
      </c>
      <c r="Y204">
        <v>5.8</v>
      </c>
      <c r="Z204">
        <v>5</v>
      </c>
      <c r="AA204">
        <v>0.1</v>
      </c>
      <c r="AB204">
        <v>22.4</v>
      </c>
      <c r="AC204">
        <v>0.14599999999999999</v>
      </c>
    </row>
    <row r="205" spans="1:29" x14ac:dyDescent="0.35">
      <c r="A205" s="3" t="s">
        <v>24</v>
      </c>
      <c r="B205" s="1" t="s">
        <v>2</v>
      </c>
      <c r="C205" s="1" t="s">
        <v>597</v>
      </c>
      <c r="D205" s="1" t="s">
        <v>23</v>
      </c>
      <c r="E205" s="1" t="s">
        <v>20</v>
      </c>
      <c r="F205" s="4">
        <v>0.5</v>
      </c>
      <c r="G205">
        <v>24</v>
      </c>
      <c r="H205">
        <v>64</v>
      </c>
      <c r="I205">
        <v>27.2</v>
      </c>
      <c r="J205">
        <v>8.3000000000000007</v>
      </c>
      <c r="K205">
        <v>0.498</v>
      </c>
      <c r="L205">
        <v>4</v>
      </c>
      <c r="M205">
        <v>0.39900000000000002</v>
      </c>
      <c r="N205">
        <v>4.4000000000000004</v>
      </c>
      <c r="O205">
        <v>0.58699999999999997</v>
      </c>
      <c r="P205">
        <v>0.59299999999999997</v>
      </c>
      <c r="Q205">
        <v>0.8</v>
      </c>
      <c r="R205">
        <v>0.70799999999999996</v>
      </c>
      <c r="S205">
        <v>3.8</v>
      </c>
      <c r="T205">
        <v>1.5</v>
      </c>
      <c r="U205">
        <v>0.9</v>
      </c>
      <c r="V205">
        <v>0.5</v>
      </c>
      <c r="W205">
        <v>0.8</v>
      </c>
      <c r="X205">
        <v>2</v>
      </c>
      <c r="Y205">
        <v>10.4</v>
      </c>
      <c r="Z205">
        <v>2</v>
      </c>
      <c r="AA205">
        <v>-0.7</v>
      </c>
      <c r="AB205">
        <v>12</v>
      </c>
      <c r="AC205">
        <v>8.6999999999999994E-2</v>
      </c>
    </row>
    <row r="206" spans="1:29" x14ac:dyDescent="0.35">
      <c r="A206" s="3" t="s">
        <v>496</v>
      </c>
      <c r="B206" s="1" t="s">
        <v>2</v>
      </c>
      <c r="C206" s="1" t="s">
        <v>597</v>
      </c>
      <c r="D206" s="1" t="s">
        <v>23</v>
      </c>
      <c r="E206" s="1" t="s">
        <v>20</v>
      </c>
      <c r="F206" s="4">
        <v>-1.3</v>
      </c>
      <c r="G206">
        <v>20</v>
      </c>
      <c r="H206">
        <v>60</v>
      </c>
      <c r="I206">
        <v>22.8</v>
      </c>
      <c r="J206">
        <v>9.5</v>
      </c>
      <c r="K206">
        <v>0.39100000000000001</v>
      </c>
      <c r="L206">
        <v>5.0999999999999996</v>
      </c>
      <c r="M206">
        <v>0.34</v>
      </c>
      <c r="N206">
        <v>4.4000000000000004</v>
      </c>
      <c r="O206">
        <v>0.45</v>
      </c>
      <c r="P206">
        <v>0.48199999999999998</v>
      </c>
      <c r="Q206">
        <v>0.8</v>
      </c>
      <c r="R206">
        <v>0.93500000000000005</v>
      </c>
      <c r="S206">
        <v>2.1</v>
      </c>
      <c r="T206">
        <v>2.4</v>
      </c>
      <c r="U206">
        <v>0.3</v>
      </c>
      <c r="V206">
        <v>0.1</v>
      </c>
      <c r="W206">
        <v>1.4</v>
      </c>
      <c r="X206">
        <v>1.3</v>
      </c>
      <c r="Y206">
        <v>9.9</v>
      </c>
      <c r="Z206">
        <v>1</v>
      </c>
      <c r="AA206">
        <v>-5.7</v>
      </c>
      <c r="AB206">
        <v>8.3000000000000007</v>
      </c>
      <c r="AC206">
        <v>-1.9E-2</v>
      </c>
    </row>
    <row r="207" spans="1:29" x14ac:dyDescent="0.35">
      <c r="A207" s="3" t="s">
        <v>332</v>
      </c>
      <c r="B207" s="1" t="s">
        <v>2</v>
      </c>
      <c r="C207" s="1" t="s">
        <v>597</v>
      </c>
      <c r="D207" s="1" t="s">
        <v>23</v>
      </c>
      <c r="E207" s="1" t="s">
        <v>20</v>
      </c>
      <c r="F207" s="4">
        <v>0.1</v>
      </c>
      <c r="G207">
        <v>38</v>
      </c>
      <c r="H207">
        <v>35</v>
      </c>
      <c r="I207">
        <v>18.8</v>
      </c>
      <c r="J207">
        <v>3.3</v>
      </c>
      <c r="K207">
        <v>0.35</v>
      </c>
      <c r="L207">
        <v>2.5</v>
      </c>
      <c r="M207">
        <v>0.33</v>
      </c>
      <c r="N207">
        <v>0.8</v>
      </c>
      <c r="O207">
        <v>0.41399999999999998</v>
      </c>
      <c r="P207">
        <v>0.47399999999999998</v>
      </c>
      <c r="Q207">
        <v>0.9</v>
      </c>
      <c r="R207">
        <v>0.81799999999999995</v>
      </c>
      <c r="S207">
        <v>1.9</v>
      </c>
      <c r="T207">
        <v>2.7</v>
      </c>
      <c r="U207">
        <v>0.9</v>
      </c>
      <c r="V207">
        <v>0.3</v>
      </c>
      <c r="W207">
        <v>0.6</v>
      </c>
      <c r="X207">
        <v>1.8</v>
      </c>
      <c r="Y207">
        <v>3.9</v>
      </c>
      <c r="Z207">
        <v>18</v>
      </c>
      <c r="AA207">
        <v>-1.3</v>
      </c>
      <c r="AB207">
        <v>9.8000000000000007</v>
      </c>
      <c r="AC207">
        <v>7.0000000000000007E-2</v>
      </c>
    </row>
    <row r="208" spans="1:29" x14ac:dyDescent="0.35">
      <c r="A208" s="3" t="s">
        <v>502</v>
      </c>
      <c r="B208" s="1" t="s">
        <v>2</v>
      </c>
      <c r="C208" s="1" t="s">
        <v>35</v>
      </c>
      <c r="D208" s="1" t="s">
        <v>23</v>
      </c>
      <c r="E208" s="1" t="s">
        <v>20</v>
      </c>
      <c r="F208" s="4">
        <v>-0.1</v>
      </c>
      <c r="G208">
        <v>22</v>
      </c>
      <c r="H208">
        <v>43</v>
      </c>
      <c r="I208">
        <v>8.5</v>
      </c>
      <c r="J208">
        <v>2.1</v>
      </c>
      <c r="K208">
        <v>0.38900000000000001</v>
      </c>
      <c r="L208">
        <v>1.1000000000000001</v>
      </c>
      <c r="M208">
        <v>0.25</v>
      </c>
      <c r="N208">
        <v>1</v>
      </c>
      <c r="O208">
        <v>0.54800000000000004</v>
      </c>
      <c r="P208">
        <v>0.45600000000000002</v>
      </c>
      <c r="Q208">
        <v>0.9</v>
      </c>
      <c r="R208">
        <v>0.71099999999999997</v>
      </c>
      <c r="S208">
        <v>1.3</v>
      </c>
      <c r="T208">
        <v>0.8</v>
      </c>
      <c r="U208">
        <v>0.6</v>
      </c>
      <c r="V208">
        <v>0.1</v>
      </c>
      <c r="W208">
        <v>0.4</v>
      </c>
      <c r="X208">
        <v>1</v>
      </c>
      <c r="Y208">
        <v>2.5</v>
      </c>
      <c r="Z208">
        <v>3</v>
      </c>
      <c r="AA208">
        <v>-2.7</v>
      </c>
      <c r="AB208">
        <v>10.7</v>
      </c>
      <c r="AC208">
        <v>7.0000000000000007E-2</v>
      </c>
    </row>
    <row r="209" spans="1:29" x14ac:dyDescent="0.35">
      <c r="A209" s="3" t="s">
        <v>187</v>
      </c>
      <c r="B209" s="1" t="s">
        <v>26</v>
      </c>
      <c r="C209" s="1" t="s">
        <v>597</v>
      </c>
      <c r="D209" s="1" t="s">
        <v>23</v>
      </c>
      <c r="E209" s="1" t="s">
        <v>50</v>
      </c>
      <c r="F209" s="4">
        <v>-0.2</v>
      </c>
      <c r="G209">
        <v>24</v>
      </c>
      <c r="H209">
        <v>22</v>
      </c>
      <c r="I209">
        <v>8.1999999999999993</v>
      </c>
      <c r="J209">
        <v>1.7</v>
      </c>
      <c r="K209">
        <v>0.432</v>
      </c>
      <c r="L209">
        <v>0.5</v>
      </c>
      <c r="M209">
        <v>0.1</v>
      </c>
      <c r="N209">
        <v>1.2</v>
      </c>
      <c r="O209">
        <v>0.55600000000000005</v>
      </c>
      <c r="P209">
        <v>0.44600000000000001</v>
      </c>
      <c r="Q209">
        <v>0.9</v>
      </c>
      <c r="R209">
        <v>0.68400000000000005</v>
      </c>
      <c r="S209">
        <v>1.4</v>
      </c>
      <c r="T209">
        <v>0.4</v>
      </c>
      <c r="U209">
        <v>0.1</v>
      </c>
      <c r="V209">
        <v>0.1</v>
      </c>
      <c r="W209">
        <v>0.3</v>
      </c>
      <c r="X209">
        <v>1</v>
      </c>
      <c r="Y209">
        <v>2.1</v>
      </c>
      <c r="Z209">
        <v>0</v>
      </c>
      <c r="AA209">
        <v>-6.3</v>
      </c>
      <c r="AB209">
        <v>7.4</v>
      </c>
      <c r="AC209">
        <v>4.5999999999999999E-2</v>
      </c>
    </row>
    <row r="210" spans="1:29" x14ac:dyDescent="0.35">
      <c r="A210" s="3" t="s">
        <v>248</v>
      </c>
      <c r="B210" s="1" t="s">
        <v>18</v>
      </c>
      <c r="C210" s="1" t="s">
        <v>598</v>
      </c>
      <c r="D210" s="1" t="s">
        <v>23</v>
      </c>
      <c r="E210" s="1" t="s">
        <v>28</v>
      </c>
      <c r="F210" s="4">
        <v>1.1000000000000001</v>
      </c>
      <c r="G210">
        <v>26</v>
      </c>
      <c r="H210">
        <v>64</v>
      </c>
      <c r="I210">
        <v>11.7</v>
      </c>
      <c r="J210">
        <v>4.8</v>
      </c>
      <c r="K210">
        <v>0.51500000000000001</v>
      </c>
      <c r="L210">
        <v>3.1</v>
      </c>
      <c r="M210">
        <v>0.40500000000000003</v>
      </c>
      <c r="N210">
        <v>1.6</v>
      </c>
      <c r="O210">
        <v>0.72399999999999998</v>
      </c>
      <c r="P210">
        <v>0.64800000000000002</v>
      </c>
      <c r="Q210">
        <v>0.9</v>
      </c>
      <c r="R210">
        <v>0.78600000000000003</v>
      </c>
      <c r="S210">
        <v>2</v>
      </c>
      <c r="T210">
        <v>0.6</v>
      </c>
      <c r="U210">
        <v>0.3</v>
      </c>
      <c r="V210">
        <v>0.9</v>
      </c>
      <c r="W210">
        <v>0.5</v>
      </c>
      <c r="X210">
        <v>1.2</v>
      </c>
      <c r="Y210">
        <v>6.9</v>
      </c>
      <c r="Z210">
        <v>3</v>
      </c>
      <c r="AA210">
        <v>3.5</v>
      </c>
      <c r="AB210">
        <v>18.2</v>
      </c>
      <c r="AC210">
        <v>0.16200000000000001</v>
      </c>
    </row>
    <row r="211" spans="1:29" x14ac:dyDescent="0.35">
      <c r="A211" s="3" t="s">
        <v>116</v>
      </c>
      <c r="B211" s="1" t="s">
        <v>2</v>
      </c>
      <c r="C211" s="1" t="s">
        <v>598</v>
      </c>
      <c r="D211" s="1" t="s">
        <v>23</v>
      </c>
      <c r="E211" s="1" t="s">
        <v>50</v>
      </c>
      <c r="F211" s="4">
        <v>0.2</v>
      </c>
      <c r="G211">
        <v>23</v>
      </c>
      <c r="H211">
        <v>40</v>
      </c>
      <c r="I211">
        <v>13.1</v>
      </c>
      <c r="J211">
        <v>3</v>
      </c>
      <c r="K211">
        <v>0.46700000000000003</v>
      </c>
      <c r="L211">
        <v>1.3</v>
      </c>
      <c r="M211">
        <v>0.43099999999999999</v>
      </c>
      <c r="N211">
        <v>1.7</v>
      </c>
      <c r="O211">
        <v>0.49299999999999999</v>
      </c>
      <c r="P211">
        <v>0.55800000000000005</v>
      </c>
      <c r="Q211">
        <v>0.9</v>
      </c>
      <c r="R211">
        <v>0.78400000000000003</v>
      </c>
      <c r="S211">
        <v>1.3</v>
      </c>
      <c r="T211">
        <v>0.7</v>
      </c>
      <c r="U211">
        <v>0.9</v>
      </c>
      <c r="V211">
        <v>0.1</v>
      </c>
      <c r="W211">
        <v>0.2</v>
      </c>
      <c r="X211">
        <v>1.5</v>
      </c>
      <c r="Y211">
        <v>4.0999999999999996</v>
      </c>
      <c r="Z211">
        <v>1</v>
      </c>
      <c r="AA211">
        <v>-0.2</v>
      </c>
      <c r="AB211">
        <v>12</v>
      </c>
      <c r="AC211">
        <v>0.14699999999999999</v>
      </c>
    </row>
    <row r="212" spans="1:29" x14ac:dyDescent="0.35">
      <c r="A212" s="3" t="s">
        <v>193</v>
      </c>
      <c r="B212" s="1" t="s">
        <v>18</v>
      </c>
      <c r="C212" s="1" t="s">
        <v>598</v>
      </c>
      <c r="D212" s="1" t="s">
        <v>33</v>
      </c>
      <c r="E212" s="1" t="s">
        <v>50</v>
      </c>
      <c r="F212" s="4">
        <v>0</v>
      </c>
      <c r="G212">
        <v>26</v>
      </c>
      <c r="H212">
        <v>39</v>
      </c>
      <c r="I212">
        <v>5.6</v>
      </c>
      <c r="J212">
        <v>2.7</v>
      </c>
      <c r="K212">
        <v>0.495</v>
      </c>
      <c r="L212">
        <v>0.9</v>
      </c>
      <c r="M212">
        <v>0.27800000000000002</v>
      </c>
      <c r="N212">
        <v>1.8</v>
      </c>
      <c r="O212">
        <v>0.60899999999999999</v>
      </c>
      <c r="P212">
        <v>0.54300000000000004</v>
      </c>
      <c r="Q212">
        <v>0.9</v>
      </c>
      <c r="R212">
        <v>0.68600000000000005</v>
      </c>
      <c r="S212">
        <v>1.4</v>
      </c>
      <c r="T212">
        <v>0.3</v>
      </c>
      <c r="U212">
        <v>0.2</v>
      </c>
      <c r="V212">
        <v>0.1</v>
      </c>
      <c r="W212">
        <v>0.3</v>
      </c>
      <c r="X212">
        <v>0.7</v>
      </c>
      <c r="Y212">
        <v>3.5</v>
      </c>
      <c r="Z212">
        <v>3</v>
      </c>
      <c r="AA212">
        <v>-2.2999999999999998</v>
      </c>
      <c r="AB212">
        <v>18.8</v>
      </c>
      <c r="AC212">
        <v>0.14399999999999999</v>
      </c>
    </row>
    <row r="213" spans="1:29" x14ac:dyDescent="0.35">
      <c r="A213" s="3" t="s">
        <v>270</v>
      </c>
      <c r="B213" s="1" t="s">
        <v>18</v>
      </c>
      <c r="C213" s="1" t="s">
        <v>35</v>
      </c>
      <c r="D213" s="1" t="s">
        <v>23</v>
      </c>
      <c r="E213" s="1" t="s">
        <v>28</v>
      </c>
      <c r="F213" s="4">
        <v>-0.5</v>
      </c>
      <c r="G213">
        <v>25</v>
      </c>
      <c r="H213">
        <v>38</v>
      </c>
      <c r="I213">
        <v>10.3</v>
      </c>
      <c r="J213">
        <v>1.9</v>
      </c>
      <c r="K213">
        <v>0.55400000000000005</v>
      </c>
      <c r="L213">
        <v>0</v>
      </c>
      <c r="M213" t="s">
        <v>599</v>
      </c>
      <c r="N213">
        <v>1.9</v>
      </c>
      <c r="O213">
        <v>0.55400000000000005</v>
      </c>
      <c r="P213">
        <v>0.55400000000000005</v>
      </c>
      <c r="Q213">
        <v>0.9</v>
      </c>
      <c r="R213">
        <v>0.39400000000000002</v>
      </c>
      <c r="S213">
        <v>2.8</v>
      </c>
      <c r="T213">
        <v>0.4</v>
      </c>
      <c r="U213">
        <v>0.2</v>
      </c>
      <c r="V213">
        <v>0.4</v>
      </c>
      <c r="W213">
        <v>0.6</v>
      </c>
      <c r="X213">
        <v>1.8</v>
      </c>
      <c r="Y213">
        <v>2.5</v>
      </c>
      <c r="Z213">
        <v>1</v>
      </c>
      <c r="AA213">
        <v>-6.8</v>
      </c>
      <c r="AB213">
        <v>8.9</v>
      </c>
      <c r="AC213">
        <v>3.6999999999999998E-2</v>
      </c>
    </row>
    <row r="214" spans="1:29" x14ac:dyDescent="0.35">
      <c r="A214" s="3" t="s">
        <v>286</v>
      </c>
      <c r="B214" s="1" t="s">
        <v>26</v>
      </c>
      <c r="C214" s="1" t="s">
        <v>598</v>
      </c>
      <c r="D214" s="1" t="s">
        <v>23</v>
      </c>
      <c r="E214" s="1" t="s">
        <v>28</v>
      </c>
      <c r="F214" s="4">
        <v>0</v>
      </c>
      <c r="G214">
        <v>24</v>
      </c>
      <c r="H214">
        <v>40</v>
      </c>
      <c r="I214">
        <v>7.6</v>
      </c>
      <c r="J214">
        <v>2.1</v>
      </c>
      <c r="K214">
        <v>0.65100000000000002</v>
      </c>
      <c r="L214">
        <v>0.2</v>
      </c>
      <c r="M214">
        <v>0.375</v>
      </c>
      <c r="N214">
        <v>1.9</v>
      </c>
      <c r="O214">
        <v>0.68</v>
      </c>
      <c r="P214">
        <v>0.66900000000000004</v>
      </c>
      <c r="Q214">
        <v>0.9</v>
      </c>
      <c r="R214">
        <v>0.63900000000000001</v>
      </c>
      <c r="S214">
        <v>1.4</v>
      </c>
      <c r="T214">
        <v>0.3</v>
      </c>
      <c r="U214">
        <v>0.1</v>
      </c>
      <c r="V214">
        <v>0.3</v>
      </c>
      <c r="W214">
        <v>0.4</v>
      </c>
      <c r="X214">
        <v>0.8</v>
      </c>
      <c r="Y214">
        <v>3.4</v>
      </c>
      <c r="Z214">
        <v>0</v>
      </c>
      <c r="AA214">
        <v>-1.7</v>
      </c>
      <c r="AB214">
        <v>15.2</v>
      </c>
      <c r="AC214">
        <v>0.115</v>
      </c>
    </row>
    <row r="215" spans="1:29" x14ac:dyDescent="0.35">
      <c r="A215" s="3" t="s">
        <v>297</v>
      </c>
      <c r="B215" s="1" t="s">
        <v>18</v>
      </c>
      <c r="C215" s="1" t="s">
        <v>35</v>
      </c>
      <c r="D215" s="1" t="s">
        <v>23</v>
      </c>
      <c r="E215" s="1" t="s">
        <v>28</v>
      </c>
      <c r="F215" s="4">
        <v>-0.1</v>
      </c>
      <c r="G215">
        <v>27</v>
      </c>
      <c r="H215">
        <v>11</v>
      </c>
      <c r="I215">
        <v>11.5</v>
      </c>
      <c r="J215">
        <v>2</v>
      </c>
      <c r="K215">
        <v>0.63600000000000001</v>
      </c>
      <c r="L215">
        <v>0</v>
      </c>
      <c r="M215" t="s">
        <v>599</v>
      </c>
      <c r="N215">
        <v>2</v>
      </c>
      <c r="O215">
        <v>0.63600000000000001</v>
      </c>
      <c r="P215">
        <v>0.63600000000000001</v>
      </c>
      <c r="Q215">
        <v>0.9</v>
      </c>
      <c r="R215">
        <v>0.6</v>
      </c>
      <c r="S215">
        <v>3.5</v>
      </c>
      <c r="T215">
        <v>0.5</v>
      </c>
      <c r="U215">
        <v>0.1</v>
      </c>
      <c r="V215">
        <v>0.3</v>
      </c>
      <c r="W215">
        <v>0.4</v>
      </c>
      <c r="X215">
        <v>1.4</v>
      </c>
      <c r="Y215">
        <v>3.1</v>
      </c>
      <c r="Z215">
        <v>0</v>
      </c>
      <c r="AA215">
        <v>-5.4</v>
      </c>
      <c r="AB215">
        <v>12.1</v>
      </c>
      <c r="AC215">
        <v>0.10199999999999999</v>
      </c>
    </row>
    <row r="216" spans="1:29" x14ac:dyDescent="0.35">
      <c r="A216" s="3" t="s">
        <v>510</v>
      </c>
      <c r="B216" s="1" t="s">
        <v>26</v>
      </c>
      <c r="C216" s="1" t="s">
        <v>598</v>
      </c>
      <c r="D216" s="1" t="s">
        <v>23</v>
      </c>
      <c r="E216" s="1" t="s">
        <v>28</v>
      </c>
      <c r="F216" s="4">
        <v>0.2</v>
      </c>
      <c r="G216">
        <v>29</v>
      </c>
      <c r="H216">
        <v>52</v>
      </c>
      <c r="I216">
        <v>11.3</v>
      </c>
      <c r="J216">
        <v>2.8</v>
      </c>
      <c r="K216">
        <v>0.47299999999999998</v>
      </c>
      <c r="L216">
        <v>0.9</v>
      </c>
      <c r="M216">
        <v>0.34799999999999998</v>
      </c>
      <c r="N216">
        <v>2</v>
      </c>
      <c r="O216">
        <v>0.52900000000000003</v>
      </c>
      <c r="P216">
        <v>0.52700000000000002</v>
      </c>
      <c r="Q216">
        <v>0.9</v>
      </c>
      <c r="R216">
        <v>0.68100000000000005</v>
      </c>
      <c r="S216">
        <v>2.2999999999999998</v>
      </c>
      <c r="T216">
        <v>0.9</v>
      </c>
      <c r="U216">
        <v>0.5</v>
      </c>
      <c r="V216">
        <v>0.1</v>
      </c>
      <c r="W216">
        <v>0.4</v>
      </c>
      <c r="X216">
        <v>1.6</v>
      </c>
      <c r="Y216">
        <v>3.6</v>
      </c>
      <c r="Z216">
        <v>4</v>
      </c>
      <c r="AA216">
        <v>-0.7</v>
      </c>
      <c r="AB216">
        <v>12.3</v>
      </c>
      <c r="AC216">
        <v>0.13300000000000001</v>
      </c>
    </row>
    <row r="217" spans="1:29" x14ac:dyDescent="0.35">
      <c r="A217" s="3" t="s">
        <v>282</v>
      </c>
      <c r="B217" s="1" t="s">
        <v>2</v>
      </c>
      <c r="C217" s="1" t="s">
        <v>35</v>
      </c>
      <c r="D217" s="1" t="s">
        <v>23</v>
      </c>
      <c r="E217" s="1" t="s">
        <v>50</v>
      </c>
      <c r="F217" s="4">
        <v>-0.1</v>
      </c>
      <c r="G217">
        <v>22</v>
      </c>
      <c r="H217">
        <v>39</v>
      </c>
      <c r="I217">
        <v>13.2</v>
      </c>
      <c r="J217">
        <v>3.3</v>
      </c>
      <c r="K217">
        <v>0.45700000000000002</v>
      </c>
      <c r="L217">
        <v>1.3</v>
      </c>
      <c r="M217">
        <v>0.32700000000000001</v>
      </c>
      <c r="N217">
        <v>2.1</v>
      </c>
      <c r="O217">
        <v>0.53800000000000003</v>
      </c>
      <c r="P217">
        <v>0.51900000000000002</v>
      </c>
      <c r="Q217">
        <v>0.9</v>
      </c>
      <c r="R217">
        <v>0.65700000000000003</v>
      </c>
      <c r="S217">
        <v>2.2000000000000002</v>
      </c>
      <c r="T217">
        <v>1.1000000000000001</v>
      </c>
      <c r="U217">
        <v>0.7</v>
      </c>
      <c r="V217">
        <v>0.3</v>
      </c>
      <c r="W217">
        <v>0.6</v>
      </c>
      <c r="X217">
        <v>0.9</v>
      </c>
      <c r="Y217">
        <v>4</v>
      </c>
      <c r="Z217">
        <v>1</v>
      </c>
      <c r="AA217">
        <v>-2.8</v>
      </c>
      <c r="AB217">
        <v>11.4</v>
      </c>
      <c r="AC217">
        <v>5.2999999999999999E-2</v>
      </c>
    </row>
    <row r="218" spans="1:29" x14ac:dyDescent="0.35">
      <c r="A218" s="3" t="s">
        <v>514</v>
      </c>
      <c r="B218" s="1" t="s">
        <v>2</v>
      </c>
      <c r="C218" s="1" t="s">
        <v>597</v>
      </c>
      <c r="D218" s="1" t="s">
        <v>23</v>
      </c>
      <c r="E218" s="1" t="s">
        <v>20</v>
      </c>
      <c r="F218" s="4">
        <v>-0.5</v>
      </c>
      <c r="G218">
        <v>22</v>
      </c>
      <c r="H218">
        <v>73</v>
      </c>
      <c r="I218">
        <v>13.5</v>
      </c>
      <c r="J218">
        <v>3.7</v>
      </c>
      <c r="K218">
        <v>0.44800000000000001</v>
      </c>
      <c r="L218">
        <v>1.4</v>
      </c>
      <c r="M218">
        <v>0.35599999999999998</v>
      </c>
      <c r="N218">
        <v>2.2000000000000002</v>
      </c>
      <c r="O218">
        <v>0.50600000000000001</v>
      </c>
      <c r="P218">
        <v>0.51700000000000002</v>
      </c>
      <c r="Q218">
        <v>0.9</v>
      </c>
      <c r="R218">
        <v>0.71</v>
      </c>
      <c r="S218">
        <v>1.7</v>
      </c>
      <c r="T218">
        <v>1.3</v>
      </c>
      <c r="U218">
        <v>0.6</v>
      </c>
      <c r="V218">
        <v>0.2</v>
      </c>
      <c r="W218">
        <v>0.7</v>
      </c>
      <c r="X218">
        <v>1.6</v>
      </c>
      <c r="Y218">
        <v>4.5</v>
      </c>
      <c r="Z218">
        <v>2</v>
      </c>
      <c r="AA218">
        <v>-3.8</v>
      </c>
      <c r="AB218">
        <v>9.6</v>
      </c>
      <c r="AC218">
        <v>5.1999999999999998E-2</v>
      </c>
    </row>
    <row r="219" spans="1:29" x14ac:dyDescent="0.35">
      <c r="A219" s="3" t="s">
        <v>493</v>
      </c>
      <c r="B219" s="1" t="s">
        <v>2</v>
      </c>
      <c r="C219" s="1" t="s">
        <v>597</v>
      </c>
      <c r="D219" s="1" t="s">
        <v>23</v>
      </c>
      <c r="E219" s="1" t="s">
        <v>28</v>
      </c>
      <c r="F219" s="4">
        <v>0.3</v>
      </c>
      <c r="G219">
        <v>27</v>
      </c>
      <c r="H219">
        <v>14</v>
      </c>
      <c r="I219">
        <v>19.100000000000001</v>
      </c>
      <c r="J219">
        <v>4.4000000000000004</v>
      </c>
      <c r="K219">
        <v>0.50800000000000001</v>
      </c>
      <c r="L219">
        <v>2.1</v>
      </c>
      <c r="M219">
        <v>0.53300000000000003</v>
      </c>
      <c r="N219">
        <v>2.2000000000000002</v>
      </c>
      <c r="O219">
        <v>0.48399999999999999</v>
      </c>
      <c r="P219">
        <v>0.63900000000000001</v>
      </c>
      <c r="Q219">
        <v>0.9</v>
      </c>
      <c r="R219">
        <v>0.75</v>
      </c>
      <c r="S219">
        <v>2.6</v>
      </c>
      <c r="T219">
        <v>1.6</v>
      </c>
      <c r="U219">
        <v>1.5</v>
      </c>
      <c r="V219">
        <v>0.4</v>
      </c>
      <c r="W219">
        <v>1.2</v>
      </c>
      <c r="X219">
        <v>2.1</v>
      </c>
      <c r="Y219">
        <v>6.2</v>
      </c>
      <c r="Z219">
        <v>2</v>
      </c>
      <c r="AA219">
        <v>2.1</v>
      </c>
      <c r="AB219">
        <v>13.3</v>
      </c>
      <c r="AC219">
        <v>0.11799999999999999</v>
      </c>
    </row>
    <row r="220" spans="1:29" x14ac:dyDescent="0.35">
      <c r="A220" s="3" t="s">
        <v>549</v>
      </c>
      <c r="B220" s="1" t="s">
        <v>26</v>
      </c>
      <c r="C220" s="1" t="s">
        <v>597</v>
      </c>
      <c r="D220" s="1" t="s">
        <v>23</v>
      </c>
      <c r="E220" s="1" t="s">
        <v>20</v>
      </c>
      <c r="F220" s="4">
        <v>0.3</v>
      </c>
      <c r="G220">
        <v>21</v>
      </c>
      <c r="H220">
        <v>75</v>
      </c>
      <c r="I220">
        <v>15.8</v>
      </c>
      <c r="J220">
        <v>4.8</v>
      </c>
      <c r="K220">
        <v>0.47199999999999998</v>
      </c>
      <c r="L220">
        <v>2.5</v>
      </c>
      <c r="M220">
        <v>0.40500000000000003</v>
      </c>
      <c r="N220">
        <v>2.2999999999999998</v>
      </c>
      <c r="O220">
        <v>0.54300000000000004</v>
      </c>
      <c r="P220">
        <v>0.57599999999999996</v>
      </c>
      <c r="Q220">
        <v>0.9</v>
      </c>
      <c r="R220">
        <v>0.66700000000000004</v>
      </c>
      <c r="S220">
        <v>3.1</v>
      </c>
      <c r="T220">
        <v>1.5</v>
      </c>
      <c r="U220">
        <v>0.7</v>
      </c>
      <c r="V220">
        <v>0.3</v>
      </c>
      <c r="W220">
        <v>1</v>
      </c>
      <c r="X220">
        <v>1.5</v>
      </c>
      <c r="Y220">
        <v>6.1</v>
      </c>
      <c r="Z220">
        <v>1</v>
      </c>
      <c r="AA220">
        <v>-0.9</v>
      </c>
      <c r="AB220">
        <v>11.9</v>
      </c>
      <c r="AC220">
        <v>6.5000000000000002E-2</v>
      </c>
    </row>
    <row r="221" spans="1:29" x14ac:dyDescent="0.35">
      <c r="A221" s="3" t="s">
        <v>386</v>
      </c>
      <c r="B221" s="1" t="s">
        <v>2</v>
      </c>
      <c r="C221" s="1" t="s">
        <v>598</v>
      </c>
      <c r="D221" s="1" t="s">
        <v>33</v>
      </c>
      <c r="E221" s="1" t="s">
        <v>50</v>
      </c>
      <c r="F221" s="4">
        <v>0</v>
      </c>
      <c r="G221">
        <v>29</v>
      </c>
      <c r="H221">
        <v>45</v>
      </c>
      <c r="I221">
        <v>12.7</v>
      </c>
      <c r="J221">
        <v>4.3</v>
      </c>
      <c r="K221">
        <v>0.42599999999999999</v>
      </c>
      <c r="L221">
        <v>1.9</v>
      </c>
      <c r="M221">
        <v>0.36</v>
      </c>
      <c r="N221">
        <v>2.4</v>
      </c>
      <c r="O221">
        <v>0.47699999999999998</v>
      </c>
      <c r="P221">
        <v>0.505</v>
      </c>
      <c r="Q221">
        <v>0.9</v>
      </c>
      <c r="R221">
        <v>0.85699999999999998</v>
      </c>
      <c r="S221">
        <v>1.5</v>
      </c>
      <c r="T221">
        <v>1.6</v>
      </c>
      <c r="U221">
        <v>0.4</v>
      </c>
      <c r="V221">
        <v>0.1</v>
      </c>
      <c r="W221">
        <v>0.5</v>
      </c>
      <c r="X221">
        <v>0.5</v>
      </c>
      <c r="Y221">
        <v>5.2</v>
      </c>
      <c r="Z221">
        <v>7</v>
      </c>
      <c r="AA221">
        <v>-1.8</v>
      </c>
      <c r="AB221">
        <v>13.1</v>
      </c>
      <c r="AC221">
        <v>6.4000000000000001E-2</v>
      </c>
    </row>
    <row r="222" spans="1:29" x14ac:dyDescent="0.35">
      <c r="A222" s="3" t="s">
        <v>447</v>
      </c>
      <c r="B222" s="1" t="s">
        <v>18</v>
      </c>
      <c r="C222" s="1" t="s">
        <v>597</v>
      </c>
      <c r="D222" s="1" t="s">
        <v>23</v>
      </c>
      <c r="E222" s="1" t="s">
        <v>50</v>
      </c>
      <c r="F222" s="4">
        <v>0.5</v>
      </c>
      <c r="G222">
        <v>25</v>
      </c>
      <c r="H222">
        <v>45</v>
      </c>
      <c r="I222">
        <v>9.6999999999999993</v>
      </c>
      <c r="J222">
        <v>3.2</v>
      </c>
      <c r="K222">
        <v>0.50700000000000001</v>
      </c>
      <c r="L222">
        <v>0.6</v>
      </c>
      <c r="M222">
        <v>0.28599999999999998</v>
      </c>
      <c r="N222">
        <v>2.5</v>
      </c>
      <c r="O222">
        <v>0.56100000000000005</v>
      </c>
      <c r="P222">
        <v>0.53500000000000003</v>
      </c>
      <c r="Q222">
        <v>0.9</v>
      </c>
      <c r="R222">
        <v>0.76200000000000001</v>
      </c>
      <c r="S222">
        <v>2.7</v>
      </c>
      <c r="T222">
        <v>1</v>
      </c>
      <c r="U222">
        <v>0.9</v>
      </c>
      <c r="V222">
        <v>0.6</v>
      </c>
      <c r="W222">
        <v>0.6</v>
      </c>
      <c r="X222">
        <v>1.7</v>
      </c>
      <c r="Y222">
        <v>4.0999999999999996</v>
      </c>
      <c r="Z222">
        <v>4</v>
      </c>
      <c r="AA222">
        <v>2.9</v>
      </c>
      <c r="AB222">
        <v>18.600000000000001</v>
      </c>
      <c r="AC222">
        <v>0.17299999999999999</v>
      </c>
    </row>
    <row r="223" spans="1:29" x14ac:dyDescent="0.35">
      <c r="A223" s="3" t="s">
        <v>51</v>
      </c>
      <c r="B223" s="1" t="s">
        <v>26</v>
      </c>
      <c r="C223" s="1" t="s">
        <v>597</v>
      </c>
      <c r="D223" s="1" t="s">
        <v>23</v>
      </c>
      <c r="E223" s="1" t="s">
        <v>28</v>
      </c>
      <c r="F223" s="4">
        <v>0</v>
      </c>
      <c r="G223">
        <v>21</v>
      </c>
      <c r="H223">
        <v>35</v>
      </c>
      <c r="I223">
        <v>10.7</v>
      </c>
      <c r="J223">
        <v>3.2</v>
      </c>
      <c r="K223">
        <v>0.53100000000000003</v>
      </c>
      <c r="L223">
        <v>0.8</v>
      </c>
      <c r="M223">
        <v>0.25900000000000001</v>
      </c>
      <c r="N223">
        <v>2.5</v>
      </c>
      <c r="O223">
        <v>0.61599999999999999</v>
      </c>
      <c r="P223">
        <v>0.56200000000000006</v>
      </c>
      <c r="Q223">
        <v>0.9</v>
      </c>
      <c r="R223">
        <v>0.63600000000000001</v>
      </c>
      <c r="S223">
        <v>2.4</v>
      </c>
      <c r="T223">
        <v>0.5</v>
      </c>
      <c r="U223">
        <v>0.3</v>
      </c>
      <c r="V223">
        <v>0.5</v>
      </c>
      <c r="W223">
        <v>0.1</v>
      </c>
      <c r="X223">
        <v>1.3</v>
      </c>
      <c r="Y223">
        <v>4.2</v>
      </c>
      <c r="Z223">
        <v>2</v>
      </c>
      <c r="AA223">
        <v>-2.2000000000000002</v>
      </c>
      <c r="AB223">
        <v>14.6</v>
      </c>
      <c r="AC223">
        <v>0.13100000000000001</v>
      </c>
    </row>
    <row r="224" spans="1:29" x14ac:dyDescent="0.35">
      <c r="A224" s="3" t="s">
        <v>473</v>
      </c>
      <c r="B224" s="1" t="s">
        <v>2</v>
      </c>
      <c r="C224" s="1" t="s">
        <v>597</v>
      </c>
      <c r="D224" s="1" t="s">
        <v>23</v>
      </c>
      <c r="E224" s="1" t="s">
        <v>20</v>
      </c>
      <c r="F224" s="4">
        <v>0.3</v>
      </c>
      <c r="G224">
        <v>24</v>
      </c>
      <c r="H224">
        <v>57</v>
      </c>
      <c r="I224">
        <v>14.2</v>
      </c>
      <c r="J224">
        <v>5.2</v>
      </c>
      <c r="K224">
        <v>0.46300000000000002</v>
      </c>
      <c r="L224">
        <v>2.7</v>
      </c>
      <c r="M224">
        <v>0.38200000000000001</v>
      </c>
      <c r="N224">
        <v>2.5</v>
      </c>
      <c r="O224">
        <v>0.54900000000000004</v>
      </c>
      <c r="P224">
        <v>0.56100000000000005</v>
      </c>
      <c r="Q224">
        <v>0.9</v>
      </c>
      <c r="R224">
        <v>0.84299999999999997</v>
      </c>
      <c r="S224">
        <v>1.2</v>
      </c>
      <c r="T224">
        <v>2.2999999999999998</v>
      </c>
      <c r="U224">
        <v>0.6</v>
      </c>
      <c r="V224">
        <v>0.1</v>
      </c>
      <c r="W224">
        <v>0.9</v>
      </c>
      <c r="X224">
        <v>1.3</v>
      </c>
      <c r="Y224">
        <v>6.6</v>
      </c>
      <c r="Z224">
        <v>1</v>
      </c>
      <c r="AA224">
        <v>-0.6</v>
      </c>
      <c r="AB224">
        <v>14</v>
      </c>
      <c r="AC224">
        <v>0.108</v>
      </c>
    </row>
    <row r="225" spans="1:29" x14ac:dyDescent="0.35">
      <c r="A225" s="3" t="s">
        <v>366</v>
      </c>
      <c r="B225" s="1" t="s">
        <v>26</v>
      </c>
      <c r="C225" s="1" t="s">
        <v>598</v>
      </c>
      <c r="D225" s="1" t="s">
        <v>23</v>
      </c>
      <c r="E225" s="1" t="s">
        <v>50</v>
      </c>
      <c r="F225" s="4">
        <v>-0.1</v>
      </c>
      <c r="G225">
        <v>25</v>
      </c>
      <c r="H225">
        <v>37</v>
      </c>
      <c r="I225">
        <v>11.4</v>
      </c>
      <c r="J225">
        <v>3.6</v>
      </c>
      <c r="K225">
        <v>0.433</v>
      </c>
      <c r="L225">
        <v>1</v>
      </c>
      <c r="M225">
        <v>0.21099999999999999</v>
      </c>
      <c r="N225">
        <v>2.6</v>
      </c>
      <c r="O225">
        <v>0.52100000000000002</v>
      </c>
      <c r="P225">
        <v>0.46300000000000002</v>
      </c>
      <c r="Q225">
        <v>0.9</v>
      </c>
      <c r="R225">
        <v>0.8</v>
      </c>
      <c r="S225">
        <v>1.6</v>
      </c>
      <c r="T225">
        <v>0.9</v>
      </c>
      <c r="U225">
        <v>0.5</v>
      </c>
      <c r="V225">
        <v>0.1</v>
      </c>
      <c r="W225">
        <v>0.7</v>
      </c>
      <c r="X225">
        <v>0.7</v>
      </c>
      <c r="Y225">
        <v>4.0999999999999996</v>
      </c>
      <c r="Z225">
        <v>1</v>
      </c>
      <c r="AA225">
        <v>-2.8</v>
      </c>
      <c r="AB225">
        <v>10.5</v>
      </c>
      <c r="AC225">
        <v>4.9000000000000002E-2</v>
      </c>
    </row>
    <row r="226" spans="1:29" x14ac:dyDescent="0.35">
      <c r="A226" s="3" t="s">
        <v>298</v>
      </c>
      <c r="B226" s="1" t="s">
        <v>2</v>
      </c>
      <c r="C226" s="1" t="s">
        <v>598</v>
      </c>
      <c r="D226" s="1" t="s">
        <v>23</v>
      </c>
      <c r="E226" s="1" t="s">
        <v>20</v>
      </c>
      <c r="F226" s="4">
        <v>1.2</v>
      </c>
      <c r="G226">
        <v>28</v>
      </c>
      <c r="H226">
        <v>65</v>
      </c>
      <c r="I226">
        <v>22.6</v>
      </c>
      <c r="J226">
        <v>6.6</v>
      </c>
      <c r="K226">
        <v>0.47799999999999998</v>
      </c>
      <c r="L226">
        <v>4</v>
      </c>
      <c r="M226">
        <v>0.433</v>
      </c>
      <c r="N226">
        <v>2.6</v>
      </c>
      <c r="O226">
        <v>0.54700000000000004</v>
      </c>
      <c r="P226">
        <v>0.60899999999999999</v>
      </c>
      <c r="Q226">
        <v>0.9</v>
      </c>
      <c r="R226">
        <v>0.89500000000000002</v>
      </c>
      <c r="S226">
        <v>2.8</v>
      </c>
      <c r="T226">
        <v>3.3</v>
      </c>
      <c r="U226">
        <v>0.8</v>
      </c>
      <c r="V226">
        <v>0.1</v>
      </c>
      <c r="W226">
        <v>1.1000000000000001</v>
      </c>
      <c r="X226">
        <v>0.9</v>
      </c>
      <c r="Y226">
        <v>8.9</v>
      </c>
      <c r="Z226">
        <v>7</v>
      </c>
      <c r="AA226">
        <v>1.1000000000000001</v>
      </c>
      <c r="AB226">
        <v>13.6</v>
      </c>
      <c r="AC226">
        <v>0.127</v>
      </c>
    </row>
    <row r="227" spans="1:29" x14ac:dyDescent="0.35">
      <c r="A227" s="3" t="s">
        <v>392</v>
      </c>
      <c r="B227" s="1" t="s">
        <v>26</v>
      </c>
      <c r="C227" s="1" t="s">
        <v>598</v>
      </c>
      <c r="D227" s="1" t="s">
        <v>19</v>
      </c>
      <c r="E227" s="1" t="s">
        <v>50</v>
      </c>
      <c r="F227" s="4">
        <v>-0.3</v>
      </c>
      <c r="G227">
        <v>27</v>
      </c>
      <c r="H227">
        <v>38</v>
      </c>
      <c r="I227">
        <v>20</v>
      </c>
      <c r="J227">
        <v>7.9</v>
      </c>
      <c r="K227">
        <v>0.39100000000000001</v>
      </c>
      <c r="L227">
        <v>5.3</v>
      </c>
      <c r="M227">
        <v>0.34499999999999997</v>
      </c>
      <c r="N227">
        <v>2.6</v>
      </c>
      <c r="O227">
        <v>0.48499999999999999</v>
      </c>
      <c r="P227">
        <v>0.50700000000000001</v>
      </c>
      <c r="Q227">
        <v>0.9</v>
      </c>
      <c r="R227">
        <v>0.8</v>
      </c>
      <c r="S227">
        <v>2.4</v>
      </c>
      <c r="T227">
        <v>2</v>
      </c>
      <c r="U227">
        <v>0.5</v>
      </c>
      <c r="V227">
        <v>0.2</v>
      </c>
      <c r="W227">
        <v>1.4</v>
      </c>
      <c r="X227">
        <v>1.1000000000000001</v>
      </c>
      <c r="Y227">
        <v>8.8000000000000007</v>
      </c>
      <c r="Z227">
        <v>6</v>
      </c>
      <c r="AA227">
        <v>-3.5</v>
      </c>
      <c r="AB227">
        <v>9.8000000000000007</v>
      </c>
      <c r="AC227">
        <v>-8.9999999999999993E-3</v>
      </c>
    </row>
    <row r="228" spans="1:29" x14ac:dyDescent="0.35">
      <c r="A228" s="3" t="s">
        <v>106</v>
      </c>
      <c r="B228" s="1" t="s">
        <v>2</v>
      </c>
      <c r="C228" s="1" t="s">
        <v>598</v>
      </c>
      <c r="D228" s="1" t="s">
        <v>23</v>
      </c>
      <c r="E228" s="1" t="s">
        <v>28</v>
      </c>
      <c r="F228" s="4">
        <v>1.6</v>
      </c>
      <c r="G228">
        <v>30</v>
      </c>
      <c r="H228">
        <v>54</v>
      </c>
      <c r="I228">
        <v>19.3</v>
      </c>
      <c r="J228">
        <v>5.8</v>
      </c>
      <c r="K228">
        <v>0.44600000000000001</v>
      </c>
      <c r="L228">
        <v>3.1</v>
      </c>
      <c r="M228">
        <v>0.35299999999999998</v>
      </c>
      <c r="N228">
        <v>2.7</v>
      </c>
      <c r="O228">
        <v>0.55600000000000005</v>
      </c>
      <c r="P228">
        <v>0.54100000000000004</v>
      </c>
      <c r="Q228">
        <v>0.9</v>
      </c>
      <c r="R228">
        <v>0.82399999999999995</v>
      </c>
      <c r="S228">
        <v>2.9</v>
      </c>
      <c r="T228">
        <v>2.5</v>
      </c>
      <c r="U228">
        <v>1.6</v>
      </c>
      <c r="V228">
        <v>0.6</v>
      </c>
      <c r="W228">
        <v>0.7</v>
      </c>
      <c r="X228">
        <v>1.9</v>
      </c>
      <c r="Y228">
        <v>7.1</v>
      </c>
      <c r="Z228">
        <v>7</v>
      </c>
      <c r="AA228">
        <v>4</v>
      </c>
      <c r="AB228">
        <v>15.9</v>
      </c>
      <c r="AC228">
        <v>0.18</v>
      </c>
    </row>
    <row r="229" spans="1:29" x14ac:dyDescent="0.35">
      <c r="A229" s="3" t="s">
        <v>584</v>
      </c>
      <c r="B229" s="1" t="s">
        <v>2</v>
      </c>
      <c r="C229" s="1" t="s">
        <v>598</v>
      </c>
      <c r="D229" s="1" t="s">
        <v>23</v>
      </c>
      <c r="E229" s="1" t="s">
        <v>50</v>
      </c>
      <c r="F229" s="4">
        <v>-0.1</v>
      </c>
      <c r="G229">
        <v>24</v>
      </c>
      <c r="H229">
        <v>27</v>
      </c>
      <c r="I229">
        <v>18.5</v>
      </c>
      <c r="J229">
        <v>6.2</v>
      </c>
      <c r="K229">
        <v>0.40100000000000002</v>
      </c>
      <c r="L229">
        <v>3.5</v>
      </c>
      <c r="M229">
        <v>0.27400000000000002</v>
      </c>
      <c r="N229">
        <v>2.7</v>
      </c>
      <c r="O229">
        <v>0.56899999999999995</v>
      </c>
      <c r="P229">
        <v>0.47899999999999998</v>
      </c>
      <c r="Q229">
        <v>0.9</v>
      </c>
      <c r="R229">
        <v>0.79200000000000004</v>
      </c>
      <c r="S229">
        <v>3.6</v>
      </c>
      <c r="T229">
        <v>2</v>
      </c>
      <c r="U229">
        <v>0.4</v>
      </c>
      <c r="V229">
        <v>0.3</v>
      </c>
      <c r="W229">
        <v>1.2</v>
      </c>
      <c r="X229">
        <v>1.7</v>
      </c>
      <c r="Y229">
        <v>6.6</v>
      </c>
      <c r="Z229">
        <v>2</v>
      </c>
      <c r="AA229">
        <v>-2.8</v>
      </c>
      <c r="AB229">
        <v>9.1999999999999993</v>
      </c>
      <c r="AC229">
        <v>0.04</v>
      </c>
    </row>
    <row r="230" spans="1:29" x14ac:dyDescent="0.35">
      <c r="A230" s="3" t="s">
        <v>55</v>
      </c>
      <c r="B230" s="1" t="s">
        <v>18</v>
      </c>
      <c r="C230" s="1" t="s">
        <v>598</v>
      </c>
      <c r="D230" s="1" t="s">
        <v>33</v>
      </c>
      <c r="E230" s="1" t="s">
        <v>50</v>
      </c>
      <c r="F230" s="4">
        <v>0.1</v>
      </c>
      <c r="G230">
        <v>24</v>
      </c>
      <c r="H230">
        <v>36</v>
      </c>
      <c r="I230">
        <v>10.4</v>
      </c>
      <c r="J230">
        <v>3.3</v>
      </c>
      <c r="K230">
        <v>0.58099999999999996</v>
      </c>
      <c r="L230">
        <v>0</v>
      </c>
      <c r="M230" t="s">
        <v>599</v>
      </c>
      <c r="N230">
        <v>3.3</v>
      </c>
      <c r="O230">
        <v>0.58099999999999996</v>
      </c>
      <c r="P230">
        <v>0.58099999999999996</v>
      </c>
      <c r="Q230">
        <v>0.9</v>
      </c>
      <c r="R230">
        <v>0.63600000000000001</v>
      </c>
      <c r="S230">
        <v>4.2</v>
      </c>
      <c r="T230">
        <v>0.5</v>
      </c>
      <c r="U230">
        <v>0.4</v>
      </c>
      <c r="V230">
        <v>0.8</v>
      </c>
      <c r="W230">
        <v>0.6</v>
      </c>
      <c r="X230">
        <v>1.4</v>
      </c>
      <c r="Y230">
        <v>4.4000000000000004</v>
      </c>
      <c r="Z230">
        <v>3</v>
      </c>
      <c r="AA230">
        <v>-1.1000000000000001</v>
      </c>
      <c r="AB230">
        <v>19</v>
      </c>
      <c r="AC230">
        <v>0.13600000000000001</v>
      </c>
    </row>
    <row r="231" spans="1:29" x14ac:dyDescent="0.35">
      <c r="A231" s="3" t="s">
        <v>138</v>
      </c>
      <c r="B231" s="1" t="s">
        <v>26</v>
      </c>
      <c r="C231" s="1" t="s">
        <v>597</v>
      </c>
      <c r="D231" s="1" t="s">
        <v>19</v>
      </c>
      <c r="E231" s="1" t="s">
        <v>20</v>
      </c>
      <c r="F231" s="4">
        <v>-0.3</v>
      </c>
      <c r="G231">
        <v>23</v>
      </c>
      <c r="H231">
        <v>74</v>
      </c>
      <c r="I231">
        <v>22</v>
      </c>
      <c r="J231">
        <v>6.5</v>
      </c>
      <c r="K231">
        <v>0.41199999999999998</v>
      </c>
      <c r="L231">
        <v>3.2</v>
      </c>
      <c r="M231">
        <v>0.33500000000000002</v>
      </c>
      <c r="N231">
        <v>3.3</v>
      </c>
      <c r="O231">
        <v>0.48799999999999999</v>
      </c>
      <c r="P231">
        <v>0.495</v>
      </c>
      <c r="Q231">
        <v>0.9</v>
      </c>
      <c r="R231">
        <v>0.873</v>
      </c>
      <c r="S231">
        <v>3.3</v>
      </c>
      <c r="T231">
        <v>1.5</v>
      </c>
      <c r="U231">
        <v>0.4</v>
      </c>
      <c r="V231">
        <v>0.2</v>
      </c>
      <c r="W231">
        <v>0.8</v>
      </c>
      <c r="X231">
        <v>1.3</v>
      </c>
      <c r="Y231">
        <v>7.2</v>
      </c>
      <c r="Z231">
        <v>0</v>
      </c>
      <c r="AA231">
        <v>-2.6</v>
      </c>
      <c r="AB231">
        <v>9.9</v>
      </c>
      <c r="AC231">
        <v>7.2999999999999995E-2</v>
      </c>
    </row>
    <row r="232" spans="1:29" x14ac:dyDescent="0.35">
      <c r="A232" s="3" t="s">
        <v>483</v>
      </c>
      <c r="B232" s="1" t="s">
        <v>2</v>
      </c>
      <c r="C232" s="1" t="s">
        <v>597</v>
      </c>
      <c r="D232" s="1" t="s">
        <v>23</v>
      </c>
      <c r="E232" s="1" t="s">
        <v>50</v>
      </c>
      <c r="F232" s="4">
        <v>-0.8</v>
      </c>
      <c r="G232">
        <v>22</v>
      </c>
      <c r="H232">
        <v>75</v>
      </c>
      <c r="I232">
        <v>19.600000000000001</v>
      </c>
      <c r="J232">
        <v>6.7</v>
      </c>
      <c r="K232">
        <v>0.40500000000000003</v>
      </c>
      <c r="L232">
        <v>3</v>
      </c>
      <c r="M232">
        <v>0.32300000000000001</v>
      </c>
      <c r="N232">
        <v>3.7</v>
      </c>
      <c r="O232">
        <v>0.47</v>
      </c>
      <c r="P232">
        <v>0.47599999999999998</v>
      </c>
      <c r="Q232">
        <v>0.9</v>
      </c>
      <c r="R232">
        <v>0.76800000000000002</v>
      </c>
      <c r="S232">
        <v>1.5</v>
      </c>
      <c r="T232">
        <v>4.2</v>
      </c>
      <c r="U232">
        <v>0.8</v>
      </c>
      <c r="V232">
        <v>0.1</v>
      </c>
      <c r="W232">
        <v>1.6</v>
      </c>
      <c r="X232">
        <v>2.1</v>
      </c>
      <c r="Y232">
        <v>7.1</v>
      </c>
      <c r="Z232">
        <v>0</v>
      </c>
      <c r="AA232">
        <v>-4.0999999999999996</v>
      </c>
      <c r="AB232">
        <v>9.9</v>
      </c>
      <c r="AC232">
        <v>2.7E-2</v>
      </c>
    </row>
    <row r="233" spans="1:29" x14ac:dyDescent="0.35">
      <c r="A233" s="3" t="s">
        <v>583</v>
      </c>
      <c r="B233" s="1" t="s">
        <v>18</v>
      </c>
      <c r="C233" s="1" t="s">
        <v>598</v>
      </c>
      <c r="D233" s="1" t="s">
        <v>23</v>
      </c>
      <c r="E233" s="1" t="s">
        <v>20</v>
      </c>
      <c r="F233" s="4">
        <v>0.4</v>
      </c>
      <c r="G233">
        <v>27</v>
      </c>
      <c r="H233">
        <v>20</v>
      </c>
      <c r="I233">
        <v>17.600000000000001</v>
      </c>
      <c r="J233">
        <v>3.9</v>
      </c>
      <c r="K233">
        <v>0.64100000000000001</v>
      </c>
      <c r="L233">
        <v>0.2</v>
      </c>
      <c r="M233">
        <v>0.33300000000000002</v>
      </c>
      <c r="N233">
        <v>3.8</v>
      </c>
      <c r="O233">
        <v>0.65300000000000002</v>
      </c>
      <c r="P233">
        <v>0.64700000000000002</v>
      </c>
      <c r="Q233">
        <v>0.9</v>
      </c>
      <c r="R233">
        <v>0.88200000000000001</v>
      </c>
      <c r="S233">
        <v>5.9</v>
      </c>
      <c r="T233">
        <v>1.1000000000000001</v>
      </c>
      <c r="U233">
        <v>0.7</v>
      </c>
      <c r="V233">
        <v>1.7</v>
      </c>
      <c r="W233">
        <v>0.9</v>
      </c>
      <c r="X233">
        <v>1.6</v>
      </c>
      <c r="Y233">
        <v>5.8</v>
      </c>
      <c r="Z233">
        <v>6</v>
      </c>
      <c r="AA233">
        <v>3</v>
      </c>
      <c r="AB233">
        <v>18.899999999999999</v>
      </c>
      <c r="AC233">
        <v>0.17499999999999999</v>
      </c>
    </row>
    <row r="234" spans="1:29" x14ac:dyDescent="0.35">
      <c r="A234" s="3" t="s">
        <v>65</v>
      </c>
      <c r="B234" s="1" t="s">
        <v>18</v>
      </c>
      <c r="C234" s="1" t="s">
        <v>598</v>
      </c>
      <c r="D234" s="1" t="s">
        <v>19</v>
      </c>
      <c r="E234" s="1" t="s">
        <v>20</v>
      </c>
      <c r="F234" s="4">
        <v>-0.2</v>
      </c>
      <c r="G234">
        <v>32</v>
      </c>
      <c r="H234">
        <v>28</v>
      </c>
      <c r="I234">
        <v>18.899999999999999</v>
      </c>
      <c r="J234">
        <v>4.0999999999999996</v>
      </c>
      <c r="K234">
        <v>0.58799999999999997</v>
      </c>
      <c r="L234">
        <v>0</v>
      </c>
      <c r="M234" t="s">
        <v>599</v>
      </c>
      <c r="N234">
        <v>4.0999999999999996</v>
      </c>
      <c r="O234">
        <v>0.58799999999999997</v>
      </c>
      <c r="P234">
        <v>0.58799999999999997</v>
      </c>
      <c r="Q234">
        <v>0.9</v>
      </c>
      <c r="R234">
        <v>0.4</v>
      </c>
      <c r="S234">
        <v>5.6</v>
      </c>
      <c r="T234">
        <v>1.1000000000000001</v>
      </c>
      <c r="U234">
        <v>0.6</v>
      </c>
      <c r="V234">
        <v>0.8</v>
      </c>
      <c r="W234">
        <v>1</v>
      </c>
      <c r="X234">
        <v>1.9</v>
      </c>
      <c r="Y234">
        <v>5.0999999999999996</v>
      </c>
      <c r="Z234">
        <v>13</v>
      </c>
      <c r="AA234">
        <v>-3.6</v>
      </c>
      <c r="AB234">
        <v>12.2</v>
      </c>
      <c r="AC234">
        <v>7.0999999999999994E-2</v>
      </c>
    </row>
    <row r="235" spans="1:29" x14ac:dyDescent="0.35">
      <c r="A235" s="3" t="s">
        <v>390</v>
      </c>
      <c r="B235" s="1" t="s">
        <v>26</v>
      </c>
      <c r="C235" s="1" t="s">
        <v>598</v>
      </c>
      <c r="D235" s="1" t="s">
        <v>23</v>
      </c>
      <c r="E235" s="1" t="s">
        <v>20</v>
      </c>
      <c r="F235" s="4">
        <v>0.2</v>
      </c>
      <c r="G235">
        <v>24</v>
      </c>
      <c r="H235">
        <v>76</v>
      </c>
      <c r="I235">
        <v>34.299999999999997</v>
      </c>
      <c r="J235">
        <v>10.8</v>
      </c>
      <c r="K235">
        <v>0.44400000000000001</v>
      </c>
      <c r="L235">
        <v>5.9</v>
      </c>
      <c r="M235">
        <v>0.34300000000000003</v>
      </c>
      <c r="N235">
        <v>4.9000000000000004</v>
      </c>
      <c r="O235">
        <v>0.56599999999999995</v>
      </c>
      <c r="P235">
        <v>0.53800000000000003</v>
      </c>
      <c r="Q235">
        <v>0.9</v>
      </c>
      <c r="R235">
        <v>0.83299999999999996</v>
      </c>
      <c r="S235">
        <v>6.7</v>
      </c>
      <c r="T235">
        <v>1.4</v>
      </c>
      <c r="U235">
        <v>0.8</v>
      </c>
      <c r="V235">
        <v>0.9</v>
      </c>
      <c r="W235">
        <v>0.8</v>
      </c>
      <c r="X235">
        <v>2.4</v>
      </c>
      <c r="Y235">
        <v>12.4</v>
      </c>
      <c r="Z235">
        <v>2</v>
      </c>
      <c r="AA235">
        <v>-1.6</v>
      </c>
      <c r="AB235">
        <v>12</v>
      </c>
      <c r="AC235">
        <v>8.2000000000000003E-2</v>
      </c>
    </row>
    <row r="236" spans="1:29" x14ac:dyDescent="0.35">
      <c r="A236" s="3" t="s">
        <v>200</v>
      </c>
      <c r="B236" s="1" t="s">
        <v>26</v>
      </c>
      <c r="C236" s="1" t="s">
        <v>597</v>
      </c>
      <c r="D236" s="1" t="s">
        <v>23</v>
      </c>
      <c r="E236" s="1" t="s">
        <v>28</v>
      </c>
      <c r="F236" s="4">
        <v>-0.3</v>
      </c>
      <c r="G236">
        <v>32</v>
      </c>
      <c r="H236">
        <v>51</v>
      </c>
      <c r="I236">
        <v>7.8</v>
      </c>
      <c r="J236">
        <v>1.7</v>
      </c>
      <c r="K236">
        <v>0.48899999999999999</v>
      </c>
      <c r="L236">
        <v>0.6</v>
      </c>
      <c r="M236">
        <v>0.32300000000000001</v>
      </c>
      <c r="N236">
        <v>1.1000000000000001</v>
      </c>
      <c r="O236">
        <v>0.57899999999999996</v>
      </c>
      <c r="P236">
        <v>0.54500000000000004</v>
      </c>
      <c r="Q236">
        <v>1</v>
      </c>
      <c r="R236">
        <v>0.66</v>
      </c>
      <c r="S236">
        <v>1.3</v>
      </c>
      <c r="T236">
        <v>0.3</v>
      </c>
      <c r="U236">
        <v>0.2</v>
      </c>
      <c r="V236">
        <v>0</v>
      </c>
      <c r="W236">
        <v>0.2</v>
      </c>
      <c r="X236">
        <v>0.6</v>
      </c>
      <c r="Y236">
        <v>2.5</v>
      </c>
      <c r="Z236">
        <v>4</v>
      </c>
      <c r="AA236">
        <v>-4.5</v>
      </c>
      <c r="AB236">
        <v>10.199999999999999</v>
      </c>
      <c r="AC236">
        <v>5.8000000000000003E-2</v>
      </c>
    </row>
    <row r="237" spans="1:29" x14ac:dyDescent="0.35">
      <c r="A237" s="3" t="s">
        <v>462</v>
      </c>
      <c r="B237" s="1" t="s">
        <v>26</v>
      </c>
      <c r="C237" s="1" t="s">
        <v>598</v>
      </c>
      <c r="D237" s="1" t="s">
        <v>19</v>
      </c>
      <c r="E237" s="1" t="s">
        <v>28</v>
      </c>
      <c r="F237" s="4">
        <v>0</v>
      </c>
      <c r="G237">
        <v>28</v>
      </c>
      <c r="H237">
        <v>6</v>
      </c>
      <c r="I237">
        <v>8.6999999999999993</v>
      </c>
      <c r="J237">
        <v>2.8</v>
      </c>
      <c r="K237">
        <v>0.47099999999999997</v>
      </c>
      <c r="L237">
        <v>1.7</v>
      </c>
      <c r="M237">
        <v>0.3</v>
      </c>
      <c r="N237">
        <v>1.2</v>
      </c>
      <c r="O237">
        <v>0.71399999999999997</v>
      </c>
      <c r="P237">
        <v>0.55900000000000005</v>
      </c>
      <c r="Q237">
        <v>1</v>
      </c>
      <c r="R237">
        <v>0.5</v>
      </c>
      <c r="S237">
        <v>1.8</v>
      </c>
      <c r="T237">
        <v>0.7</v>
      </c>
      <c r="U237">
        <v>0.7</v>
      </c>
      <c r="V237">
        <v>0</v>
      </c>
      <c r="W237">
        <v>0.2</v>
      </c>
      <c r="X237">
        <v>0.7</v>
      </c>
      <c r="Y237">
        <v>3.7</v>
      </c>
      <c r="Z237">
        <v>0</v>
      </c>
      <c r="AA237">
        <v>1</v>
      </c>
      <c r="AB237">
        <v>15.9</v>
      </c>
      <c r="AC237">
        <v>0.153</v>
      </c>
    </row>
    <row r="238" spans="1:29" x14ac:dyDescent="0.35">
      <c r="A238" s="3" t="s">
        <v>91</v>
      </c>
      <c r="B238" s="1" t="s">
        <v>2</v>
      </c>
      <c r="C238" s="1" t="s">
        <v>597</v>
      </c>
      <c r="D238" s="1" t="s">
        <v>23</v>
      </c>
      <c r="E238" s="1" t="s">
        <v>20</v>
      </c>
      <c r="F238" s="4">
        <v>0.5</v>
      </c>
      <c r="G238">
        <v>33</v>
      </c>
      <c r="H238">
        <v>49</v>
      </c>
      <c r="I238">
        <v>17.600000000000001</v>
      </c>
      <c r="J238">
        <v>5.5</v>
      </c>
      <c r="K238">
        <v>0.42399999999999999</v>
      </c>
      <c r="L238">
        <v>4.2</v>
      </c>
      <c r="M238">
        <v>0.42499999999999999</v>
      </c>
      <c r="N238">
        <v>1.3</v>
      </c>
      <c r="O238">
        <v>0.42199999999999999</v>
      </c>
      <c r="P238">
        <v>0.58699999999999997</v>
      </c>
      <c r="Q238">
        <v>1</v>
      </c>
      <c r="R238">
        <v>0.77600000000000002</v>
      </c>
      <c r="S238">
        <v>2.5</v>
      </c>
      <c r="T238">
        <v>1.1000000000000001</v>
      </c>
      <c r="U238">
        <v>0.6</v>
      </c>
      <c r="V238">
        <v>0.1</v>
      </c>
      <c r="W238">
        <v>0.6</v>
      </c>
      <c r="X238">
        <v>0.8</v>
      </c>
      <c r="Y238">
        <v>7.3</v>
      </c>
      <c r="Z238">
        <v>13</v>
      </c>
      <c r="AA238">
        <v>0.3</v>
      </c>
      <c r="AB238">
        <v>12.8</v>
      </c>
      <c r="AC238">
        <v>0.1</v>
      </c>
    </row>
    <row r="239" spans="1:29" x14ac:dyDescent="0.35">
      <c r="A239" s="3" t="s">
        <v>418</v>
      </c>
      <c r="B239" s="1" t="s">
        <v>26</v>
      </c>
      <c r="C239" s="1" t="s">
        <v>597</v>
      </c>
      <c r="D239" s="1" t="s">
        <v>23</v>
      </c>
      <c r="E239" s="1" t="s">
        <v>50</v>
      </c>
      <c r="F239" s="4">
        <v>-0.3</v>
      </c>
      <c r="G239">
        <v>21</v>
      </c>
      <c r="H239">
        <v>79</v>
      </c>
      <c r="I239">
        <v>14.2</v>
      </c>
      <c r="J239">
        <v>3.6</v>
      </c>
      <c r="K239">
        <v>0.44600000000000001</v>
      </c>
      <c r="L239">
        <v>1.9</v>
      </c>
      <c r="M239">
        <v>0.32700000000000001</v>
      </c>
      <c r="N239">
        <v>1.7</v>
      </c>
      <c r="O239">
        <v>0.58199999999999996</v>
      </c>
      <c r="P239">
        <v>0.53300000000000003</v>
      </c>
      <c r="Q239">
        <v>1</v>
      </c>
      <c r="R239">
        <v>0.78900000000000003</v>
      </c>
      <c r="S239">
        <v>2.1</v>
      </c>
      <c r="T239">
        <v>0.5</v>
      </c>
      <c r="U239">
        <v>0.5</v>
      </c>
      <c r="V239">
        <v>0.3</v>
      </c>
      <c r="W239">
        <v>0.3</v>
      </c>
      <c r="X239">
        <v>1.4</v>
      </c>
      <c r="Y239">
        <v>4.5999999999999996</v>
      </c>
      <c r="Z239">
        <v>1</v>
      </c>
      <c r="AA239">
        <v>-3</v>
      </c>
      <c r="AB239">
        <v>10.199999999999999</v>
      </c>
      <c r="AC239">
        <v>0.08</v>
      </c>
    </row>
    <row r="240" spans="1:29" x14ac:dyDescent="0.35">
      <c r="A240" s="3" t="s">
        <v>334</v>
      </c>
      <c r="B240" s="1" t="s">
        <v>26</v>
      </c>
      <c r="C240" s="1" t="s">
        <v>598</v>
      </c>
      <c r="D240" s="1" t="s">
        <v>19</v>
      </c>
      <c r="E240" s="1" t="s">
        <v>50</v>
      </c>
      <c r="F240" s="4">
        <v>0.7</v>
      </c>
      <c r="G240">
        <v>25</v>
      </c>
      <c r="H240">
        <v>61</v>
      </c>
      <c r="I240">
        <v>11.2</v>
      </c>
      <c r="J240">
        <v>4.5999999999999996</v>
      </c>
      <c r="K240">
        <v>0.502</v>
      </c>
      <c r="L240">
        <v>2.6</v>
      </c>
      <c r="M240">
        <v>0.373</v>
      </c>
      <c r="N240">
        <v>2</v>
      </c>
      <c r="O240">
        <v>0.67500000000000004</v>
      </c>
      <c r="P240">
        <v>0.60899999999999999</v>
      </c>
      <c r="Q240">
        <v>1</v>
      </c>
      <c r="R240">
        <v>0.74099999999999999</v>
      </c>
      <c r="S240">
        <v>3.1</v>
      </c>
      <c r="T240">
        <v>0.8</v>
      </c>
      <c r="U240">
        <v>0.4</v>
      </c>
      <c r="V240">
        <v>0.3</v>
      </c>
      <c r="W240">
        <v>0.4</v>
      </c>
      <c r="X240">
        <v>1</v>
      </c>
      <c r="Y240">
        <v>6.3</v>
      </c>
      <c r="Z240">
        <v>3</v>
      </c>
      <c r="AA240">
        <v>2.2999999999999998</v>
      </c>
      <c r="AB240">
        <v>19.7</v>
      </c>
      <c r="AC240">
        <v>0.152</v>
      </c>
    </row>
    <row r="241" spans="1:29" x14ac:dyDescent="0.35">
      <c r="A241" s="3" t="s">
        <v>331</v>
      </c>
      <c r="B241" s="1" t="s">
        <v>26</v>
      </c>
      <c r="C241" s="1" t="s">
        <v>597</v>
      </c>
      <c r="D241" s="1" t="s">
        <v>23</v>
      </c>
      <c r="E241" s="1" t="s">
        <v>20</v>
      </c>
      <c r="F241" s="4">
        <v>0.2</v>
      </c>
      <c r="G241">
        <v>36</v>
      </c>
      <c r="H241">
        <v>23</v>
      </c>
      <c r="I241">
        <v>10.9</v>
      </c>
      <c r="J241">
        <v>5</v>
      </c>
      <c r="K241">
        <v>0.35699999999999998</v>
      </c>
      <c r="L241">
        <v>2.9</v>
      </c>
      <c r="M241">
        <v>0.35799999999999998</v>
      </c>
      <c r="N241">
        <v>2.1</v>
      </c>
      <c r="O241">
        <v>0.35399999999999998</v>
      </c>
      <c r="P241">
        <v>0.46100000000000002</v>
      </c>
      <c r="Q241">
        <v>1</v>
      </c>
      <c r="R241">
        <v>0.69599999999999995</v>
      </c>
      <c r="S241">
        <v>4.0999999999999996</v>
      </c>
      <c r="T241">
        <v>1</v>
      </c>
      <c r="U241">
        <v>0.7</v>
      </c>
      <c r="V241">
        <v>0.2</v>
      </c>
      <c r="W241">
        <v>0.6</v>
      </c>
      <c r="X241">
        <v>0.9</v>
      </c>
      <c r="Y241">
        <v>5.3</v>
      </c>
      <c r="Z241">
        <v>16</v>
      </c>
      <c r="AA241">
        <v>0.4</v>
      </c>
      <c r="AB241">
        <v>16.2</v>
      </c>
      <c r="AC241">
        <v>8.3000000000000004E-2</v>
      </c>
    </row>
    <row r="242" spans="1:29" x14ac:dyDescent="0.35">
      <c r="A242" s="3" t="s">
        <v>515</v>
      </c>
      <c r="B242" s="1" t="s">
        <v>18</v>
      </c>
      <c r="C242" s="1" t="s">
        <v>598</v>
      </c>
      <c r="D242" s="1" t="s">
        <v>19</v>
      </c>
      <c r="E242" s="1" t="s">
        <v>28</v>
      </c>
      <c r="F242" s="4">
        <v>-0.2</v>
      </c>
      <c r="G242">
        <v>32</v>
      </c>
      <c r="H242">
        <v>38</v>
      </c>
      <c r="I242">
        <v>16.3</v>
      </c>
      <c r="J242">
        <v>3.4</v>
      </c>
      <c r="K242">
        <v>0.47299999999999998</v>
      </c>
      <c r="L242">
        <v>1</v>
      </c>
      <c r="M242">
        <v>0.24299999999999999</v>
      </c>
      <c r="N242">
        <v>2.4</v>
      </c>
      <c r="O242">
        <v>0.56499999999999995</v>
      </c>
      <c r="P242">
        <v>0.50800000000000001</v>
      </c>
      <c r="Q242">
        <v>1</v>
      </c>
      <c r="R242">
        <v>0.83799999999999997</v>
      </c>
      <c r="S242">
        <v>4.3</v>
      </c>
      <c r="T242">
        <v>1.6</v>
      </c>
      <c r="U242">
        <v>0.5</v>
      </c>
      <c r="V242">
        <v>0.5</v>
      </c>
      <c r="W242">
        <v>0.7</v>
      </c>
      <c r="X242">
        <v>1.8</v>
      </c>
      <c r="Y242">
        <v>4.3</v>
      </c>
      <c r="Z242">
        <v>7</v>
      </c>
      <c r="AA242">
        <v>-3.3</v>
      </c>
      <c r="AB242">
        <v>12.1</v>
      </c>
      <c r="AC242">
        <v>7.6999999999999999E-2</v>
      </c>
    </row>
    <row r="243" spans="1:29" x14ac:dyDescent="0.35">
      <c r="A243" s="3" t="s">
        <v>539</v>
      </c>
      <c r="B243" s="1" t="s">
        <v>26</v>
      </c>
      <c r="C243" s="1" t="s">
        <v>598</v>
      </c>
      <c r="D243" s="1" t="s">
        <v>23</v>
      </c>
      <c r="E243" s="1" t="s">
        <v>50</v>
      </c>
      <c r="F243" s="4">
        <v>0.2</v>
      </c>
      <c r="G243">
        <v>25</v>
      </c>
      <c r="H243">
        <v>36</v>
      </c>
      <c r="I243">
        <v>16.100000000000001</v>
      </c>
      <c r="J243">
        <v>3.4</v>
      </c>
      <c r="K243">
        <v>0.48799999999999999</v>
      </c>
      <c r="L243">
        <v>0.9</v>
      </c>
      <c r="M243">
        <v>0.28100000000000003</v>
      </c>
      <c r="N243">
        <v>2.5</v>
      </c>
      <c r="O243">
        <v>0.56200000000000006</v>
      </c>
      <c r="P243">
        <v>0.52500000000000002</v>
      </c>
      <c r="Q243">
        <v>1</v>
      </c>
      <c r="R243">
        <v>0.55600000000000005</v>
      </c>
      <c r="S243">
        <v>5.0999999999999996</v>
      </c>
      <c r="T243">
        <v>1.1000000000000001</v>
      </c>
      <c r="U243">
        <v>1</v>
      </c>
      <c r="V243">
        <v>0.3</v>
      </c>
      <c r="W243">
        <v>0.8</v>
      </c>
      <c r="X243">
        <v>1.9</v>
      </c>
      <c r="Y243">
        <v>4.0999999999999996</v>
      </c>
      <c r="Z243">
        <v>6</v>
      </c>
      <c r="AA243">
        <v>-1</v>
      </c>
      <c r="AB243">
        <v>13.2</v>
      </c>
      <c r="AC243">
        <v>0.114</v>
      </c>
    </row>
    <row r="244" spans="1:29" x14ac:dyDescent="0.35">
      <c r="A244" s="3" t="s">
        <v>153</v>
      </c>
      <c r="B244" s="1" t="s">
        <v>2</v>
      </c>
      <c r="C244" s="1" t="s">
        <v>598</v>
      </c>
      <c r="D244" s="1" t="s">
        <v>23</v>
      </c>
      <c r="E244" s="1" t="s">
        <v>20</v>
      </c>
      <c r="F244" s="4">
        <v>1.6</v>
      </c>
      <c r="G244">
        <v>28</v>
      </c>
      <c r="H244">
        <v>62</v>
      </c>
      <c r="I244">
        <v>25.9</v>
      </c>
      <c r="J244">
        <v>9.6</v>
      </c>
      <c r="K244">
        <v>0.42199999999999999</v>
      </c>
      <c r="L244">
        <v>7.1</v>
      </c>
      <c r="M244">
        <v>0.39700000000000002</v>
      </c>
      <c r="N244">
        <v>2.5</v>
      </c>
      <c r="O244">
        <v>0.49</v>
      </c>
      <c r="P244">
        <v>0.56799999999999995</v>
      </c>
      <c r="Q244">
        <v>1</v>
      </c>
      <c r="R244">
        <v>0.77800000000000002</v>
      </c>
      <c r="S244">
        <v>3.7</v>
      </c>
      <c r="T244">
        <v>3.6</v>
      </c>
      <c r="U244">
        <v>1.2</v>
      </c>
      <c r="V244">
        <v>0.3</v>
      </c>
      <c r="W244">
        <v>1.6</v>
      </c>
      <c r="X244">
        <v>1.8</v>
      </c>
      <c r="Y244">
        <v>11.7</v>
      </c>
      <c r="Z244">
        <v>6</v>
      </c>
      <c r="AA244">
        <v>1.9</v>
      </c>
      <c r="AB244">
        <v>14.1</v>
      </c>
      <c r="AC244">
        <v>0.115</v>
      </c>
    </row>
    <row r="245" spans="1:29" x14ac:dyDescent="0.35">
      <c r="A245" s="3" t="s">
        <v>369</v>
      </c>
      <c r="B245" s="1" t="s">
        <v>2</v>
      </c>
      <c r="C245" s="1" t="s">
        <v>35</v>
      </c>
      <c r="D245" s="1" t="s">
        <v>23</v>
      </c>
      <c r="E245" s="1" t="s">
        <v>50</v>
      </c>
      <c r="F245" s="4">
        <v>0</v>
      </c>
      <c r="G245">
        <v>28</v>
      </c>
      <c r="H245">
        <v>57</v>
      </c>
      <c r="I245">
        <v>14.7</v>
      </c>
      <c r="J245">
        <v>4.5</v>
      </c>
      <c r="K245">
        <v>0.45300000000000001</v>
      </c>
      <c r="L245">
        <v>1.9</v>
      </c>
      <c r="M245">
        <v>0.35799999999999998</v>
      </c>
      <c r="N245">
        <v>2.6</v>
      </c>
      <c r="O245">
        <v>0.52</v>
      </c>
      <c r="P245">
        <v>0.52800000000000002</v>
      </c>
      <c r="Q245">
        <v>1</v>
      </c>
      <c r="R245">
        <v>0.79700000000000004</v>
      </c>
      <c r="S245">
        <v>1.8</v>
      </c>
      <c r="T245">
        <v>1.8</v>
      </c>
      <c r="U245">
        <v>0.4</v>
      </c>
      <c r="V245">
        <v>0.1</v>
      </c>
      <c r="W245">
        <v>0.7</v>
      </c>
      <c r="X245">
        <v>1.2</v>
      </c>
      <c r="Y245">
        <v>5.5</v>
      </c>
      <c r="Z245">
        <v>6</v>
      </c>
      <c r="AA245">
        <v>-2.2000000000000002</v>
      </c>
      <c r="AB245">
        <v>11.9</v>
      </c>
      <c r="AC245">
        <v>7.6999999999999999E-2</v>
      </c>
    </row>
    <row r="246" spans="1:29" x14ac:dyDescent="0.35">
      <c r="A246" s="3" t="s">
        <v>89</v>
      </c>
      <c r="B246" s="1" t="s">
        <v>18</v>
      </c>
      <c r="C246" s="1" t="s">
        <v>35</v>
      </c>
      <c r="D246" s="1" t="s">
        <v>23</v>
      </c>
      <c r="E246" s="1" t="s">
        <v>50</v>
      </c>
      <c r="F246" s="4">
        <v>0.6</v>
      </c>
      <c r="G246">
        <v>27</v>
      </c>
      <c r="H246">
        <v>66</v>
      </c>
      <c r="I246">
        <v>14.6</v>
      </c>
      <c r="J246">
        <v>4.9000000000000004</v>
      </c>
      <c r="K246">
        <v>0.50800000000000001</v>
      </c>
      <c r="L246">
        <v>2.2000000000000002</v>
      </c>
      <c r="M246">
        <v>0.32400000000000001</v>
      </c>
      <c r="N246">
        <v>2.6</v>
      </c>
      <c r="O246">
        <v>0.66500000000000004</v>
      </c>
      <c r="P246">
        <v>0.58299999999999996</v>
      </c>
      <c r="Q246">
        <v>1</v>
      </c>
      <c r="R246">
        <v>0.85899999999999999</v>
      </c>
      <c r="S246">
        <v>3.8</v>
      </c>
      <c r="T246">
        <v>0.8</v>
      </c>
      <c r="U246">
        <v>0.4</v>
      </c>
      <c r="V246">
        <v>0.6</v>
      </c>
      <c r="W246">
        <v>0.5</v>
      </c>
      <c r="X246">
        <v>1.2</v>
      </c>
      <c r="Y246">
        <v>6.5</v>
      </c>
      <c r="Z246">
        <v>7</v>
      </c>
      <c r="AA246">
        <v>0.6</v>
      </c>
      <c r="AB246">
        <v>17.2</v>
      </c>
      <c r="AC246">
        <v>0.152</v>
      </c>
    </row>
    <row r="247" spans="1:29" x14ac:dyDescent="0.35">
      <c r="A247" s="3" t="s">
        <v>442</v>
      </c>
      <c r="B247" s="1" t="s">
        <v>2</v>
      </c>
      <c r="C247" s="1" t="s">
        <v>35</v>
      </c>
      <c r="D247" s="1" t="s">
        <v>33</v>
      </c>
      <c r="E247" s="1" t="s">
        <v>28</v>
      </c>
      <c r="F247" s="4">
        <v>-0.2</v>
      </c>
      <c r="G247">
        <v>24</v>
      </c>
      <c r="H247">
        <v>13</v>
      </c>
      <c r="I247">
        <v>14.1</v>
      </c>
      <c r="J247">
        <v>6</v>
      </c>
      <c r="K247">
        <v>0.39700000000000002</v>
      </c>
      <c r="L247">
        <v>3.4</v>
      </c>
      <c r="M247">
        <v>0.29499999999999998</v>
      </c>
      <c r="N247">
        <v>2.6</v>
      </c>
      <c r="O247">
        <v>0.52900000000000003</v>
      </c>
      <c r="P247">
        <v>0.48099999999999998</v>
      </c>
      <c r="Q247">
        <v>1</v>
      </c>
      <c r="R247">
        <v>0.84599999999999997</v>
      </c>
      <c r="S247">
        <v>1.5</v>
      </c>
      <c r="T247">
        <v>1.8</v>
      </c>
      <c r="U247">
        <v>0.2</v>
      </c>
      <c r="V247">
        <v>0.2</v>
      </c>
      <c r="W247">
        <v>1.1000000000000001</v>
      </c>
      <c r="X247">
        <v>1.4</v>
      </c>
      <c r="Y247">
        <v>6.6</v>
      </c>
      <c r="Z247">
        <v>2</v>
      </c>
      <c r="AA247">
        <v>-6.1</v>
      </c>
      <c r="AB247">
        <v>9.5</v>
      </c>
      <c r="AC247">
        <v>-2.5000000000000001E-2</v>
      </c>
    </row>
    <row r="248" spans="1:29" x14ac:dyDescent="0.35">
      <c r="A248" s="3" t="s">
        <v>522</v>
      </c>
      <c r="B248" s="1" t="s">
        <v>2</v>
      </c>
      <c r="C248" s="1" t="s">
        <v>598</v>
      </c>
      <c r="D248" s="1" t="s">
        <v>33</v>
      </c>
      <c r="E248" s="1" t="s">
        <v>20</v>
      </c>
      <c r="F248" s="4">
        <v>0.6</v>
      </c>
      <c r="G248">
        <v>27</v>
      </c>
      <c r="H248">
        <v>15</v>
      </c>
      <c r="I248">
        <v>20.8</v>
      </c>
      <c r="J248">
        <v>5.9</v>
      </c>
      <c r="K248">
        <v>0.47699999999999998</v>
      </c>
      <c r="L248">
        <v>3.2</v>
      </c>
      <c r="M248">
        <v>0.438</v>
      </c>
      <c r="N248">
        <v>2.7</v>
      </c>
      <c r="O248">
        <v>0.52500000000000002</v>
      </c>
      <c r="P248">
        <v>0.59699999999999998</v>
      </c>
      <c r="Q248">
        <v>1</v>
      </c>
      <c r="R248">
        <v>0.46700000000000003</v>
      </c>
      <c r="S248">
        <v>3.5</v>
      </c>
      <c r="T248">
        <v>1.9</v>
      </c>
      <c r="U248">
        <v>2.2000000000000002</v>
      </c>
      <c r="V248">
        <v>0.6</v>
      </c>
      <c r="W248">
        <v>0.9</v>
      </c>
      <c r="X248">
        <v>0.9</v>
      </c>
      <c r="Y248">
        <v>7.5</v>
      </c>
      <c r="Z248">
        <v>5</v>
      </c>
      <c r="AA248">
        <v>5</v>
      </c>
      <c r="AB248">
        <v>17</v>
      </c>
      <c r="AC248">
        <v>0.14599999999999999</v>
      </c>
    </row>
    <row r="249" spans="1:29" x14ac:dyDescent="0.35">
      <c r="A249" s="3" t="s">
        <v>314</v>
      </c>
      <c r="B249" s="1" t="s">
        <v>18</v>
      </c>
      <c r="C249" s="1" t="s">
        <v>598</v>
      </c>
      <c r="D249" s="1" t="s">
        <v>19</v>
      </c>
      <c r="E249" s="1" t="s">
        <v>28</v>
      </c>
      <c r="F249" s="4">
        <v>0.3</v>
      </c>
      <c r="G249">
        <v>29</v>
      </c>
      <c r="H249">
        <v>42</v>
      </c>
      <c r="I249">
        <v>11.9</v>
      </c>
      <c r="J249">
        <v>3.6</v>
      </c>
      <c r="K249">
        <v>0.53300000000000003</v>
      </c>
      <c r="L249">
        <v>0.6</v>
      </c>
      <c r="M249">
        <v>0.42299999999999999</v>
      </c>
      <c r="N249">
        <v>3</v>
      </c>
      <c r="O249">
        <v>0.55600000000000005</v>
      </c>
      <c r="P249">
        <v>0.56899999999999995</v>
      </c>
      <c r="Q249">
        <v>1</v>
      </c>
      <c r="R249">
        <v>0.67500000000000004</v>
      </c>
      <c r="S249">
        <v>3.3</v>
      </c>
      <c r="T249">
        <v>0.9</v>
      </c>
      <c r="U249">
        <v>0.3</v>
      </c>
      <c r="V249">
        <v>0.2</v>
      </c>
      <c r="W249">
        <v>0.5</v>
      </c>
      <c r="X249">
        <v>1.2</v>
      </c>
      <c r="Y249">
        <v>4.8</v>
      </c>
      <c r="Z249">
        <v>3</v>
      </c>
      <c r="AA249">
        <v>0.4</v>
      </c>
      <c r="AB249">
        <v>16</v>
      </c>
      <c r="AC249">
        <v>0.159</v>
      </c>
    </row>
    <row r="250" spans="1:29" x14ac:dyDescent="0.35">
      <c r="A250" s="3" t="s">
        <v>382</v>
      </c>
      <c r="B250" s="1" t="s">
        <v>2</v>
      </c>
      <c r="C250" s="1" t="s">
        <v>598</v>
      </c>
      <c r="D250" s="1" t="s">
        <v>23</v>
      </c>
      <c r="E250" s="1" t="s">
        <v>28</v>
      </c>
      <c r="F250" s="4">
        <v>0</v>
      </c>
      <c r="G250">
        <v>26</v>
      </c>
      <c r="H250">
        <v>2</v>
      </c>
      <c r="I250">
        <v>10</v>
      </c>
      <c r="J250">
        <v>5</v>
      </c>
      <c r="K250">
        <v>0.2</v>
      </c>
      <c r="L250">
        <v>2</v>
      </c>
      <c r="M250">
        <v>0.25</v>
      </c>
      <c r="N250">
        <v>3</v>
      </c>
      <c r="O250">
        <v>0.16700000000000001</v>
      </c>
      <c r="P250">
        <v>0.25</v>
      </c>
      <c r="Q250">
        <v>1</v>
      </c>
      <c r="R250">
        <v>0.5</v>
      </c>
      <c r="S250">
        <v>4</v>
      </c>
      <c r="T250">
        <v>0.5</v>
      </c>
      <c r="U250">
        <v>1</v>
      </c>
      <c r="V250">
        <v>0</v>
      </c>
      <c r="W250">
        <v>1</v>
      </c>
      <c r="X250">
        <v>0</v>
      </c>
      <c r="Y250">
        <v>3</v>
      </c>
      <c r="Z250">
        <v>1</v>
      </c>
      <c r="AA250">
        <v>-4.3</v>
      </c>
      <c r="AB250">
        <v>7.1</v>
      </c>
      <c r="AC250">
        <v>-0.15</v>
      </c>
    </row>
    <row r="251" spans="1:29" x14ac:dyDescent="0.35">
      <c r="A251" s="3" t="s">
        <v>343</v>
      </c>
      <c r="B251" s="1" t="s">
        <v>2</v>
      </c>
      <c r="C251" s="1" t="s">
        <v>597</v>
      </c>
      <c r="D251" s="1" t="s">
        <v>23</v>
      </c>
      <c r="E251" s="1" t="s">
        <v>50</v>
      </c>
      <c r="F251" s="4">
        <v>-0.2</v>
      </c>
      <c r="G251">
        <v>25</v>
      </c>
      <c r="H251">
        <v>60</v>
      </c>
      <c r="I251">
        <v>21.9</v>
      </c>
      <c r="J251">
        <v>7.8</v>
      </c>
      <c r="K251">
        <v>0.40600000000000003</v>
      </c>
      <c r="L251">
        <v>4.7</v>
      </c>
      <c r="M251">
        <v>0.35099999999999998</v>
      </c>
      <c r="N251">
        <v>3.1</v>
      </c>
      <c r="O251">
        <v>0.49199999999999999</v>
      </c>
      <c r="P251">
        <v>0.51300000000000001</v>
      </c>
      <c r="Q251">
        <v>1</v>
      </c>
      <c r="R251">
        <v>0.79300000000000004</v>
      </c>
      <c r="S251">
        <v>3.7</v>
      </c>
      <c r="T251">
        <v>2</v>
      </c>
      <c r="U251">
        <v>0.6</v>
      </c>
      <c r="V251">
        <v>0.2</v>
      </c>
      <c r="W251">
        <v>1.2</v>
      </c>
      <c r="X251">
        <v>1.3</v>
      </c>
      <c r="Y251">
        <v>8.6999999999999993</v>
      </c>
      <c r="Z251">
        <v>1</v>
      </c>
      <c r="AA251">
        <v>-2.6</v>
      </c>
      <c r="AB251">
        <v>10.9</v>
      </c>
      <c r="AC251">
        <v>3.3000000000000002E-2</v>
      </c>
    </row>
    <row r="252" spans="1:29" x14ac:dyDescent="0.35">
      <c r="A252" s="3" t="s">
        <v>440</v>
      </c>
      <c r="B252" s="1" t="s">
        <v>18</v>
      </c>
      <c r="C252" s="1" t="s">
        <v>597</v>
      </c>
      <c r="D252" s="1" t="s">
        <v>19</v>
      </c>
      <c r="E252" s="1" t="s">
        <v>50</v>
      </c>
      <c r="F252" s="4">
        <v>0.3</v>
      </c>
      <c r="G252">
        <v>25</v>
      </c>
      <c r="H252">
        <v>62</v>
      </c>
      <c r="I252">
        <v>13.9</v>
      </c>
      <c r="J252">
        <v>3.3</v>
      </c>
      <c r="K252">
        <v>0.65</v>
      </c>
      <c r="L252">
        <v>0</v>
      </c>
      <c r="M252">
        <v>0</v>
      </c>
      <c r="N252">
        <v>3.2</v>
      </c>
      <c r="O252">
        <v>0.66</v>
      </c>
      <c r="P252">
        <v>0.65</v>
      </c>
      <c r="Q252">
        <v>1</v>
      </c>
      <c r="R252">
        <v>0.754</v>
      </c>
      <c r="S252">
        <v>3.8</v>
      </c>
      <c r="T252">
        <v>0.7</v>
      </c>
      <c r="U252">
        <v>0.3</v>
      </c>
      <c r="V252">
        <v>0.7</v>
      </c>
      <c r="W252">
        <v>0.6</v>
      </c>
      <c r="X252">
        <v>1.7</v>
      </c>
      <c r="Y252">
        <v>5</v>
      </c>
      <c r="Z252">
        <v>3</v>
      </c>
      <c r="AA252">
        <v>-0.7</v>
      </c>
      <c r="AB252">
        <v>16.3</v>
      </c>
      <c r="AC252">
        <v>0.17899999999999999</v>
      </c>
    </row>
    <row r="253" spans="1:29" x14ac:dyDescent="0.35">
      <c r="A253" s="3" t="s">
        <v>477</v>
      </c>
      <c r="B253" s="1" t="s">
        <v>26</v>
      </c>
      <c r="C253" s="1" t="s">
        <v>598</v>
      </c>
      <c r="D253" s="1" t="s">
        <v>23</v>
      </c>
      <c r="E253" s="1" t="s">
        <v>20</v>
      </c>
      <c r="F253" s="4">
        <v>0.3</v>
      </c>
      <c r="G253">
        <v>21</v>
      </c>
      <c r="H253">
        <v>71</v>
      </c>
      <c r="I253">
        <v>20.2</v>
      </c>
      <c r="J253">
        <v>8.4</v>
      </c>
      <c r="K253">
        <v>0.45900000000000002</v>
      </c>
      <c r="L253">
        <v>5.2</v>
      </c>
      <c r="M253">
        <v>0.42199999999999999</v>
      </c>
      <c r="N253">
        <v>3.2</v>
      </c>
      <c r="O253">
        <v>0.52</v>
      </c>
      <c r="P253">
        <v>0.59</v>
      </c>
      <c r="Q253">
        <v>1</v>
      </c>
      <c r="R253">
        <v>0.89</v>
      </c>
      <c r="S253">
        <v>3</v>
      </c>
      <c r="T253">
        <v>1.5</v>
      </c>
      <c r="U253">
        <v>0.6</v>
      </c>
      <c r="V253">
        <v>0.1</v>
      </c>
      <c r="W253">
        <v>1.5</v>
      </c>
      <c r="X253">
        <v>1.6</v>
      </c>
      <c r="Y253">
        <v>10.9</v>
      </c>
      <c r="Z253">
        <v>1</v>
      </c>
      <c r="AA253">
        <v>-1.2</v>
      </c>
      <c r="AB253">
        <v>13.4</v>
      </c>
      <c r="AC253">
        <v>4.2000000000000003E-2</v>
      </c>
    </row>
    <row r="254" spans="1:29" x14ac:dyDescent="0.35">
      <c r="A254" s="3" t="s">
        <v>374</v>
      </c>
      <c r="B254" s="1" t="s">
        <v>2</v>
      </c>
      <c r="C254" s="1" t="s">
        <v>598</v>
      </c>
      <c r="D254" s="1" t="s">
        <v>19</v>
      </c>
      <c r="E254" s="1" t="s">
        <v>50</v>
      </c>
      <c r="F254" s="4">
        <v>0.1</v>
      </c>
      <c r="G254">
        <v>22</v>
      </c>
      <c r="H254">
        <v>36</v>
      </c>
      <c r="I254">
        <v>16.600000000000001</v>
      </c>
      <c r="J254">
        <v>5.0999999999999996</v>
      </c>
      <c r="K254">
        <v>0.495</v>
      </c>
      <c r="L254">
        <v>1.7</v>
      </c>
      <c r="M254">
        <v>0.38300000000000001</v>
      </c>
      <c r="N254">
        <v>3.4</v>
      </c>
      <c r="O254">
        <v>0.54800000000000004</v>
      </c>
      <c r="P254">
        <v>0.55700000000000005</v>
      </c>
      <c r="Q254">
        <v>1</v>
      </c>
      <c r="R254">
        <v>0.82899999999999996</v>
      </c>
      <c r="S254">
        <v>1.9</v>
      </c>
      <c r="T254">
        <v>1.8</v>
      </c>
      <c r="U254">
        <v>0.7</v>
      </c>
      <c r="V254">
        <v>0.1</v>
      </c>
      <c r="W254">
        <v>0.8</v>
      </c>
      <c r="X254">
        <v>1.9</v>
      </c>
      <c r="Y254">
        <v>6.5</v>
      </c>
      <c r="Z254">
        <v>0</v>
      </c>
      <c r="AA254">
        <v>-1.6</v>
      </c>
      <c r="AB254">
        <v>12</v>
      </c>
      <c r="AC254">
        <v>0.122</v>
      </c>
    </row>
    <row r="255" spans="1:29" x14ac:dyDescent="0.35">
      <c r="A255" s="3" t="s">
        <v>362</v>
      </c>
      <c r="B255" s="1" t="s">
        <v>2</v>
      </c>
      <c r="C255" s="1" t="s">
        <v>35</v>
      </c>
      <c r="D255" s="1" t="s">
        <v>19</v>
      </c>
      <c r="E255" s="1" t="s">
        <v>50</v>
      </c>
      <c r="F255" s="4">
        <v>-1</v>
      </c>
      <c r="G255">
        <v>31</v>
      </c>
      <c r="H255">
        <v>41</v>
      </c>
      <c r="I255">
        <v>19.100000000000001</v>
      </c>
      <c r="J255">
        <v>6.7</v>
      </c>
      <c r="K255">
        <v>0.34799999999999998</v>
      </c>
      <c r="L255">
        <v>3</v>
      </c>
      <c r="M255">
        <v>0.36</v>
      </c>
      <c r="N255">
        <v>3.6</v>
      </c>
      <c r="O255">
        <v>0.33800000000000002</v>
      </c>
      <c r="P255">
        <v>0.43</v>
      </c>
      <c r="Q255">
        <v>1</v>
      </c>
      <c r="R255">
        <v>0.82899999999999996</v>
      </c>
      <c r="S255">
        <v>2.2000000000000002</v>
      </c>
      <c r="T255">
        <v>3.1</v>
      </c>
      <c r="U255">
        <v>0.4</v>
      </c>
      <c r="V255">
        <v>0</v>
      </c>
      <c r="W255">
        <v>1.9</v>
      </c>
      <c r="X255">
        <v>1.1000000000000001</v>
      </c>
      <c r="Y255">
        <v>6.6</v>
      </c>
      <c r="Z255">
        <v>1</v>
      </c>
      <c r="AA255">
        <v>-7</v>
      </c>
      <c r="AB255">
        <v>6.5</v>
      </c>
      <c r="AC255">
        <v>-0.06</v>
      </c>
    </row>
    <row r="256" spans="1:29" x14ac:dyDescent="0.35">
      <c r="A256" s="3" t="s">
        <v>335</v>
      </c>
      <c r="B256" s="1" t="s">
        <v>2</v>
      </c>
      <c r="C256" s="1" t="s">
        <v>35</v>
      </c>
      <c r="D256" s="1" t="s">
        <v>23</v>
      </c>
      <c r="E256" s="1" t="s">
        <v>50</v>
      </c>
      <c r="F256" s="4">
        <v>0.2</v>
      </c>
      <c r="G256">
        <v>28</v>
      </c>
      <c r="H256">
        <v>67</v>
      </c>
      <c r="I256">
        <v>21.1</v>
      </c>
      <c r="J256">
        <v>6.2</v>
      </c>
      <c r="K256">
        <v>0.496</v>
      </c>
      <c r="L256">
        <v>2.4</v>
      </c>
      <c r="M256">
        <v>0.36799999999999999</v>
      </c>
      <c r="N256">
        <v>3.7</v>
      </c>
      <c r="O256">
        <v>0.57999999999999996</v>
      </c>
      <c r="P256">
        <v>0.56899999999999995</v>
      </c>
      <c r="Q256">
        <v>1</v>
      </c>
      <c r="R256">
        <v>0.69099999999999995</v>
      </c>
      <c r="S256">
        <v>3</v>
      </c>
      <c r="T256">
        <v>1.8</v>
      </c>
      <c r="U256">
        <v>0.7</v>
      </c>
      <c r="V256">
        <v>0.2</v>
      </c>
      <c r="W256">
        <v>0.7</v>
      </c>
      <c r="X256">
        <v>1.9</v>
      </c>
      <c r="Y256">
        <v>7.7</v>
      </c>
      <c r="Z256">
        <v>5</v>
      </c>
      <c r="AA256">
        <v>-1.3</v>
      </c>
      <c r="AB256">
        <v>12</v>
      </c>
      <c r="AC256">
        <v>0.10100000000000001</v>
      </c>
    </row>
    <row r="257" spans="1:29" x14ac:dyDescent="0.35">
      <c r="A257" s="3" t="s">
        <v>41</v>
      </c>
      <c r="B257" s="1" t="s">
        <v>26</v>
      </c>
      <c r="C257" s="1" t="s">
        <v>597</v>
      </c>
      <c r="D257" s="1" t="s">
        <v>23</v>
      </c>
      <c r="E257" s="1" t="s">
        <v>28</v>
      </c>
      <c r="F257" s="4">
        <v>-0.1</v>
      </c>
      <c r="G257">
        <v>23</v>
      </c>
      <c r="H257">
        <v>10</v>
      </c>
      <c r="I257">
        <v>25.3</v>
      </c>
      <c r="J257">
        <v>6.9</v>
      </c>
      <c r="K257">
        <v>0.39100000000000001</v>
      </c>
      <c r="L257">
        <v>3.2</v>
      </c>
      <c r="M257">
        <v>0.156</v>
      </c>
      <c r="N257">
        <v>3.7</v>
      </c>
      <c r="O257">
        <v>0.59499999999999997</v>
      </c>
      <c r="P257">
        <v>0.42799999999999999</v>
      </c>
      <c r="Q257">
        <v>1</v>
      </c>
      <c r="R257">
        <v>0.8</v>
      </c>
      <c r="S257">
        <v>7</v>
      </c>
      <c r="T257">
        <v>1</v>
      </c>
      <c r="U257">
        <v>0.9</v>
      </c>
      <c r="V257">
        <v>1.2</v>
      </c>
      <c r="W257">
        <v>0.7</v>
      </c>
      <c r="X257">
        <v>1.6</v>
      </c>
      <c r="Y257">
        <v>6.7</v>
      </c>
      <c r="Z257">
        <v>0</v>
      </c>
      <c r="AA257">
        <v>-4.3</v>
      </c>
      <c r="AB257">
        <v>11.8</v>
      </c>
      <c r="AC257">
        <v>4.4999999999999998E-2</v>
      </c>
    </row>
    <row r="258" spans="1:29" x14ac:dyDescent="0.35">
      <c r="A258" s="3" t="s">
        <v>348</v>
      </c>
      <c r="B258" s="1" t="s">
        <v>2</v>
      </c>
      <c r="C258" s="1" t="s">
        <v>597</v>
      </c>
      <c r="D258" s="1" t="s">
        <v>23</v>
      </c>
      <c r="E258" s="1" t="s">
        <v>50</v>
      </c>
      <c r="F258" s="4">
        <v>0.8</v>
      </c>
      <c r="G258">
        <v>24</v>
      </c>
      <c r="H258">
        <v>64</v>
      </c>
      <c r="I258">
        <v>24.9</v>
      </c>
      <c r="J258">
        <v>8.5</v>
      </c>
      <c r="K258">
        <v>0.40600000000000003</v>
      </c>
      <c r="L258">
        <v>4.9000000000000004</v>
      </c>
      <c r="M258">
        <v>0.36899999999999999</v>
      </c>
      <c r="N258">
        <v>3.7</v>
      </c>
      <c r="O258">
        <v>0.45500000000000002</v>
      </c>
      <c r="P258">
        <v>0.51100000000000001</v>
      </c>
      <c r="Q258">
        <v>1</v>
      </c>
      <c r="R258">
        <v>0.81299999999999994</v>
      </c>
      <c r="S258">
        <v>2.5</v>
      </c>
      <c r="T258">
        <v>2.9</v>
      </c>
      <c r="U258">
        <v>1</v>
      </c>
      <c r="V258">
        <v>0.3</v>
      </c>
      <c r="W258">
        <v>0.6</v>
      </c>
      <c r="X258">
        <v>1.7</v>
      </c>
      <c r="Y258">
        <v>9.5</v>
      </c>
      <c r="Z258">
        <v>3</v>
      </c>
      <c r="AA258">
        <v>0</v>
      </c>
      <c r="AB258">
        <v>12.6</v>
      </c>
      <c r="AC258">
        <v>9.8000000000000004E-2</v>
      </c>
    </row>
    <row r="259" spans="1:29" x14ac:dyDescent="0.35">
      <c r="A259" s="3" t="s">
        <v>346</v>
      </c>
      <c r="B259" s="1" t="s">
        <v>26</v>
      </c>
      <c r="C259" s="1" t="s">
        <v>598</v>
      </c>
      <c r="D259" s="1" t="s">
        <v>19</v>
      </c>
      <c r="E259" s="1" t="s">
        <v>50</v>
      </c>
      <c r="F259" s="4">
        <v>0</v>
      </c>
      <c r="G259">
        <v>23</v>
      </c>
      <c r="H259">
        <v>42</v>
      </c>
      <c r="I259">
        <v>18.8</v>
      </c>
      <c r="J259">
        <v>5.6</v>
      </c>
      <c r="K259">
        <v>0.57399999999999995</v>
      </c>
      <c r="L259">
        <v>1.6</v>
      </c>
      <c r="M259">
        <v>0.318</v>
      </c>
      <c r="N259">
        <v>4</v>
      </c>
      <c r="O259">
        <v>0.67500000000000004</v>
      </c>
      <c r="P259">
        <v>0.61899999999999999</v>
      </c>
      <c r="Q259">
        <v>1</v>
      </c>
      <c r="R259">
        <v>0.77300000000000002</v>
      </c>
      <c r="S259">
        <v>5</v>
      </c>
      <c r="T259">
        <v>1.1000000000000001</v>
      </c>
      <c r="U259">
        <v>0.5</v>
      </c>
      <c r="V259">
        <v>1</v>
      </c>
      <c r="W259">
        <v>1</v>
      </c>
      <c r="X259">
        <v>2.5</v>
      </c>
      <c r="Y259">
        <v>7.7</v>
      </c>
      <c r="Z259">
        <v>0</v>
      </c>
      <c r="AA259">
        <v>-2</v>
      </c>
      <c r="AB259">
        <v>15.6</v>
      </c>
      <c r="AC259">
        <v>9.6000000000000002E-2</v>
      </c>
    </row>
    <row r="260" spans="1:29" x14ac:dyDescent="0.35">
      <c r="A260" s="3" t="s">
        <v>101</v>
      </c>
      <c r="B260" s="1" t="s">
        <v>2</v>
      </c>
      <c r="C260" s="1" t="s">
        <v>597</v>
      </c>
      <c r="D260" s="1" t="s">
        <v>23</v>
      </c>
      <c r="E260" s="1" t="s">
        <v>20</v>
      </c>
      <c r="F260" s="4">
        <v>-1.6</v>
      </c>
      <c r="G260">
        <v>19</v>
      </c>
      <c r="H260">
        <v>82</v>
      </c>
      <c r="I260">
        <v>30</v>
      </c>
      <c r="J260">
        <v>9.1</v>
      </c>
      <c r="K260">
        <v>0.40100000000000002</v>
      </c>
      <c r="L260">
        <v>5</v>
      </c>
      <c r="M260">
        <v>0.33900000000000002</v>
      </c>
      <c r="N260">
        <v>4.2</v>
      </c>
      <c r="O260">
        <v>0.47499999999999998</v>
      </c>
      <c r="P260">
        <v>0.49299999999999999</v>
      </c>
      <c r="Q260">
        <v>1</v>
      </c>
      <c r="R260">
        <v>0.81200000000000006</v>
      </c>
      <c r="S260">
        <v>4.2</v>
      </c>
      <c r="T260">
        <v>4.4000000000000004</v>
      </c>
      <c r="U260">
        <v>0.7</v>
      </c>
      <c r="V260">
        <v>0.3</v>
      </c>
      <c r="W260">
        <v>1.7</v>
      </c>
      <c r="X260">
        <v>2.2999999999999998</v>
      </c>
      <c r="Y260">
        <v>9.8000000000000007</v>
      </c>
      <c r="Z260">
        <v>0</v>
      </c>
      <c r="AA260">
        <v>-4.5999999999999996</v>
      </c>
      <c r="AB260">
        <v>9</v>
      </c>
      <c r="AC260">
        <v>5.0000000000000001E-3</v>
      </c>
    </row>
    <row r="261" spans="1:29" x14ac:dyDescent="0.35">
      <c r="A261" s="3" t="s">
        <v>171</v>
      </c>
      <c r="B261" s="1" t="s">
        <v>26</v>
      </c>
      <c r="C261" s="1" t="s">
        <v>597</v>
      </c>
      <c r="D261" s="1" t="s">
        <v>23</v>
      </c>
      <c r="E261" s="1" t="s">
        <v>28</v>
      </c>
      <c r="F261" s="4">
        <v>-0.5</v>
      </c>
      <c r="G261">
        <v>21</v>
      </c>
      <c r="H261">
        <v>44</v>
      </c>
      <c r="I261">
        <v>26.3</v>
      </c>
      <c r="J261">
        <v>8.6</v>
      </c>
      <c r="K261">
        <v>0.45500000000000002</v>
      </c>
      <c r="L261">
        <v>4.3</v>
      </c>
      <c r="M261">
        <v>0.36299999999999999</v>
      </c>
      <c r="N261">
        <v>4.3</v>
      </c>
      <c r="O261">
        <v>0.54800000000000004</v>
      </c>
      <c r="P261">
        <v>0.54600000000000004</v>
      </c>
      <c r="Q261">
        <v>1</v>
      </c>
      <c r="R261">
        <v>0.69599999999999995</v>
      </c>
      <c r="S261">
        <v>3.4</v>
      </c>
      <c r="T261">
        <v>1.6</v>
      </c>
      <c r="U261">
        <v>1</v>
      </c>
      <c r="V261">
        <v>0.4</v>
      </c>
      <c r="W261">
        <v>1.1000000000000001</v>
      </c>
      <c r="X261">
        <v>2.2000000000000002</v>
      </c>
      <c r="Y261">
        <v>10.1</v>
      </c>
      <c r="Z261">
        <v>0</v>
      </c>
      <c r="AA261">
        <v>-3.7</v>
      </c>
      <c r="AB261">
        <v>11.3</v>
      </c>
      <c r="AC261">
        <v>3.9E-2</v>
      </c>
    </row>
    <row r="262" spans="1:29" x14ac:dyDescent="0.35">
      <c r="A262" s="3" t="s">
        <v>519</v>
      </c>
      <c r="B262" s="1" t="s">
        <v>26</v>
      </c>
      <c r="C262" s="1" t="s">
        <v>598</v>
      </c>
      <c r="D262" s="1" t="s">
        <v>23</v>
      </c>
      <c r="E262" s="1" t="s">
        <v>20</v>
      </c>
      <c r="F262" s="4">
        <v>0.5</v>
      </c>
      <c r="G262">
        <v>34</v>
      </c>
      <c r="H262">
        <v>72</v>
      </c>
      <c r="I262">
        <v>27.3</v>
      </c>
      <c r="J262">
        <v>12.2</v>
      </c>
      <c r="K262">
        <v>0.41199999999999998</v>
      </c>
      <c r="L262">
        <v>7.7</v>
      </c>
      <c r="M262">
        <v>0.39100000000000001</v>
      </c>
      <c r="N262">
        <v>4.5</v>
      </c>
      <c r="O262">
        <v>0.44800000000000001</v>
      </c>
      <c r="P262">
        <v>0.53500000000000003</v>
      </c>
      <c r="Q262">
        <v>1</v>
      </c>
      <c r="R262">
        <v>0.90500000000000003</v>
      </c>
      <c r="S262">
        <v>3.4</v>
      </c>
      <c r="T262">
        <v>2</v>
      </c>
      <c r="U262">
        <v>0.7</v>
      </c>
      <c r="V262">
        <v>0.4</v>
      </c>
      <c r="W262">
        <v>1.2</v>
      </c>
      <c r="X262">
        <v>1.1000000000000001</v>
      </c>
      <c r="Y262">
        <v>14</v>
      </c>
      <c r="Z262">
        <v>13</v>
      </c>
      <c r="AA262">
        <v>-1</v>
      </c>
      <c r="AB262">
        <v>12.9</v>
      </c>
      <c r="AC262">
        <v>4.4999999999999998E-2</v>
      </c>
    </row>
    <row r="263" spans="1:29" x14ac:dyDescent="0.35">
      <c r="A263" s="3" t="s">
        <v>192</v>
      </c>
      <c r="B263" s="1" t="s">
        <v>2</v>
      </c>
      <c r="C263" s="1" t="s">
        <v>597</v>
      </c>
      <c r="D263" s="1" t="s">
        <v>23</v>
      </c>
      <c r="E263" s="1" t="s">
        <v>28</v>
      </c>
      <c r="F263" s="4">
        <v>-0.1</v>
      </c>
      <c r="G263">
        <v>26</v>
      </c>
      <c r="H263">
        <v>4</v>
      </c>
      <c r="I263">
        <v>19.8</v>
      </c>
      <c r="J263">
        <v>6.8</v>
      </c>
      <c r="K263">
        <v>0.40699999999999997</v>
      </c>
      <c r="L263">
        <v>2</v>
      </c>
      <c r="M263">
        <v>0.375</v>
      </c>
      <c r="N263">
        <v>4.8</v>
      </c>
      <c r="O263">
        <v>0.42099999999999999</v>
      </c>
      <c r="P263">
        <v>0.46300000000000002</v>
      </c>
      <c r="Q263">
        <v>1</v>
      </c>
      <c r="R263">
        <v>0.75</v>
      </c>
      <c r="S263">
        <v>1.5</v>
      </c>
      <c r="T263">
        <v>3.3</v>
      </c>
      <c r="U263">
        <v>0.8</v>
      </c>
      <c r="V263">
        <v>0.5</v>
      </c>
      <c r="W263">
        <v>1.5</v>
      </c>
      <c r="X263">
        <v>2.5</v>
      </c>
      <c r="Y263">
        <v>7</v>
      </c>
      <c r="Z263">
        <v>1</v>
      </c>
      <c r="AA263">
        <v>-7.6</v>
      </c>
      <c r="AB263">
        <v>8.6999999999999993</v>
      </c>
      <c r="AC263">
        <v>-2E-3</v>
      </c>
    </row>
    <row r="264" spans="1:29" x14ac:dyDescent="0.35">
      <c r="A264" s="3" t="s">
        <v>59</v>
      </c>
      <c r="B264" s="1" t="s">
        <v>2</v>
      </c>
      <c r="C264" s="1" t="s">
        <v>597</v>
      </c>
      <c r="D264" s="1" t="s">
        <v>23</v>
      </c>
      <c r="E264" s="1" t="s">
        <v>28</v>
      </c>
      <c r="F264" s="4">
        <v>-0.5</v>
      </c>
      <c r="G264">
        <v>24</v>
      </c>
      <c r="H264">
        <v>15</v>
      </c>
      <c r="I264">
        <v>24.7</v>
      </c>
      <c r="J264">
        <v>8.6999999999999993</v>
      </c>
      <c r="K264">
        <v>0.32300000000000001</v>
      </c>
      <c r="L264">
        <v>3.7</v>
      </c>
      <c r="M264">
        <v>0.214</v>
      </c>
      <c r="N264">
        <v>4.9000000000000004</v>
      </c>
      <c r="O264">
        <v>0.40500000000000003</v>
      </c>
      <c r="P264">
        <v>0.36899999999999999</v>
      </c>
      <c r="Q264">
        <v>1</v>
      </c>
      <c r="R264">
        <v>0.86699999999999999</v>
      </c>
      <c r="S264">
        <v>3.3</v>
      </c>
      <c r="T264">
        <v>3.7</v>
      </c>
      <c r="U264">
        <v>1</v>
      </c>
      <c r="V264">
        <v>0.1</v>
      </c>
      <c r="W264">
        <v>2.1</v>
      </c>
      <c r="X264">
        <v>1.5</v>
      </c>
      <c r="Y264">
        <v>7.3</v>
      </c>
      <c r="Z264">
        <v>0</v>
      </c>
      <c r="AA264">
        <v>-7.1</v>
      </c>
      <c r="AB264">
        <v>6.3</v>
      </c>
      <c r="AC264">
        <v>-6.9000000000000006E-2</v>
      </c>
    </row>
    <row r="265" spans="1:29" x14ac:dyDescent="0.35">
      <c r="A265" s="3" t="s">
        <v>555</v>
      </c>
      <c r="B265" s="1" t="s">
        <v>18</v>
      </c>
      <c r="C265" s="1" t="s">
        <v>597</v>
      </c>
      <c r="D265" s="1" t="s">
        <v>23</v>
      </c>
      <c r="E265" s="1" t="s">
        <v>20</v>
      </c>
      <c r="F265" s="4">
        <v>0.7</v>
      </c>
      <c r="G265">
        <v>20</v>
      </c>
      <c r="H265">
        <v>64</v>
      </c>
      <c r="I265">
        <v>22.2</v>
      </c>
      <c r="J265">
        <v>7.3</v>
      </c>
      <c r="K265">
        <v>0.55400000000000005</v>
      </c>
      <c r="L265">
        <v>1.7</v>
      </c>
      <c r="M265">
        <v>0.315</v>
      </c>
      <c r="N265">
        <v>5.5</v>
      </c>
      <c r="O265">
        <v>0.629</v>
      </c>
      <c r="P265">
        <v>0.59199999999999997</v>
      </c>
      <c r="Q265">
        <v>1</v>
      </c>
      <c r="R265">
        <v>0.68700000000000006</v>
      </c>
      <c r="S265">
        <v>7.4</v>
      </c>
      <c r="T265">
        <v>0.9</v>
      </c>
      <c r="U265">
        <v>0.6</v>
      </c>
      <c r="V265">
        <v>1.1000000000000001</v>
      </c>
      <c r="W265">
        <v>0.9</v>
      </c>
      <c r="X265">
        <v>1.7</v>
      </c>
      <c r="Y265">
        <v>9.3000000000000007</v>
      </c>
      <c r="Z265">
        <v>0</v>
      </c>
      <c r="AA265">
        <v>-0.1</v>
      </c>
      <c r="AB265">
        <v>17.399999999999999</v>
      </c>
      <c r="AC265">
        <v>0.14000000000000001</v>
      </c>
    </row>
    <row r="266" spans="1:29" x14ac:dyDescent="0.35">
      <c r="A266" s="3" t="s">
        <v>352</v>
      </c>
      <c r="B266" s="1" t="s">
        <v>2</v>
      </c>
      <c r="C266" s="1" t="s">
        <v>597</v>
      </c>
      <c r="D266" s="1" t="s">
        <v>23</v>
      </c>
      <c r="E266" s="1" t="s">
        <v>28</v>
      </c>
      <c r="F266" s="4">
        <v>1.2</v>
      </c>
      <c r="G266">
        <v>32</v>
      </c>
      <c r="H266">
        <v>79</v>
      </c>
      <c r="I266">
        <v>17.899999999999999</v>
      </c>
      <c r="J266">
        <v>7.9</v>
      </c>
      <c r="K266">
        <v>0.51900000000000002</v>
      </c>
      <c r="L266">
        <v>0.6</v>
      </c>
      <c r="M266">
        <v>0.30599999999999999</v>
      </c>
      <c r="N266">
        <v>7.3</v>
      </c>
      <c r="O266">
        <v>0.53700000000000003</v>
      </c>
      <c r="P266">
        <v>0.53100000000000003</v>
      </c>
      <c r="Q266">
        <v>1</v>
      </c>
      <c r="R266">
        <v>0.74</v>
      </c>
      <c r="S266">
        <v>2.4</v>
      </c>
      <c r="T266">
        <v>4.4000000000000004</v>
      </c>
      <c r="U266">
        <v>1.1000000000000001</v>
      </c>
      <c r="V266">
        <v>0.3</v>
      </c>
      <c r="W266">
        <v>1.4</v>
      </c>
      <c r="X266">
        <v>1</v>
      </c>
      <c r="Y266">
        <v>9.1</v>
      </c>
      <c r="Z266">
        <v>9</v>
      </c>
      <c r="AA266">
        <v>1.2</v>
      </c>
      <c r="AB266">
        <v>18.399999999999999</v>
      </c>
      <c r="AC266">
        <v>0.109</v>
      </c>
    </row>
    <row r="267" spans="1:29" x14ac:dyDescent="0.35">
      <c r="A267" s="3" t="s">
        <v>251</v>
      </c>
      <c r="B267" s="1" t="s">
        <v>2</v>
      </c>
      <c r="C267" s="1" t="s">
        <v>35</v>
      </c>
      <c r="D267" s="1" t="s">
        <v>23</v>
      </c>
      <c r="E267" s="1" t="s">
        <v>20</v>
      </c>
      <c r="F267" s="4">
        <v>0.3</v>
      </c>
      <c r="G267">
        <v>24</v>
      </c>
      <c r="H267">
        <v>24</v>
      </c>
      <c r="I267">
        <v>10</v>
      </c>
      <c r="J267">
        <v>4.9000000000000004</v>
      </c>
      <c r="K267">
        <v>0.39800000000000002</v>
      </c>
      <c r="L267">
        <v>3.4</v>
      </c>
      <c r="M267">
        <v>0.39</v>
      </c>
      <c r="N267">
        <v>1.5</v>
      </c>
      <c r="O267">
        <v>0.41699999999999998</v>
      </c>
      <c r="P267">
        <v>0.53400000000000003</v>
      </c>
      <c r="Q267">
        <v>1.1000000000000001</v>
      </c>
      <c r="R267">
        <v>0.88500000000000001</v>
      </c>
      <c r="S267">
        <v>1</v>
      </c>
      <c r="T267">
        <v>1.3</v>
      </c>
      <c r="U267">
        <v>0.8</v>
      </c>
      <c r="V267">
        <v>0.2</v>
      </c>
      <c r="W267">
        <v>1</v>
      </c>
      <c r="X267">
        <v>1.2</v>
      </c>
      <c r="Y267">
        <v>6.2</v>
      </c>
      <c r="Z267">
        <v>3</v>
      </c>
      <c r="AA267">
        <v>2.7</v>
      </c>
      <c r="AB267">
        <v>16</v>
      </c>
      <c r="AC267">
        <v>9.5000000000000001E-2</v>
      </c>
    </row>
    <row r="268" spans="1:29" x14ac:dyDescent="0.35">
      <c r="A268" s="3" t="s">
        <v>173</v>
      </c>
      <c r="B268" s="1" t="s">
        <v>2</v>
      </c>
      <c r="C268" s="1" t="s">
        <v>598</v>
      </c>
      <c r="D268" s="1" t="s">
        <v>23</v>
      </c>
      <c r="E268" s="1" t="s">
        <v>28</v>
      </c>
      <c r="F268" s="4">
        <v>1.9</v>
      </c>
      <c r="G268">
        <v>25</v>
      </c>
      <c r="H268">
        <v>80</v>
      </c>
      <c r="I268">
        <v>24.4</v>
      </c>
      <c r="J268">
        <v>5.8</v>
      </c>
      <c r="K268">
        <v>0.48899999999999999</v>
      </c>
      <c r="L268">
        <v>4</v>
      </c>
      <c r="M268">
        <v>0.433</v>
      </c>
      <c r="N268">
        <v>1.8</v>
      </c>
      <c r="O268">
        <v>0.61499999999999999</v>
      </c>
      <c r="P268">
        <v>0.63900000000000001</v>
      </c>
      <c r="Q268">
        <v>1.1000000000000001</v>
      </c>
      <c r="R268">
        <v>0.84899999999999998</v>
      </c>
      <c r="S268">
        <v>2.7</v>
      </c>
      <c r="T268">
        <v>1.5</v>
      </c>
      <c r="U268">
        <v>1.5</v>
      </c>
      <c r="V268">
        <v>0.8</v>
      </c>
      <c r="W268">
        <v>0.9</v>
      </c>
      <c r="X268">
        <v>2.2000000000000002</v>
      </c>
      <c r="Y268">
        <v>8.3000000000000007</v>
      </c>
      <c r="Z268">
        <v>2</v>
      </c>
      <c r="AA268">
        <v>1.9</v>
      </c>
      <c r="AB268">
        <v>13.5</v>
      </c>
      <c r="AC268">
        <v>0.122</v>
      </c>
    </row>
    <row r="269" spans="1:29" x14ac:dyDescent="0.35">
      <c r="A269" s="3" t="s">
        <v>521</v>
      </c>
      <c r="B269" s="1" t="s">
        <v>26</v>
      </c>
      <c r="C269" s="1" t="s">
        <v>35</v>
      </c>
      <c r="D269" s="1" t="s">
        <v>33</v>
      </c>
      <c r="E269" s="1" t="s">
        <v>50</v>
      </c>
      <c r="F269" s="4">
        <v>-0.2</v>
      </c>
      <c r="G269">
        <v>22</v>
      </c>
      <c r="H269">
        <v>20</v>
      </c>
      <c r="I269">
        <v>12.5</v>
      </c>
      <c r="J269">
        <v>3</v>
      </c>
      <c r="K269">
        <v>0.42399999999999999</v>
      </c>
      <c r="L269">
        <v>1.1000000000000001</v>
      </c>
      <c r="M269">
        <v>0.28599999999999998</v>
      </c>
      <c r="N269">
        <v>1.9</v>
      </c>
      <c r="O269">
        <v>0.5</v>
      </c>
      <c r="P269">
        <v>0.47499999999999998</v>
      </c>
      <c r="Q269">
        <v>1.1000000000000001</v>
      </c>
      <c r="R269">
        <v>0.68200000000000005</v>
      </c>
      <c r="S269">
        <v>2.4</v>
      </c>
      <c r="T269">
        <v>0.3</v>
      </c>
      <c r="U269">
        <v>0.4</v>
      </c>
      <c r="V269">
        <v>0.5</v>
      </c>
      <c r="W269">
        <v>0.5</v>
      </c>
      <c r="X269">
        <v>0.9</v>
      </c>
      <c r="Y269">
        <v>3.6</v>
      </c>
      <c r="Z269">
        <v>3</v>
      </c>
      <c r="AA269">
        <v>-5.4</v>
      </c>
      <c r="AB269">
        <v>10</v>
      </c>
      <c r="AC269">
        <v>3.3000000000000002E-2</v>
      </c>
    </row>
    <row r="270" spans="1:29" x14ac:dyDescent="0.35">
      <c r="A270" s="3" t="s">
        <v>185</v>
      </c>
      <c r="B270" s="1" t="s">
        <v>26</v>
      </c>
      <c r="C270" s="1" t="s">
        <v>597</v>
      </c>
      <c r="D270" s="1" t="s">
        <v>19</v>
      </c>
      <c r="E270" s="1" t="s">
        <v>28</v>
      </c>
      <c r="F270" s="4">
        <v>-0.3</v>
      </c>
      <c r="G270">
        <v>29</v>
      </c>
      <c r="H270">
        <v>75</v>
      </c>
      <c r="I270">
        <v>16.5</v>
      </c>
      <c r="J270">
        <v>5</v>
      </c>
      <c r="K270">
        <v>0.40200000000000002</v>
      </c>
      <c r="L270">
        <v>3</v>
      </c>
      <c r="M270">
        <v>0.33500000000000002</v>
      </c>
      <c r="N270">
        <v>1.9</v>
      </c>
      <c r="O270">
        <v>0.50700000000000001</v>
      </c>
      <c r="P270">
        <v>0.504</v>
      </c>
      <c r="Q270">
        <v>1.1000000000000001</v>
      </c>
      <c r="R270">
        <v>0.83299999999999996</v>
      </c>
      <c r="S270">
        <v>2.9</v>
      </c>
      <c r="T270">
        <v>0.9</v>
      </c>
      <c r="U270">
        <v>0.4</v>
      </c>
      <c r="V270">
        <v>0.2</v>
      </c>
      <c r="W270">
        <v>0.7</v>
      </c>
      <c r="X270">
        <v>1.3</v>
      </c>
      <c r="Y270">
        <v>5.9</v>
      </c>
      <c r="Z270">
        <v>2</v>
      </c>
      <c r="AA270">
        <v>-2.9</v>
      </c>
      <c r="AB270">
        <v>9.6999999999999993</v>
      </c>
      <c r="AC270">
        <v>6.3E-2</v>
      </c>
    </row>
    <row r="271" spans="1:29" x14ac:dyDescent="0.35">
      <c r="A271" s="3" t="s">
        <v>316</v>
      </c>
      <c r="B271" s="1" t="s">
        <v>2</v>
      </c>
      <c r="C271" s="1" t="s">
        <v>597</v>
      </c>
      <c r="D271" s="1" t="s">
        <v>19</v>
      </c>
      <c r="E271" s="1" t="s">
        <v>50</v>
      </c>
      <c r="F271" s="4">
        <v>-0.2</v>
      </c>
      <c r="G271">
        <v>23</v>
      </c>
      <c r="H271">
        <v>55</v>
      </c>
      <c r="I271">
        <v>14.2</v>
      </c>
      <c r="J271">
        <v>3.7</v>
      </c>
      <c r="K271">
        <v>0.438</v>
      </c>
      <c r="L271">
        <v>1.7</v>
      </c>
      <c r="M271">
        <v>0.33700000000000002</v>
      </c>
      <c r="N271">
        <v>2</v>
      </c>
      <c r="O271">
        <v>0.52800000000000002</v>
      </c>
      <c r="P271">
        <v>0.51700000000000002</v>
      </c>
      <c r="Q271">
        <v>1.1000000000000001</v>
      </c>
      <c r="R271">
        <v>0.67200000000000004</v>
      </c>
      <c r="S271">
        <v>1.7</v>
      </c>
      <c r="T271">
        <v>1.2</v>
      </c>
      <c r="U271">
        <v>0.6</v>
      </c>
      <c r="V271">
        <v>0.1</v>
      </c>
      <c r="W271">
        <v>0.4</v>
      </c>
      <c r="X271">
        <v>1.7</v>
      </c>
      <c r="Y271">
        <v>4.5999999999999996</v>
      </c>
      <c r="Z271">
        <v>0</v>
      </c>
      <c r="AA271">
        <v>-3.1</v>
      </c>
      <c r="AB271">
        <v>10.199999999999999</v>
      </c>
      <c r="AC271">
        <v>8.5999999999999993E-2</v>
      </c>
    </row>
    <row r="272" spans="1:29" x14ac:dyDescent="0.35">
      <c r="A272" s="3" t="s">
        <v>211</v>
      </c>
      <c r="B272" s="1" t="s">
        <v>2</v>
      </c>
      <c r="C272" s="1" t="s">
        <v>35</v>
      </c>
      <c r="D272" s="1" t="s">
        <v>33</v>
      </c>
      <c r="E272" s="1" t="s">
        <v>28</v>
      </c>
      <c r="F272" s="4">
        <v>-0.1</v>
      </c>
      <c r="G272">
        <v>31</v>
      </c>
      <c r="H272">
        <v>68</v>
      </c>
      <c r="I272">
        <v>18.5</v>
      </c>
      <c r="J272">
        <v>4.2</v>
      </c>
      <c r="K272">
        <v>0.42899999999999999</v>
      </c>
      <c r="L272">
        <v>2.1</v>
      </c>
      <c r="M272">
        <v>0.32600000000000001</v>
      </c>
      <c r="N272">
        <v>2.1</v>
      </c>
      <c r="O272">
        <v>0.52700000000000002</v>
      </c>
      <c r="P272">
        <v>0.50900000000000001</v>
      </c>
      <c r="Q272">
        <v>1.1000000000000001</v>
      </c>
      <c r="R272">
        <v>0.72399999999999998</v>
      </c>
      <c r="S272">
        <v>3.2</v>
      </c>
      <c r="T272">
        <v>0.8</v>
      </c>
      <c r="U272">
        <v>1</v>
      </c>
      <c r="V272">
        <v>0.5</v>
      </c>
      <c r="W272">
        <v>0.5</v>
      </c>
      <c r="X272">
        <v>1.4</v>
      </c>
      <c r="Y272">
        <v>5.0999999999999996</v>
      </c>
      <c r="Z272">
        <v>5</v>
      </c>
      <c r="AA272">
        <v>-2.2999999999999998</v>
      </c>
      <c r="AB272">
        <v>10.7</v>
      </c>
      <c r="AC272">
        <v>6.3E-2</v>
      </c>
    </row>
    <row r="273" spans="1:29" x14ac:dyDescent="0.35">
      <c r="A273" s="3" t="s">
        <v>564</v>
      </c>
      <c r="B273" s="1" t="s">
        <v>2</v>
      </c>
      <c r="C273" s="1" t="s">
        <v>598</v>
      </c>
      <c r="D273" s="1" t="s">
        <v>23</v>
      </c>
      <c r="E273" s="1" t="s">
        <v>20</v>
      </c>
      <c r="F273" s="4">
        <v>-0.4</v>
      </c>
      <c r="G273">
        <v>21</v>
      </c>
      <c r="H273">
        <v>58</v>
      </c>
      <c r="I273">
        <v>11.8</v>
      </c>
      <c r="J273">
        <v>3.2</v>
      </c>
      <c r="K273">
        <v>0.435</v>
      </c>
      <c r="L273">
        <v>1</v>
      </c>
      <c r="M273">
        <v>0.29299999999999998</v>
      </c>
      <c r="N273">
        <v>2.2000000000000002</v>
      </c>
      <c r="O273">
        <v>0.5</v>
      </c>
      <c r="P273">
        <v>0.48099999999999998</v>
      </c>
      <c r="Q273">
        <v>1.1000000000000001</v>
      </c>
      <c r="R273">
        <v>0.623</v>
      </c>
      <c r="S273">
        <v>1.1000000000000001</v>
      </c>
      <c r="T273">
        <v>2</v>
      </c>
      <c r="U273">
        <v>0.6</v>
      </c>
      <c r="V273">
        <v>0.1</v>
      </c>
      <c r="W273">
        <v>0.9</v>
      </c>
      <c r="X273">
        <v>0.8</v>
      </c>
      <c r="Y273">
        <v>3.7</v>
      </c>
      <c r="Z273">
        <v>2</v>
      </c>
      <c r="AA273">
        <v>-4.2</v>
      </c>
      <c r="AB273">
        <v>9.9</v>
      </c>
      <c r="AC273">
        <v>1.0999999999999999E-2</v>
      </c>
    </row>
    <row r="274" spans="1:29" x14ac:dyDescent="0.35">
      <c r="A274" s="3" t="s">
        <v>109</v>
      </c>
      <c r="B274" s="1" t="s">
        <v>26</v>
      </c>
      <c r="C274" s="1" t="s">
        <v>598</v>
      </c>
      <c r="D274" s="1" t="s">
        <v>23</v>
      </c>
      <c r="E274" s="1" t="s">
        <v>28</v>
      </c>
      <c r="F274" s="4">
        <v>0.4</v>
      </c>
      <c r="G274">
        <v>23</v>
      </c>
      <c r="H274">
        <v>82</v>
      </c>
      <c r="I274">
        <v>23.6</v>
      </c>
      <c r="J274">
        <v>8.1</v>
      </c>
      <c r="K274">
        <v>0.41499999999999998</v>
      </c>
      <c r="L274">
        <v>5.9</v>
      </c>
      <c r="M274">
        <v>0.371</v>
      </c>
      <c r="N274">
        <v>2.2999999999999998</v>
      </c>
      <c r="O274">
        <v>0.53</v>
      </c>
      <c r="P274">
        <v>0.54900000000000004</v>
      </c>
      <c r="Q274">
        <v>1.1000000000000001</v>
      </c>
      <c r="R274">
        <v>0.90400000000000003</v>
      </c>
      <c r="S274">
        <v>3.9</v>
      </c>
      <c r="T274">
        <v>1.4</v>
      </c>
      <c r="U274">
        <v>0.7</v>
      </c>
      <c r="V274">
        <v>0.4</v>
      </c>
      <c r="W274">
        <v>0.9</v>
      </c>
      <c r="X274">
        <v>1.4</v>
      </c>
      <c r="Y274">
        <v>9.9</v>
      </c>
      <c r="Z274">
        <v>2</v>
      </c>
      <c r="AA274">
        <v>-1.3</v>
      </c>
      <c r="AB274">
        <v>12.2</v>
      </c>
      <c r="AC274">
        <v>6.2E-2</v>
      </c>
    </row>
    <row r="275" spans="1:29" x14ac:dyDescent="0.35">
      <c r="A275" s="3" t="s">
        <v>292</v>
      </c>
      <c r="B275" s="1" t="s">
        <v>18</v>
      </c>
      <c r="C275" s="1" t="s">
        <v>598</v>
      </c>
      <c r="D275" s="1" t="s">
        <v>23</v>
      </c>
      <c r="E275" s="1" t="s">
        <v>50</v>
      </c>
      <c r="F275" s="4">
        <v>0.2</v>
      </c>
      <c r="G275">
        <v>36</v>
      </c>
      <c r="H275">
        <v>56</v>
      </c>
      <c r="I275">
        <v>12.3</v>
      </c>
      <c r="J275">
        <v>2.5</v>
      </c>
      <c r="K275">
        <v>0.65</v>
      </c>
      <c r="L275">
        <v>0</v>
      </c>
      <c r="M275" t="s">
        <v>599</v>
      </c>
      <c r="N275">
        <v>2.5</v>
      </c>
      <c r="O275">
        <v>0.65</v>
      </c>
      <c r="P275">
        <v>0.65</v>
      </c>
      <c r="Q275">
        <v>1.1000000000000001</v>
      </c>
      <c r="R275">
        <v>0.42199999999999999</v>
      </c>
      <c r="S275">
        <v>5.0999999999999996</v>
      </c>
      <c r="T275">
        <v>0.9</v>
      </c>
      <c r="U275">
        <v>0.3</v>
      </c>
      <c r="V275">
        <v>0.5</v>
      </c>
      <c r="W275">
        <v>0.7</v>
      </c>
      <c r="X275">
        <v>1.3</v>
      </c>
      <c r="Y275">
        <v>3.7</v>
      </c>
      <c r="Z275">
        <v>16</v>
      </c>
      <c r="AA275">
        <v>-1.2</v>
      </c>
      <c r="AB275">
        <v>15.4</v>
      </c>
      <c r="AC275">
        <v>0.127</v>
      </c>
    </row>
    <row r="276" spans="1:29" x14ac:dyDescent="0.35">
      <c r="A276" s="3" t="s">
        <v>213</v>
      </c>
      <c r="B276" s="1" t="s">
        <v>2</v>
      </c>
      <c r="C276" s="1" t="s">
        <v>597</v>
      </c>
      <c r="D276" s="1" t="s">
        <v>33</v>
      </c>
      <c r="E276" s="1" t="s">
        <v>20</v>
      </c>
      <c r="F276" s="4">
        <v>-1.1000000000000001</v>
      </c>
      <c r="G276">
        <v>24</v>
      </c>
      <c r="H276">
        <v>68</v>
      </c>
      <c r="I276">
        <v>27.8</v>
      </c>
      <c r="J276">
        <v>6.2</v>
      </c>
      <c r="K276">
        <v>0.42799999999999999</v>
      </c>
      <c r="L276">
        <v>3.6</v>
      </c>
      <c r="M276">
        <v>0.39100000000000001</v>
      </c>
      <c r="N276">
        <v>2.5</v>
      </c>
      <c r="O276">
        <v>0.48</v>
      </c>
      <c r="P276">
        <v>0.54300000000000004</v>
      </c>
      <c r="Q276">
        <v>1.1000000000000001</v>
      </c>
      <c r="R276">
        <v>0.68100000000000005</v>
      </c>
      <c r="S276">
        <v>2.5</v>
      </c>
      <c r="T276">
        <v>1.6</v>
      </c>
      <c r="U276">
        <v>1.1000000000000001</v>
      </c>
      <c r="V276">
        <v>0.2</v>
      </c>
      <c r="W276">
        <v>1</v>
      </c>
      <c r="X276">
        <v>2.4</v>
      </c>
      <c r="Y276">
        <v>7.4</v>
      </c>
      <c r="Z276">
        <v>4</v>
      </c>
      <c r="AA276">
        <v>-4.3</v>
      </c>
      <c r="AB276">
        <v>7.8</v>
      </c>
      <c r="AC276">
        <v>3.6999999999999998E-2</v>
      </c>
    </row>
    <row r="277" spans="1:29" x14ac:dyDescent="0.35">
      <c r="A277" s="3" t="s">
        <v>413</v>
      </c>
      <c r="B277" s="1" t="s">
        <v>2</v>
      </c>
      <c r="C277" s="1" t="s">
        <v>598</v>
      </c>
      <c r="D277" s="1" t="s">
        <v>23</v>
      </c>
      <c r="E277" s="1" t="s">
        <v>20</v>
      </c>
      <c r="F277" s="4">
        <v>1.6</v>
      </c>
      <c r="G277">
        <v>39</v>
      </c>
      <c r="H277">
        <v>82</v>
      </c>
      <c r="I277">
        <v>28</v>
      </c>
      <c r="J277">
        <v>7.1</v>
      </c>
      <c r="K277">
        <v>0.42699999999999999</v>
      </c>
      <c r="L277">
        <v>4.5</v>
      </c>
      <c r="M277">
        <v>0.377</v>
      </c>
      <c r="N277">
        <v>2.6</v>
      </c>
      <c r="O277">
        <v>0.51400000000000001</v>
      </c>
      <c r="P277">
        <v>0.54700000000000004</v>
      </c>
      <c r="Q277">
        <v>1.1000000000000001</v>
      </c>
      <c r="R277">
        <v>0.92400000000000004</v>
      </c>
      <c r="S277">
        <v>3.6</v>
      </c>
      <c r="T277">
        <v>7.4</v>
      </c>
      <c r="U277">
        <v>1.3</v>
      </c>
      <c r="V277">
        <v>0.3</v>
      </c>
      <c r="W277">
        <v>1.6</v>
      </c>
      <c r="X277">
        <v>1.8</v>
      </c>
      <c r="Y277">
        <v>8.8000000000000007</v>
      </c>
      <c r="Z277">
        <v>19</v>
      </c>
      <c r="AA277">
        <v>0.8</v>
      </c>
      <c r="AB277">
        <v>14.7</v>
      </c>
      <c r="AC277">
        <v>0.12</v>
      </c>
    </row>
    <row r="278" spans="1:29" x14ac:dyDescent="0.35">
      <c r="A278" s="3" t="s">
        <v>42</v>
      </c>
      <c r="B278" s="1" t="s">
        <v>26</v>
      </c>
      <c r="C278" s="1" t="s">
        <v>35</v>
      </c>
      <c r="D278" s="1" t="s">
        <v>23</v>
      </c>
      <c r="E278" s="1" t="s">
        <v>20</v>
      </c>
      <c r="F278" s="4">
        <v>0.1</v>
      </c>
      <c r="G278">
        <v>25</v>
      </c>
      <c r="H278">
        <v>31</v>
      </c>
      <c r="I278">
        <v>8.5</v>
      </c>
      <c r="J278">
        <v>3.4</v>
      </c>
      <c r="K278">
        <v>0.51900000000000002</v>
      </c>
      <c r="L278">
        <v>0.6</v>
      </c>
      <c r="M278">
        <v>0.158</v>
      </c>
      <c r="N278">
        <v>2.8</v>
      </c>
      <c r="O278">
        <v>0.59799999999999998</v>
      </c>
      <c r="P278">
        <v>0.53300000000000003</v>
      </c>
      <c r="Q278">
        <v>1.1000000000000001</v>
      </c>
      <c r="R278">
        <v>0.65700000000000003</v>
      </c>
      <c r="S278">
        <v>2.7</v>
      </c>
      <c r="T278">
        <v>0.4</v>
      </c>
      <c r="U278">
        <v>0.3</v>
      </c>
      <c r="V278">
        <v>0.3</v>
      </c>
      <c r="W278">
        <v>0.4</v>
      </c>
      <c r="X278">
        <v>0.6</v>
      </c>
      <c r="Y278">
        <v>4.4000000000000004</v>
      </c>
      <c r="Z278">
        <v>6</v>
      </c>
      <c r="AA278">
        <v>-1.2</v>
      </c>
      <c r="AB278">
        <v>18.399999999999999</v>
      </c>
      <c r="AC278">
        <v>0.108</v>
      </c>
    </row>
    <row r="279" spans="1:29" x14ac:dyDescent="0.35">
      <c r="A279" s="3" t="s">
        <v>304</v>
      </c>
      <c r="B279" s="1" t="s">
        <v>26</v>
      </c>
      <c r="C279" s="1" t="s">
        <v>598</v>
      </c>
      <c r="D279" s="1" t="s">
        <v>23</v>
      </c>
      <c r="E279" s="1" t="s">
        <v>20</v>
      </c>
      <c r="F279" s="4">
        <v>0.1</v>
      </c>
      <c r="G279">
        <v>23</v>
      </c>
      <c r="H279">
        <v>78</v>
      </c>
      <c r="I279">
        <v>19.2</v>
      </c>
      <c r="J279">
        <v>7.1</v>
      </c>
      <c r="K279">
        <v>0.46100000000000002</v>
      </c>
      <c r="L279">
        <v>4.4000000000000004</v>
      </c>
      <c r="M279">
        <v>0.376</v>
      </c>
      <c r="N279">
        <v>2.8</v>
      </c>
      <c r="O279">
        <v>0.59399999999999997</v>
      </c>
      <c r="P279">
        <v>0.57599999999999996</v>
      </c>
      <c r="Q279">
        <v>1.1000000000000001</v>
      </c>
      <c r="R279">
        <v>0.76200000000000001</v>
      </c>
      <c r="S279">
        <v>2.8</v>
      </c>
      <c r="T279">
        <v>0.8</v>
      </c>
      <c r="U279">
        <v>0.3</v>
      </c>
      <c r="V279">
        <v>0.1</v>
      </c>
      <c r="W279">
        <v>0.5</v>
      </c>
      <c r="X279">
        <v>1.2</v>
      </c>
      <c r="Y279">
        <v>9.1</v>
      </c>
      <c r="Z279">
        <v>0</v>
      </c>
      <c r="AA279">
        <v>-1.8</v>
      </c>
      <c r="AB279">
        <v>12.7</v>
      </c>
      <c r="AC279">
        <v>8.5999999999999993E-2</v>
      </c>
    </row>
    <row r="280" spans="1:29" x14ac:dyDescent="0.35">
      <c r="A280" s="3" t="s">
        <v>436</v>
      </c>
      <c r="B280" s="1" t="s">
        <v>2</v>
      </c>
      <c r="C280" s="1" t="s">
        <v>597</v>
      </c>
      <c r="D280" s="1" t="s">
        <v>23</v>
      </c>
      <c r="E280" s="1" t="s">
        <v>20</v>
      </c>
      <c r="F280" s="4">
        <v>3.2</v>
      </c>
      <c r="G280">
        <v>27</v>
      </c>
      <c r="H280">
        <v>80</v>
      </c>
      <c r="I280">
        <v>28.4</v>
      </c>
      <c r="J280">
        <v>10.8</v>
      </c>
      <c r="K280">
        <v>0.47199999999999998</v>
      </c>
      <c r="L280">
        <v>7.8</v>
      </c>
      <c r="M280">
        <v>0.40699999999999997</v>
      </c>
      <c r="N280">
        <v>3</v>
      </c>
      <c r="O280">
        <v>0.64200000000000002</v>
      </c>
      <c r="P280">
        <v>0.62</v>
      </c>
      <c r="Q280">
        <v>1.1000000000000001</v>
      </c>
      <c r="R280">
        <v>0.84499999999999997</v>
      </c>
      <c r="S280">
        <v>3.8</v>
      </c>
      <c r="T280">
        <v>3.5</v>
      </c>
      <c r="U280">
        <v>0.9</v>
      </c>
      <c r="V280">
        <v>0.2</v>
      </c>
      <c r="W280">
        <v>1</v>
      </c>
      <c r="X280">
        <v>1.5</v>
      </c>
      <c r="Y280">
        <v>14.3</v>
      </c>
      <c r="Z280">
        <v>4</v>
      </c>
      <c r="AA280">
        <v>3.5</v>
      </c>
      <c r="AB280">
        <v>17.600000000000001</v>
      </c>
      <c r="AC280">
        <v>0.183</v>
      </c>
    </row>
    <row r="281" spans="1:29" x14ac:dyDescent="0.35">
      <c r="A281" s="3" t="s">
        <v>457</v>
      </c>
      <c r="B281" s="1" t="s">
        <v>18</v>
      </c>
      <c r="C281" s="1" t="s">
        <v>597</v>
      </c>
      <c r="D281" s="1" t="s">
        <v>23</v>
      </c>
      <c r="E281" s="1" t="s">
        <v>50</v>
      </c>
      <c r="F281" s="4">
        <v>0.4</v>
      </c>
      <c r="G281">
        <v>26</v>
      </c>
      <c r="H281">
        <v>17</v>
      </c>
      <c r="I281">
        <v>17.100000000000001</v>
      </c>
      <c r="J281">
        <v>3.3</v>
      </c>
      <c r="K281">
        <v>0.66100000000000003</v>
      </c>
      <c r="L281">
        <v>0</v>
      </c>
      <c r="M281" t="s">
        <v>599</v>
      </c>
      <c r="N281">
        <v>3.3</v>
      </c>
      <c r="O281">
        <v>0.66100000000000003</v>
      </c>
      <c r="P281">
        <v>0.66100000000000003</v>
      </c>
      <c r="Q281">
        <v>1.1000000000000001</v>
      </c>
      <c r="R281">
        <v>0.68400000000000005</v>
      </c>
      <c r="S281">
        <v>5.9</v>
      </c>
      <c r="T281">
        <v>0.8</v>
      </c>
      <c r="U281">
        <v>0.9</v>
      </c>
      <c r="V281">
        <v>1.1000000000000001</v>
      </c>
      <c r="W281">
        <v>0.6</v>
      </c>
      <c r="X281">
        <v>1.5</v>
      </c>
      <c r="Y281">
        <v>5.0999999999999996</v>
      </c>
      <c r="Z281">
        <v>6</v>
      </c>
      <c r="AA281">
        <v>3.3</v>
      </c>
      <c r="AB281">
        <v>20.399999999999999</v>
      </c>
      <c r="AC281">
        <v>0.221</v>
      </c>
    </row>
    <row r="282" spans="1:29" x14ac:dyDescent="0.35">
      <c r="A282" s="3" t="s">
        <v>342</v>
      </c>
      <c r="B282" s="1" t="s">
        <v>26</v>
      </c>
      <c r="C282" s="1" t="s">
        <v>35</v>
      </c>
      <c r="D282" s="1" t="s">
        <v>23</v>
      </c>
      <c r="E282" s="1" t="s">
        <v>50</v>
      </c>
      <c r="F282" s="4">
        <v>-0.4</v>
      </c>
      <c r="G282">
        <v>24</v>
      </c>
      <c r="H282">
        <v>43</v>
      </c>
      <c r="I282">
        <v>21.2</v>
      </c>
      <c r="J282">
        <v>4.7</v>
      </c>
      <c r="K282">
        <v>0.55200000000000005</v>
      </c>
      <c r="L282">
        <v>1.3</v>
      </c>
      <c r="M282">
        <v>0.25900000000000001</v>
      </c>
      <c r="N282">
        <v>3.3</v>
      </c>
      <c r="O282">
        <v>0.67100000000000004</v>
      </c>
      <c r="P282">
        <v>0.59</v>
      </c>
      <c r="Q282">
        <v>1.1000000000000001</v>
      </c>
      <c r="R282">
        <v>0.78700000000000003</v>
      </c>
      <c r="S282">
        <v>2.9</v>
      </c>
      <c r="T282">
        <v>1.1000000000000001</v>
      </c>
      <c r="U282">
        <v>0.4</v>
      </c>
      <c r="V282">
        <v>0.5</v>
      </c>
      <c r="W282">
        <v>0.6</v>
      </c>
      <c r="X282">
        <v>2.2999999999999998</v>
      </c>
      <c r="Y282">
        <v>6.4</v>
      </c>
      <c r="Z282">
        <v>4</v>
      </c>
      <c r="AA282">
        <v>-3.6</v>
      </c>
      <c r="AB282">
        <v>10.199999999999999</v>
      </c>
      <c r="AC282">
        <v>6.8000000000000005E-2</v>
      </c>
    </row>
    <row r="283" spans="1:29" x14ac:dyDescent="0.35">
      <c r="A283" s="3" t="s">
        <v>375</v>
      </c>
      <c r="B283" s="1" t="s">
        <v>2</v>
      </c>
      <c r="C283" s="1" t="s">
        <v>35</v>
      </c>
      <c r="D283" s="1" t="s">
        <v>23</v>
      </c>
      <c r="E283" s="1" t="s">
        <v>20</v>
      </c>
      <c r="F283" s="4">
        <v>-0.3</v>
      </c>
      <c r="G283">
        <v>26</v>
      </c>
      <c r="H283">
        <v>74</v>
      </c>
      <c r="I283">
        <v>27.4</v>
      </c>
      <c r="J283">
        <v>6.4</v>
      </c>
      <c r="K283">
        <v>0.46800000000000003</v>
      </c>
      <c r="L283">
        <v>2.9</v>
      </c>
      <c r="M283">
        <v>0.39800000000000002</v>
      </c>
      <c r="N283">
        <v>3.6</v>
      </c>
      <c r="O283">
        <v>0.52500000000000002</v>
      </c>
      <c r="P283">
        <v>0.55700000000000005</v>
      </c>
      <c r="Q283">
        <v>1.1000000000000001</v>
      </c>
      <c r="R283">
        <v>0.69</v>
      </c>
      <c r="S283">
        <v>2.2999999999999998</v>
      </c>
      <c r="T283">
        <v>4.9000000000000004</v>
      </c>
      <c r="U283">
        <v>1</v>
      </c>
      <c r="V283">
        <v>0.2</v>
      </c>
      <c r="W283">
        <v>1.7</v>
      </c>
      <c r="X283">
        <v>2.5</v>
      </c>
      <c r="Y283">
        <v>7.9</v>
      </c>
      <c r="Z283">
        <v>3</v>
      </c>
      <c r="AA283">
        <v>-2.6</v>
      </c>
      <c r="AB283">
        <v>10.199999999999999</v>
      </c>
      <c r="AC283">
        <v>7.0000000000000007E-2</v>
      </c>
    </row>
    <row r="284" spans="1:29" x14ac:dyDescent="0.35">
      <c r="A284" s="3" t="s">
        <v>34</v>
      </c>
      <c r="B284" s="1" t="s">
        <v>26</v>
      </c>
      <c r="C284" s="1" t="s">
        <v>35</v>
      </c>
      <c r="D284" s="1" t="s">
        <v>33</v>
      </c>
      <c r="E284" s="1" t="s">
        <v>20</v>
      </c>
      <c r="F284" s="4">
        <v>0.9</v>
      </c>
      <c r="G284">
        <v>31</v>
      </c>
      <c r="H284">
        <v>61</v>
      </c>
      <c r="I284">
        <v>16.399999999999999</v>
      </c>
      <c r="J284">
        <v>5</v>
      </c>
      <c r="K284">
        <v>0.46899999999999997</v>
      </c>
      <c r="L284">
        <v>1.1000000000000001</v>
      </c>
      <c r="M284">
        <v>0.35699999999999998</v>
      </c>
      <c r="N284">
        <v>3.8</v>
      </c>
      <c r="O284">
        <v>0.502</v>
      </c>
      <c r="P284">
        <v>0.51</v>
      </c>
      <c r="Q284">
        <v>1.1000000000000001</v>
      </c>
      <c r="R284">
        <v>0.73799999999999999</v>
      </c>
      <c r="S284">
        <v>3.4</v>
      </c>
      <c r="T284">
        <v>2.4</v>
      </c>
      <c r="U284">
        <v>0.7</v>
      </c>
      <c r="V284">
        <v>0.5</v>
      </c>
      <c r="W284">
        <v>0.6</v>
      </c>
      <c r="X284">
        <v>1.3</v>
      </c>
      <c r="Y284">
        <v>5.9</v>
      </c>
      <c r="Z284">
        <v>10</v>
      </c>
      <c r="AA284">
        <v>1.5</v>
      </c>
      <c r="AB284">
        <v>15.1</v>
      </c>
      <c r="AC284">
        <v>0.13500000000000001</v>
      </c>
    </row>
    <row r="285" spans="1:29" x14ac:dyDescent="0.35">
      <c r="A285" s="3" t="s">
        <v>157</v>
      </c>
      <c r="B285" s="1" t="s">
        <v>2</v>
      </c>
      <c r="C285" s="1" t="s">
        <v>597</v>
      </c>
      <c r="D285" s="1" t="s">
        <v>23</v>
      </c>
      <c r="E285" s="1" t="s">
        <v>28</v>
      </c>
      <c r="F285" s="4">
        <v>0.3</v>
      </c>
      <c r="G285">
        <v>27</v>
      </c>
      <c r="H285">
        <v>41</v>
      </c>
      <c r="I285">
        <v>15.1</v>
      </c>
      <c r="J285">
        <v>5.6</v>
      </c>
      <c r="K285">
        <v>0.48699999999999999</v>
      </c>
      <c r="L285">
        <v>1.7</v>
      </c>
      <c r="M285">
        <v>0.4</v>
      </c>
      <c r="N285">
        <v>3.9</v>
      </c>
      <c r="O285">
        <v>0.52500000000000002</v>
      </c>
      <c r="P285">
        <v>0.54800000000000004</v>
      </c>
      <c r="Q285">
        <v>1.1000000000000001</v>
      </c>
      <c r="R285">
        <v>0.73299999999999998</v>
      </c>
      <c r="S285">
        <v>1.5</v>
      </c>
      <c r="T285">
        <v>1.9</v>
      </c>
      <c r="U285">
        <v>0.6</v>
      </c>
      <c r="V285">
        <v>0.3</v>
      </c>
      <c r="W285">
        <v>0.4</v>
      </c>
      <c r="X285">
        <v>0.7</v>
      </c>
      <c r="Y285">
        <v>7</v>
      </c>
      <c r="Z285">
        <v>3</v>
      </c>
      <c r="AA285">
        <v>0.2</v>
      </c>
      <c r="AB285">
        <v>16.100000000000001</v>
      </c>
      <c r="AC285">
        <v>0.10299999999999999</v>
      </c>
    </row>
    <row r="286" spans="1:29" x14ac:dyDescent="0.35">
      <c r="A286" s="3" t="s">
        <v>73</v>
      </c>
      <c r="B286" s="1" t="s">
        <v>2</v>
      </c>
      <c r="C286" s="1" t="s">
        <v>597</v>
      </c>
      <c r="D286" s="1" t="s">
        <v>23</v>
      </c>
      <c r="E286" s="1" t="s">
        <v>28</v>
      </c>
      <c r="F286" s="4">
        <v>0</v>
      </c>
      <c r="G286">
        <v>25</v>
      </c>
      <c r="H286">
        <v>5</v>
      </c>
      <c r="I286">
        <v>12.4</v>
      </c>
      <c r="J286">
        <v>2.4</v>
      </c>
      <c r="K286">
        <v>0.5</v>
      </c>
      <c r="L286">
        <v>1</v>
      </c>
      <c r="M286">
        <v>0.2</v>
      </c>
      <c r="N286">
        <v>1.4</v>
      </c>
      <c r="O286">
        <v>0.71399999999999997</v>
      </c>
      <c r="P286">
        <v>0.54200000000000004</v>
      </c>
      <c r="Q286">
        <v>1.2</v>
      </c>
      <c r="R286">
        <v>0.66700000000000004</v>
      </c>
      <c r="S286">
        <v>1</v>
      </c>
      <c r="T286">
        <v>2</v>
      </c>
      <c r="U286">
        <v>0.8</v>
      </c>
      <c r="V286">
        <v>0.4</v>
      </c>
      <c r="W286">
        <v>1.6</v>
      </c>
      <c r="X286">
        <v>0.4</v>
      </c>
      <c r="Y286">
        <v>3.4</v>
      </c>
      <c r="Z286">
        <v>2</v>
      </c>
      <c r="AA286">
        <v>-5.4</v>
      </c>
      <c r="AB286">
        <v>9.6999999999999993</v>
      </c>
      <c r="AC286">
        <v>7.0000000000000001E-3</v>
      </c>
    </row>
    <row r="287" spans="1:29" x14ac:dyDescent="0.35">
      <c r="A287" s="3" t="s">
        <v>205</v>
      </c>
      <c r="B287" s="1" t="s">
        <v>2</v>
      </c>
      <c r="C287" s="1" t="s">
        <v>597</v>
      </c>
      <c r="D287" s="1" t="s">
        <v>33</v>
      </c>
      <c r="E287" s="1" t="s">
        <v>20</v>
      </c>
      <c r="F287" s="4">
        <v>0.1</v>
      </c>
      <c r="G287">
        <v>36</v>
      </c>
      <c r="H287">
        <v>39</v>
      </c>
      <c r="I287">
        <v>19.7</v>
      </c>
      <c r="J287">
        <v>5.2</v>
      </c>
      <c r="K287">
        <v>0.42599999999999999</v>
      </c>
      <c r="L287">
        <v>3.5</v>
      </c>
      <c r="M287">
        <v>0.40899999999999997</v>
      </c>
      <c r="N287">
        <v>1.7</v>
      </c>
      <c r="O287">
        <v>0.46300000000000002</v>
      </c>
      <c r="P287">
        <v>0.56399999999999995</v>
      </c>
      <c r="Q287">
        <v>1.2</v>
      </c>
      <c r="R287">
        <v>0.75</v>
      </c>
      <c r="S287">
        <v>1.2</v>
      </c>
      <c r="T287">
        <v>1.7</v>
      </c>
      <c r="U287">
        <v>0.7</v>
      </c>
      <c r="V287">
        <v>0.3</v>
      </c>
      <c r="W287">
        <v>0.7</v>
      </c>
      <c r="X287">
        <v>0.8</v>
      </c>
      <c r="Y287">
        <v>6.8</v>
      </c>
      <c r="Z287">
        <v>16</v>
      </c>
      <c r="AA287">
        <v>-1.6</v>
      </c>
      <c r="AB287">
        <v>10.8</v>
      </c>
      <c r="AC287">
        <v>5.2999999999999999E-2</v>
      </c>
    </row>
    <row r="288" spans="1:29" x14ac:dyDescent="0.35">
      <c r="A288" s="3" t="s">
        <v>102</v>
      </c>
      <c r="B288" s="1" t="s">
        <v>2</v>
      </c>
      <c r="C288" s="1" t="s">
        <v>598</v>
      </c>
      <c r="D288" s="1" t="s">
        <v>23</v>
      </c>
      <c r="E288" s="1" t="s">
        <v>20</v>
      </c>
      <c r="F288" s="4">
        <v>-0.1</v>
      </c>
      <c r="G288">
        <v>22</v>
      </c>
      <c r="H288">
        <v>36</v>
      </c>
      <c r="I288">
        <v>11</v>
      </c>
      <c r="J288">
        <v>3.5</v>
      </c>
      <c r="K288">
        <v>0.37</v>
      </c>
      <c r="L288">
        <v>1.7</v>
      </c>
      <c r="M288">
        <v>0.29499999999999998</v>
      </c>
      <c r="N288">
        <v>1.8</v>
      </c>
      <c r="O288">
        <v>0.439</v>
      </c>
      <c r="P288">
        <v>0.441</v>
      </c>
      <c r="Q288">
        <v>1.2</v>
      </c>
      <c r="R288">
        <v>0.59099999999999997</v>
      </c>
      <c r="S288">
        <v>2.1</v>
      </c>
      <c r="T288">
        <v>1.1000000000000001</v>
      </c>
      <c r="U288">
        <v>0.6</v>
      </c>
      <c r="V288">
        <v>0.1</v>
      </c>
      <c r="W288">
        <v>0.5</v>
      </c>
      <c r="X288">
        <v>1.1000000000000001</v>
      </c>
      <c r="Y288">
        <v>3.8</v>
      </c>
      <c r="Z288">
        <v>0</v>
      </c>
      <c r="AA288">
        <v>-3.2</v>
      </c>
      <c r="AB288">
        <v>10.8</v>
      </c>
      <c r="AC288">
        <v>4.2999999999999997E-2</v>
      </c>
    </row>
    <row r="289" spans="1:29" x14ac:dyDescent="0.35">
      <c r="A289" s="3" t="s">
        <v>333</v>
      </c>
      <c r="B289" s="1" t="s">
        <v>26</v>
      </c>
      <c r="C289" s="1" t="s">
        <v>598</v>
      </c>
      <c r="D289" s="1" t="s">
        <v>33</v>
      </c>
      <c r="E289" s="1" t="s">
        <v>20</v>
      </c>
      <c r="F289" s="4">
        <v>0.4</v>
      </c>
      <c r="G289">
        <v>29</v>
      </c>
      <c r="H289">
        <v>69</v>
      </c>
      <c r="I289">
        <v>19.600000000000001</v>
      </c>
      <c r="J289">
        <v>5.4</v>
      </c>
      <c r="K289">
        <v>0.42</v>
      </c>
      <c r="L289">
        <v>3.4</v>
      </c>
      <c r="M289">
        <v>0.34</v>
      </c>
      <c r="N289">
        <v>2</v>
      </c>
      <c r="O289">
        <v>0.55900000000000005</v>
      </c>
      <c r="P289">
        <v>0.52800000000000002</v>
      </c>
      <c r="Q289">
        <v>1.2</v>
      </c>
      <c r="R289">
        <v>0.7</v>
      </c>
      <c r="S289">
        <v>4.5999999999999996</v>
      </c>
      <c r="T289">
        <v>1.2</v>
      </c>
      <c r="U289">
        <v>0.6</v>
      </c>
      <c r="V289">
        <v>0.3</v>
      </c>
      <c r="W289">
        <v>0.6</v>
      </c>
      <c r="X289">
        <v>1.2</v>
      </c>
      <c r="Y289">
        <v>6.5</v>
      </c>
      <c r="Z289">
        <v>9</v>
      </c>
      <c r="AA289">
        <v>-0.7</v>
      </c>
      <c r="AB289">
        <v>12.3</v>
      </c>
      <c r="AC289">
        <v>9.0999999999999998E-2</v>
      </c>
    </row>
    <row r="290" spans="1:29" x14ac:dyDescent="0.35">
      <c r="A290" s="3" t="s">
        <v>548</v>
      </c>
      <c r="B290" s="1" t="s">
        <v>26</v>
      </c>
      <c r="C290" s="1" t="s">
        <v>598</v>
      </c>
      <c r="D290" s="1" t="s">
        <v>23</v>
      </c>
      <c r="E290" s="1" t="s">
        <v>50</v>
      </c>
      <c r="F290" s="4">
        <v>0.2</v>
      </c>
      <c r="G290">
        <v>22</v>
      </c>
      <c r="H290">
        <v>60</v>
      </c>
      <c r="I290">
        <v>12.5</v>
      </c>
      <c r="J290">
        <v>3.8</v>
      </c>
      <c r="K290">
        <v>0.51500000000000001</v>
      </c>
      <c r="L290">
        <v>1.2</v>
      </c>
      <c r="M290">
        <v>0.38900000000000001</v>
      </c>
      <c r="N290">
        <v>2.6</v>
      </c>
      <c r="O290">
        <v>0.57299999999999995</v>
      </c>
      <c r="P290">
        <v>0.57599999999999996</v>
      </c>
      <c r="Q290">
        <v>1.2</v>
      </c>
      <c r="R290">
        <v>0.69</v>
      </c>
      <c r="S290">
        <v>3.5</v>
      </c>
      <c r="T290">
        <v>0.6</v>
      </c>
      <c r="U290">
        <v>0.6</v>
      </c>
      <c r="V290">
        <v>0.1</v>
      </c>
      <c r="W290">
        <v>0.6</v>
      </c>
      <c r="X290">
        <v>1.5</v>
      </c>
      <c r="Y290">
        <v>5.2</v>
      </c>
      <c r="Z290">
        <v>2</v>
      </c>
      <c r="AA290">
        <v>-0.8</v>
      </c>
      <c r="AB290">
        <v>15</v>
      </c>
      <c r="AC290">
        <v>0.128</v>
      </c>
    </row>
    <row r="291" spans="1:29" x14ac:dyDescent="0.35">
      <c r="A291" s="3" t="s">
        <v>96</v>
      </c>
      <c r="B291" s="1" t="s">
        <v>2</v>
      </c>
      <c r="C291" s="1" t="s">
        <v>597</v>
      </c>
      <c r="D291" s="1" t="s">
        <v>23</v>
      </c>
      <c r="E291" s="1" t="s">
        <v>20</v>
      </c>
      <c r="F291" s="4">
        <v>0.3</v>
      </c>
      <c r="G291">
        <v>31</v>
      </c>
      <c r="H291">
        <v>77</v>
      </c>
      <c r="I291">
        <v>29.6</v>
      </c>
      <c r="J291">
        <v>7.1</v>
      </c>
      <c r="K291">
        <v>0.439</v>
      </c>
      <c r="L291">
        <v>4.3</v>
      </c>
      <c r="M291">
        <v>0.34200000000000003</v>
      </c>
      <c r="N291">
        <v>2.8</v>
      </c>
      <c r="O291">
        <v>0.58899999999999997</v>
      </c>
      <c r="P291">
        <v>0.54300000000000004</v>
      </c>
      <c r="Q291">
        <v>1.2</v>
      </c>
      <c r="R291">
        <v>0.86299999999999999</v>
      </c>
      <c r="S291">
        <v>2.2000000000000002</v>
      </c>
      <c r="T291">
        <v>1.8</v>
      </c>
      <c r="U291">
        <v>1.3</v>
      </c>
      <c r="V291">
        <v>0.4</v>
      </c>
      <c r="W291">
        <v>0.8</v>
      </c>
      <c r="X291">
        <v>1.8</v>
      </c>
      <c r="Y291">
        <v>8.6999999999999993</v>
      </c>
      <c r="Z291">
        <v>11</v>
      </c>
      <c r="AA291">
        <v>-1.4</v>
      </c>
      <c r="AB291">
        <v>9.9</v>
      </c>
      <c r="AC291">
        <v>9.6000000000000002E-2</v>
      </c>
    </row>
    <row r="292" spans="1:29" x14ac:dyDescent="0.35">
      <c r="A292" s="3" t="s">
        <v>531</v>
      </c>
      <c r="B292" s="1" t="s">
        <v>2</v>
      </c>
      <c r="C292" s="1" t="s">
        <v>597</v>
      </c>
      <c r="D292" s="1" t="s">
        <v>23</v>
      </c>
      <c r="E292" s="1" t="s">
        <v>50</v>
      </c>
      <c r="F292" s="4">
        <v>0.2</v>
      </c>
      <c r="G292">
        <v>26</v>
      </c>
      <c r="H292">
        <v>74</v>
      </c>
      <c r="I292">
        <v>25.6</v>
      </c>
      <c r="J292">
        <v>8.9</v>
      </c>
      <c r="K292">
        <v>0.43099999999999999</v>
      </c>
      <c r="L292">
        <v>5.9</v>
      </c>
      <c r="M292">
        <v>0.41599999999999998</v>
      </c>
      <c r="N292">
        <v>3</v>
      </c>
      <c r="O292">
        <v>0.46</v>
      </c>
      <c r="P292">
        <v>0.56799999999999995</v>
      </c>
      <c r="Q292">
        <v>1.2</v>
      </c>
      <c r="R292">
        <v>0.84799999999999998</v>
      </c>
      <c r="S292">
        <v>2.2999999999999998</v>
      </c>
      <c r="T292">
        <v>1.2</v>
      </c>
      <c r="U292">
        <v>1</v>
      </c>
      <c r="V292">
        <v>0.1</v>
      </c>
      <c r="W292">
        <v>0.6</v>
      </c>
      <c r="X292">
        <v>1.7</v>
      </c>
      <c r="Y292">
        <v>11.1</v>
      </c>
      <c r="Z292">
        <v>6</v>
      </c>
      <c r="AA292">
        <v>-1.6</v>
      </c>
      <c r="AB292">
        <v>11.7</v>
      </c>
      <c r="AC292">
        <v>8.4000000000000005E-2</v>
      </c>
    </row>
    <row r="293" spans="1:29" x14ac:dyDescent="0.35">
      <c r="A293" s="3" t="s">
        <v>176</v>
      </c>
      <c r="B293" s="1" t="s">
        <v>18</v>
      </c>
      <c r="C293" s="1" t="s">
        <v>35</v>
      </c>
      <c r="D293" s="1" t="s">
        <v>23</v>
      </c>
      <c r="E293" s="1" t="s">
        <v>28</v>
      </c>
      <c r="F293" s="4">
        <v>0.3</v>
      </c>
      <c r="G293">
        <v>27</v>
      </c>
      <c r="H293">
        <v>61</v>
      </c>
      <c r="I293">
        <v>12.2</v>
      </c>
      <c r="J293">
        <v>3.2</v>
      </c>
      <c r="K293">
        <v>0.59299999999999997</v>
      </c>
      <c r="L293">
        <v>0.1</v>
      </c>
      <c r="M293">
        <v>0.5</v>
      </c>
      <c r="N293">
        <v>3.1</v>
      </c>
      <c r="O293">
        <v>0.59599999999999997</v>
      </c>
      <c r="P293">
        <v>0.60099999999999998</v>
      </c>
      <c r="Q293">
        <v>1.2</v>
      </c>
      <c r="R293">
        <v>0.66200000000000003</v>
      </c>
      <c r="S293">
        <v>3.7</v>
      </c>
      <c r="T293">
        <v>0.9</v>
      </c>
      <c r="U293">
        <v>0.2</v>
      </c>
      <c r="V293">
        <v>0.6</v>
      </c>
      <c r="W293">
        <v>0.7</v>
      </c>
      <c r="X293">
        <v>1</v>
      </c>
      <c r="Y293">
        <v>4.5999999999999996</v>
      </c>
      <c r="Z293">
        <v>6</v>
      </c>
      <c r="AA293">
        <v>-0.7</v>
      </c>
      <c r="AB293">
        <v>15.6</v>
      </c>
      <c r="AC293">
        <v>0.107</v>
      </c>
    </row>
    <row r="294" spans="1:29" x14ac:dyDescent="0.35">
      <c r="A294" s="3" t="s">
        <v>126</v>
      </c>
      <c r="B294" s="1" t="s">
        <v>26</v>
      </c>
      <c r="C294" s="1" t="s">
        <v>35</v>
      </c>
      <c r="D294" s="1" t="s">
        <v>23</v>
      </c>
      <c r="E294" s="1" t="s">
        <v>20</v>
      </c>
      <c r="F294" s="4">
        <v>0.5</v>
      </c>
      <c r="G294">
        <v>27</v>
      </c>
      <c r="H294">
        <v>64</v>
      </c>
      <c r="I294">
        <v>15.3</v>
      </c>
      <c r="J294">
        <v>4.7</v>
      </c>
      <c r="K294">
        <v>0.50700000000000001</v>
      </c>
      <c r="L294">
        <v>1.7</v>
      </c>
      <c r="M294">
        <v>0.30199999999999999</v>
      </c>
      <c r="N294">
        <v>3.1</v>
      </c>
      <c r="O294">
        <v>0.61699999999999999</v>
      </c>
      <c r="P294">
        <v>0.56000000000000005</v>
      </c>
      <c r="Q294">
        <v>1.2</v>
      </c>
      <c r="R294">
        <v>0.88500000000000001</v>
      </c>
      <c r="S294">
        <v>4.5</v>
      </c>
      <c r="T294">
        <v>1.7</v>
      </c>
      <c r="U294">
        <v>0.5</v>
      </c>
      <c r="V294">
        <v>0.5</v>
      </c>
      <c r="W294">
        <v>0.9</v>
      </c>
      <c r="X294">
        <v>2.1</v>
      </c>
      <c r="Y294">
        <v>6.4</v>
      </c>
      <c r="Z294">
        <v>7</v>
      </c>
      <c r="AA294">
        <v>0</v>
      </c>
      <c r="AB294">
        <v>16</v>
      </c>
      <c r="AC294">
        <v>0.13200000000000001</v>
      </c>
    </row>
    <row r="295" spans="1:29" x14ac:dyDescent="0.35">
      <c r="A295" s="3" t="s">
        <v>340</v>
      </c>
      <c r="B295" s="1" t="s">
        <v>26</v>
      </c>
      <c r="C295" s="1" t="s">
        <v>35</v>
      </c>
      <c r="D295" s="1" t="s">
        <v>23</v>
      </c>
      <c r="E295" s="1" t="s">
        <v>50</v>
      </c>
      <c r="F295" s="4">
        <v>0.1</v>
      </c>
      <c r="G295">
        <v>29</v>
      </c>
      <c r="H295">
        <v>53</v>
      </c>
      <c r="I295">
        <v>22.1</v>
      </c>
      <c r="J295">
        <v>6.1</v>
      </c>
      <c r="K295">
        <v>0.41799999999999998</v>
      </c>
      <c r="L295">
        <v>2.8</v>
      </c>
      <c r="M295">
        <v>0.28499999999999998</v>
      </c>
      <c r="N295">
        <v>3.3</v>
      </c>
      <c r="O295">
        <v>0.53400000000000003</v>
      </c>
      <c r="P295">
        <v>0.48499999999999999</v>
      </c>
      <c r="Q295">
        <v>1.2</v>
      </c>
      <c r="R295">
        <v>0.70499999999999996</v>
      </c>
      <c r="S295">
        <v>4.2</v>
      </c>
      <c r="T295">
        <v>2</v>
      </c>
      <c r="U295">
        <v>1.1000000000000001</v>
      </c>
      <c r="V295">
        <v>0.6</v>
      </c>
      <c r="W295">
        <v>1</v>
      </c>
      <c r="X295">
        <v>1.8</v>
      </c>
      <c r="Y295">
        <v>6.8</v>
      </c>
      <c r="Z295">
        <v>5</v>
      </c>
      <c r="AA295">
        <v>-1.7</v>
      </c>
      <c r="AB295">
        <v>11.3</v>
      </c>
      <c r="AC295">
        <v>5.3999999999999999E-2</v>
      </c>
    </row>
    <row r="296" spans="1:29" x14ac:dyDescent="0.35">
      <c r="A296" s="3" t="s">
        <v>110</v>
      </c>
      <c r="B296" s="1" t="s">
        <v>26</v>
      </c>
      <c r="C296" s="1" t="s">
        <v>597</v>
      </c>
      <c r="D296" s="1" t="s">
        <v>23</v>
      </c>
      <c r="E296" s="1" t="s">
        <v>28</v>
      </c>
      <c r="F296" s="4">
        <v>0.5</v>
      </c>
      <c r="G296">
        <v>23</v>
      </c>
      <c r="H296">
        <v>62</v>
      </c>
      <c r="I296">
        <v>21.6</v>
      </c>
      <c r="J296">
        <v>6.6</v>
      </c>
      <c r="K296">
        <v>0.51100000000000001</v>
      </c>
      <c r="L296">
        <v>3.1</v>
      </c>
      <c r="M296">
        <v>0.38300000000000001</v>
      </c>
      <c r="N296">
        <v>3.5</v>
      </c>
      <c r="O296">
        <v>0.624</v>
      </c>
      <c r="P296">
        <v>0.60099999999999998</v>
      </c>
      <c r="Q296">
        <v>1.2</v>
      </c>
      <c r="R296">
        <v>0.68500000000000005</v>
      </c>
      <c r="S296">
        <v>5.7</v>
      </c>
      <c r="T296">
        <v>1</v>
      </c>
      <c r="U296">
        <v>1</v>
      </c>
      <c r="V296">
        <v>0.6</v>
      </c>
      <c r="W296">
        <v>0.9</v>
      </c>
      <c r="X296">
        <v>1.8</v>
      </c>
      <c r="Y296">
        <v>8.8000000000000007</v>
      </c>
      <c r="Z296">
        <v>3</v>
      </c>
      <c r="AA296">
        <v>-0.5</v>
      </c>
      <c r="AB296">
        <v>15.7</v>
      </c>
      <c r="AC296">
        <v>0.1</v>
      </c>
    </row>
    <row r="297" spans="1:29" x14ac:dyDescent="0.35">
      <c r="A297" s="3" t="s">
        <v>505</v>
      </c>
      <c r="B297" s="1" t="s">
        <v>18</v>
      </c>
      <c r="C297" s="1" t="s">
        <v>597</v>
      </c>
      <c r="D297" s="1" t="s">
        <v>23</v>
      </c>
      <c r="E297" s="1" t="s">
        <v>20</v>
      </c>
      <c r="F297" s="4">
        <v>0.9</v>
      </c>
      <c r="G297">
        <v>23</v>
      </c>
      <c r="H297">
        <v>72</v>
      </c>
      <c r="I297">
        <v>19.899999999999999</v>
      </c>
      <c r="J297">
        <v>4.4000000000000004</v>
      </c>
      <c r="K297">
        <v>0.55900000000000005</v>
      </c>
      <c r="L297">
        <v>0.7</v>
      </c>
      <c r="M297">
        <v>0.32100000000000001</v>
      </c>
      <c r="N297">
        <v>3.6</v>
      </c>
      <c r="O297">
        <v>0.60699999999999998</v>
      </c>
      <c r="P297">
        <v>0.58599999999999997</v>
      </c>
      <c r="Q297">
        <v>1.2</v>
      </c>
      <c r="R297">
        <v>0.75900000000000001</v>
      </c>
      <c r="S297">
        <v>5.5</v>
      </c>
      <c r="T297">
        <v>1.7</v>
      </c>
      <c r="U297">
        <v>0.4</v>
      </c>
      <c r="V297">
        <v>1.4</v>
      </c>
      <c r="W297">
        <v>0.9</v>
      </c>
      <c r="X297">
        <v>2.5</v>
      </c>
      <c r="Y297">
        <v>6</v>
      </c>
      <c r="Z297">
        <v>4</v>
      </c>
      <c r="AA297">
        <v>0.6</v>
      </c>
      <c r="AB297">
        <v>14.6</v>
      </c>
      <c r="AC297">
        <v>0.14399999999999999</v>
      </c>
    </row>
    <row r="298" spans="1:29" x14ac:dyDescent="0.35">
      <c r="A298" s="3" t="s">
        <v>67</v>
      </c>
      <c r="B298" s="1" t="s">
        <v>2</v>
      </c>
      <c r="C298" s="1" t="s">
        <v>35</v>
      </c>
      <c r="D298" s="1" t="s">
        <v>19</v>
      </c>
      <c r="E298" s="1" t="s">
        <v>20</v>
      </c>
      <c r="F298" s="4">
        <v>0</v>
      </c>
      <c r="G298">
        <v>32</v>
      </c>
      <c r="H298">
        <v>54</v>
      </c>
      <c r="I298">
        <v>25</v>
      </c>
      <c r="J298">
        <v>9.1</v>
      </c>
      <c r="K298">
        <v>0.42699999999999999</v>
      </c>
      <c r="L298">
        <v>5.4</v>
      </c>
      <c r="M298">
        <v>0.36299999999999999</v>
      </c>
      <c r="N298">
        <v>3.8</v>
      </c>
      <c r="O298">
        <v>0.51700000000000002</v>
      </c>
      <c r="P298">
        <v>0.53400000000000003</v>
      </c>
      <c r="Q298">
        <v>1.2</v>
      </c>
      <c r="R298">
        <v>0.879</v>
      </c>
      <c r="S298">
        <v>2.9</v>
      </c>
      <c r="T298">
        <v>2.7</v>
      </c>
      <c r="U298">
        <v>0.8</v>
      </c>
      <c r="V298">
        <v>0.2</v>
      </c>
      <c r="W298">
        <v>1.4</v>
      </c>
      <c r="X298">
        <v>2.4</v>
      </c>
      <c r="Y298">
        <v>10.8</v>
      </c>
      <c r="Z298">
        <v>7</v>
      </c>
      <c r="AA298">
        <v>-2</v>
      </c>
      <c r="AB298">
        <v>11.1</v>
      </c>
      <c r="AC298">
        <v>6.9000000000000006E-2</v>
      </c>
    </row>
    <row r="299" spans="1:29" x14ac:dyDescent="0.35">
      <c r="A299" s="3" t="s">
        <v>238</v>
      </c>
      <c r="B299" s="1" t="s">
        <v>2</v>
      </c>
      <c r="C299" s="1" t="s">
        <v>597</v>
      </c>
      <c r="D299" s="1" t="s">
        <v>23</v>
      </c>
      <c r="E299" s="1" t="s">
        <v>20</v>
      </c>
      <c r="F299" s="4">
        <v>1.3</v>
      </c>
      <c r="G299">
        <v>34</v>
      </c>
      <c r="H299">
        <v>62</v>
      </c>
      <c r="I299">
        <v>30.6</v>
      </c>
      <c r="J299">
        <v>9.1999999999999993</v>
      </c>
      <c r="K299">
        <v>0.443</v>
      </c>
      <c r="L299">
        <v>4.9000000000000004</v>
      </c>
      <c r="M299">
        <v>0.35299999999999998</v>
      </c>
      <c r="N299">
        <v>4.3</v>
      </c>
      <c r="O299">
        <v>0.54700000000000004</v>
      </c>
      <c r="P299">
        <v>0.53800000000000003</v>
      </c>
      <c r="Q299">
        <v>1.2</v>
      </c>
      <c r="R299">
        <v>0.90900000000000003</v>
      </c>
      <c r="S299">
        <v>4.3</v>
      </c>
      <c r="T299">
        <v>3.9</v>
      </c>
      <c r="U299">
        <v>1.1000000000000001</v>
      </c>
      <c r="V299">
        <v>0.4</v>
      </c>
      <c r="W299">
        <v>1.2</v>
      </c>
      <c r="X299">
        <v>1.6</v>
      </c>
      <c r="Y299">
        <v>11.1</v>
      </c>
      <c r="Z299">
        <v>15</v>
      </c>
      <c r="AA299">
        <v>0.7</v>
      </c>
      <c r="AB299">
        <v>13.5</v>
      </c>
      <c r="AC299">
        <v>0.13</v>
      </c>
    </row>
    <row r="300" spans="1:29" x14ac:dyDescent="0.35">
      <c r="A300" s="3" t="s">
        <v>17</v>
      </c>
      <c r="B300" s="1" t="s">
        <v>18</v>
      </c>
      <c r="C300" s="1" t="s">
        <v>597</v>
      </c>
      <c r="D300" s="1" t="s">
        <v>19</v>
      </c>
      <c r="E300" s="1" t="s">
        <v>20</v>
      </c>
      <c r="F300" s="4">
        <v>0</v>
      </c>
      <c r="G300">
        <v>25</v>
      </c>
      <c r="H300">
        <v>57</v>
      </c>
      <c r="I300">
        <v>20.5</v>
      </c>
      <c r="J300">
        <v>5.7</v>
      </c>
      <c r="K300">
        <v>0.502</v>
      </c>
      <c r="L300">
        <v>0.6</v>
      </c>
      <c r="M300">
        <v>0.27800000000000002</v>
      </c>
      <c r="N300">
        <v>5.0999999999999996</v>
      </c>
      <c r="O300">
        <v>0.52900000000000003</v>
      </c>
      <c r="P300">
        <v>0.51700000000000002</v>
      </c>
      <c r="Q300">
        <v>1.2</v>
      </c>
      <c r="R300">
        <v>0.59399999999999997</v>
      </c>
      <c r="S300">
        <v>5.6</v>
      </c>
      <c r="T300">
        <v>1</v>
      </c>
      <c r="U300">
        <v>0.8</v>
      </c>
      <c r="V300">
        <v>0.7</v>
      </c>
      <c r="W300">
        <v>0.8</v>
      </c>
      <c r="X300">
        <v>1.4</v>
      </c>
      <c r="Y300">
        <v>6.6</v>
      </c>
      <c r="Z300">
        <v>4</v>
      </c>
      <c r="AA300">
        <v>-1.9</v>
      </c>
      <c r="AB300">
        <v>13.6</v>
      </c>
      <c r="AC300">
        <v>9.5000000000000001E-2</v>
      </c>
    </row>
    <row r="301" spans="1:29" x14ac:dyDescent="0.35">
      <c r="A301" s="3" t="s">
        <v>571</v>
      </c>
      <c r="B301" s="1" t="s">
        <v>2</v>
      </c>
      <c r="C301" s="1" t="s">
        <v>598</v>
      </c>
      <c r="D301" s="1" t="s">
        <v>23</v>
      </c>
      <c r="E301" s="1" t="s">
        <v>50</v>
      </c>
      <c r="F301" s="4">
        <v>1.4</v>
      </c>
      <c r="G301">
        <v>26</v>
      </c>
      <c r="H301">
        <v>76</v>
      </c>
      <c r="I301">
        <v>22.9</v>
      </c>
      <c r="J301">
        <v>9.6</v>
      </c>
      <c r="K301">
        <v>0.48799999999999999</v>
      </c>
      <c r="L301">
        <v>4.5</v>
      </c>
      <c r="M301">
        <v>0.38300000000000001</v>
      </c>
      <c r="N301">
        <v>5.0999999999999996</v>
      </c>
      <c r="O301">
        <v>0.57799999999999996</v>
      </c>
      <c r="P301">
        <v>0.57699999999999996</v>
      </c>
      <c r="Q301">
        <v>1.2</v>
      </c>
      <c r="R301">
        <v>0.83099999999999996</v>
      </c>
      <c r="S301">
        <v>3.9</v>
      </c>
      <c r="T301">
        <v>1.8</v>
      </c>
      <c r="U301">
        <v>0.8</v>
      </c>
      <c r="V301">
        <v>0.2</v>
      </c>
      <c r="W301">
        <v>0.9</v>
      </c>
      <c r="X301">
        <v>1.3</v>
      </c>
      <c r="Y301">
        <v>12</v>
      </c>
      <c r="Z301">
        <v>3</v>
      </c>
      <c r="AA301">
        <v>1.1000000000000001</v>
      </c>
      <c r="AB301">
        <v>16.100000000000001</v>
      </c>
      <c r="AC301">
        <v>0.14799999999999999</v>
      </c>
    </row>
    <row r="302" spans="1:29" x14ac:dyDescent="0.35">
      <c r="A302" s="3" t="s">
        <v>233</v>
      </c>
      <c r="B302" s="1" t="s">
        <v>26</v>
      </c>
      <c r="C302" s="1" t="s">
        <v>598</v>
      </c>
      <c r="D302" s="1" t="s">
        <v>23</v>
      </c>
      <c r="E302" s="1" t="s">
        <v>20</v>
      </c>
      <c r="F302" s="4">
        <v>0</v>
      </c>
      <c r="G302">
        <v>21</v>
      </c>
      <c r="H302">
        <v>3</v>
      </c>
      <c r="I302">
        <v>25</v>
      </c>
      <c r="J302">
        <v>6</v>
      </c>
      <c r="K302">
        <v>0.222</v>
      </c>
      <c r="L302">
        <v>4</v>
      </c>
      <c r="M302">
        <v>0.25</v>
      </c>
      <c r="N302">
        <v>2</v>
      </c>
      <c r="O302">
        <v>0.16700000000000001</v>
      </c>
      <c r="P302">
        <v>0.30599999999999999</v>
      </c>
      <c r="Q302">
        <v>1.3</v>
      </c>
      <c r="R302">
        <v>0.75</v>
      </c>
      <c r="S302">
        <v>5</v>
      </c>
      <c r="T302">
        <v>0.7</v>
      </c>
      <c r="U302">
        <v>1.7</v>
      </c>
      <c r="V302">
        <v>1.3</v>
      </c>
      <c r="W302">
        <v>0.7</v>
      </c>
      <c r="X302">
        <v>2.7</v>
      </c>
      <c r="Y302">
        <v>4.7</v>
      </c>
      <c r="Z302">
        <v>1</v>
      </c>
      <c r="AA302">
        <v>-3.5</v>
      </c>
      <c r="AB302">
        <v>7.1</v>
      </c>
      <c r="AC302">
        <v>-8.0000000000000002E-3</v>
      </c>
    </row>
    <row r="303" spans="1:29" x14ac:dyDescent="0.35">
      <c r="A303" s="3" t="s">
        <v>127</v>
      </c>
      <c r="B303" s="1" t="s">
        <v>2</v>
      </c>
      <c r="C303" s="1" t="s">
        <v>598</v>
      </c>
      <c r="D303" s="1" t="s">
        <v>23</v>
      </c>
      <c r="E303" s="1" t="s">
        <v>20</v>
      </c>
      <c r="F303" s="4">
        <v>1.4</v>
      </c>
      <c r="G303">
        <v>37</v>
      </c>
      <c r="H303">
        <v>71</v>
      </c>
      <c r="I303">
        <v>24.7</v>
      </c>
      <c r="J303">
        <v>6.6</v>
      </c>
      <c r="K303">
        <v>0.4</v>
      </c>
      <c r="L303">
        <v>4.4000000000000004</v>
      </c>
      <c r="M303">
        <v>0.41</v>
      </c>
      <c r="N303">
        <v>2.2000000000000002</v>
      </c>
      <c r="O303">
        <v>0.38</v>
      </c>
      <c r="P303">
        <v>0.53500000000000003</v>
      </c>
      <c r="Q303">
        <v>1.3</v>
      </c>
      <c r="R303">
        <v>0.9</v>
      </c>
      <c r="S303">
        <v>2.6</v>
      </c>
      <c r="T303">
        <v>4.5</v>
      </c>
      <c r="U303">
        <v>1.1000000000000001</v>
      </c>
      <c r="V303">
        <v>0.2</v>
      </c>
      <c r="W303">
        <v>1.1000000000000001</v>
      </c>
      <c r="X303">
        <v>1.6</v>
      </c>
      <c r="Y303">
        <v>8.1999999999999993</v>
      </c>
      <c r="Z303">
        <v>17</v>
      </c>
      <c r="AA303">
        <v>1.2</v>
      </c>
      <c r="AB303">
        <v>13.3</v>
      </c>
      <c r="AC303">
        <v>0.14199999999999999</v>
      </c>
    </row>
    <row r="304" spans="1:29" x14ac:dyDescent="0.35">
      <c r="A304" s="3" t="s">
        <v>215</v>
      </c>
      <c r="B304" s="1" t="s">
        <v>26</v>
      </c>
      <c r="C304" s="1" t="s">
        <v>597</v>
      </c>
      <c r="D304" s="1" t="s">
        <v>19</v>
      </c>
      <c r="E304" s="1" t="s">
        <v>50</v>
      </c>
      <c r="F304" s="4">
        <v>0.2</v>
      </c>
      <c r="G304">
        <v>22</v>
      </c>
      <c r="H304">
        <v>33</v>
      </c>
      <c r="I304">
        <v>16.2</v>
      </c>
      <c r="J304">
        <v>5.2</v>
      </c>
      <c r="K304">
        <v>0.42099999999999999</v>
      </c>
      <c r="L304">
        <v>2.5</v>
      </c>
      <c r="M304">
        <v>0.25900000000000001</v>
      </c>
      <c r="N304">
        <v>2.7</v>
      </c>
      <c r="O304">
        <v>0.56699999999999995</v>
      </c>
      <c r="P304">
        <v>0.48199999999999998</v>
      </c>
      <c r="Q304">
        <v>1.3</v>
      </c>
      <c r="R304">
        <v>0.76200000000000001</v>
      </c>
      <c r="S304">
        <v>4.2</v>
      </c>
      <c r="T304">
        <v>0.8</v>
      </c>
      <c r="U304">
        <v>0.8</v>
      </c>
      <c r="V304">
        <v>1</v>
      </c>
      <c r="W304">
        <v>0.5</v>
      </c>
      <c r="X304">
        <v>1.7</v>
      </c>
      <c r="Y304">
        <v>6</v>
      </c>
      <c r="Z304">
        <v>1</v>
      </c>
      <c r="AA304">
        <v>-0.6</v>
      </c>
      <c r="AB304">
        <v>14.4</v>
      </c>
      <c r="AC304">
        <v>0.106</v>
      </c>
    </row>
    <row r="305" spans="1:29" x14ac:dyDescent="0.35">
      <c r="A305" s="3" t="s">
        <v>360</v>
      </c>
      <c r="B305" s="1" t="s">
        <v>2</v>
      </c>
      <c r="C305" s="1" t="s">
        <v>598</v>
      </c>
      <c r="D305" s="1" t="s">
        <v>23</v>
      </c>
      <c r="E305" s="1" t="s">
        <v>50</v>
      </c>
      <c r="F305" s="4">
        <v>0</v>
      </c>
      <c r="G305">
        <v>26</v>
      </c>
      <c r="H305">
        <v>6</v>
      </c>
      <c r="I305">
        <v>20.2</v>
      </c>
      <c r="J305">
        <v>9</v>
      </c>
      <c r="K305">
        <v>0.40699999999999997</v>
      </c>
      <c r="L305">
        <v>5.8</v>
      </c>
      <c r="M305">
        <v>0.371</v>
      </c>
      <c r="N305">
        <v>3.2</v>
      </c>
      <c r="O305">
        <v>0.47399999999999998</v>
      </c>
      <c r="P305">
        <v>0.52800000000000002</v>
      </c>
      <c r="Q305">
        <v>1.3</v>
      </c>
      <c r="R305">
        <v>0.625</v>
      </c>
      <c r="S305">
        <v>3.3</v>
      </c>
      <c r="T305">
        <v>2.8</v>
      </c>
      <c r="U305">
        <v>1.2</v>
      </c>
      <c r="V305">
        <v>0.3</v>
      </c>
      <c r="W305">
        <v>1.7</v>
      </c>
      <c r="X305">
        <v>3</v>
      </c>
      <c r="Y305">
        <v>10.3</v>
      </c>
      <c r="Z305">
        <v>6</v>
      </c>
      <c r="AA305">
        <v>-0.8</v>
      </c>
      <c r="AB305">
        <v>13.3</v>
      </c>
      <c r="AC305">
        <v>7.5999999999999998E-2</v>
      </c>
    </row>
    <row r="306" spans="1:29" x14ac:dyDescent="0.35">
      <c r="A306" s="3" t="s">
        <v>141</v>
      </c>
      <c r="B306" s="1" t="s">
        <v>18</v>
      </c>
      <c r="C306" s="1" t="s">
        <v>598</v>
      </c>
      <c r="D306" s="1" t="s">
        <v>19</v>
      </c>
      <c r="E306" s="1" t="s">
        <v>28</v>
      </c>
      <c r="F306" s="4">
        <v>0.1</v>
      </c>
      <c r="G306">
        <v>23</v>
      </c>
      <c r="H306">
        <v>4</v>
      </c>
      <c r="I306">
        <v>12.8</v>
      </c>
      <c r="J306">
        <v>3.3</v>
      </c>
      <c r="K306">
        <v>0.76900000000000002</v>
      </c>
      <c r="L306">
        <v>0</v>
      </c>
      <c r="M306" t="s">
        <v>599</v>
      </c>
      <c r="N306">
        <v>3.3</v>
      </c>
      <c r="O306">
        <v>0.76900000000000002</v>
      </c>
      <c r="P306">
        <v>0.76900000000000002</v>
      </c>
      <c r="Q306">
        <v>1.3</v>
      </c>
      <c r="R306">
        <v>0.8</v>
      </c>
      <c r="S306">
        <v>5.3</v>
      </c>
      <c r="T306">
        <v>0.5</v>
      </c>
      <c r="U306">
        <v>0.3</v>
      </c>
      <c r="V306">
        <v>1.3</v>
      </c>
      <c r="W306">
        <v>0.5</v>
      </c>
      <c r="X306">
        <v>2.2999999999999998</v>
      </c>
      <c r="Y306">
        <v>6</v>
      </c>
      <c r="Z306">
        <v>0</v>
      </c>
      <c r="AA306">
        <v>2.4</v>
      </c>
      <c r="AB306">
        <v>24</v>
      </c>
      <c r="AC306">
        <v>0.28299999999999997</v>
      </c>
    </row>
    <row r="307" spans="1:29" x14ac:dyDescent="0.35">
      <c r="A307" s="3" t="s">
        <v>329</v>
      </c>
      <c r="B307" s="1" t="s">
        <v>18</v>
      </c>
      <c r="C307" s="1" t="s">
        <v>598</v>
      </c>
      <c r="D307" s="1" t="s">
        <v>23</v>
      </c>
      <c r="E307" s="1" t="s">
        <v>20</v>
      </c>
      <c r="F307" s="4">
        <v>0.7</v>
      </c>
      <c r="G307">
        <v>28</v>
      </c>
      <c r="H307">
        <v>76</v>
      </c>
      <c r="I307">
        <v>15</v>
      </c>
      <c r="J307">
        <v>3.7</v>
      </c>
      <c r="K307">
        <v>0.51400000000000001</v>
      </c>
      <c r="L307">
        <v>0.1</v>
      </c>
      <c r="M307">
        <v>0.4</v>
      </c>
      <c r="N307">
        <v>3.6</v>
      </c>
      <c r="O307">
        <v>0.51600000000000001</v>
      </c>
      <c r="P307">
        <v>0.51800000000000002</v>
      </c>
      <c r="Q307">
        <v>1.3</v>
      </c>
      <c r="R307">
        <v>0.56599999999999995</v>
      </c>
      <c r="S307">
        <v>6.1</v>
      </c>
      <c r="T307">
        <v>1.6</v>
      </c>
      <c r="U307">
        <v>0.6</v>
      </c>
      <c r="V307">
        <v>0.5</v>
      </c>
      <c r="W307">
        <v>0.5</v>
      </c>
      <c r="X307">
        <v>2</v>
      </c>
      <c r="Y307">
        <v>4.5</v>
      </c>
      <c r="Z307">
        <v>9</v>
      </c>
      <c r="AA307">
        <v>0.3</v>
      </c>
      <c r="AB307">
        <v>17</v>
      </c>
      <c r="AC307">
        <v>0.182</v>
      </c>
    </row>
    <row r="308" spans="1:29" x14ac:dyDescent="0.35">
      <c r="A308" s="3" t="s">
        <v>309</v>
      </c>
      <c r="B308" s="1" t="s">
        <v>18</v>
      </c>
      <c r="C308" s="1" t="s">
        <v>597</v>
      </c>
      <c r="D308" s="1" t="s">
        <v>23</v>
      </c>
      <c r="E308" s="1" t="s">
        <v>28</v>
      </c>
      <c r="F308" s="4">
        <v>1.8</v>
      </c>
      <c r="G308">
        <v>29</v>
      </c>
      <c r="H308">
        <v>73</v>
      </c>
      <c r="I308">
        <v>18.600000000000001</v>
      </c>
      <c r="J308">
        <v>3.8</v>
      </c>
      <c r="K308">
        <v>0.66800000000000004</v>
      </c>
      <c r="L308">
        <v>0</v>
      </c>
      <c r="M308">
        <v>0</v>
      </c>
      <c r="N308">
        <v>3.8</v>
      </c>
      <c r="O308">
        <v>0.67500000000000004</v>
      </c>
      <c r="P308">
        <v>0.66800000000000004</v>
      </c>
      <c r="Q308">
        <v>1.3</v>
      </c>
      <c r="R308">
        <v>0.69099999999999995</v>
      </c>
      <c r="S308">
        <v>5.3</v>
      </c>
      <c r="T308">
        <v>1.6</v>
      </c>
      <c r="U308">
        <v>0.5</v>
      </c>
      <c r="V308">
        <v>1</v>
      </c>
      <c r="W308">
        <v>0.4</v>
      </c>
      <c r="X308">
        <v>1.6</v>
      </c>
      <c r="Y308">
        <v>6</v>
      </c>
      <c r="Z308">
        <v>7</v>
      </c>
      <c r="AA308">
        <v>3.3</v>
      </c>
      <c r="AB308">
        <v>19.600000000000001</v>
      </c>
      <c r="AC308">
        <v>0.246</v>
      </c>
    </row>
    <row r="309" spans="1:29" x14ac:dyDescent="0.35">
      <c r="A309" s="3" t="s">
        <v>32</v>
      </c>
      <c r="B309" s="1" t="s">
        <v>2</v>
      </c>
      <c r="C309" s="1" t="s">
        <v>598</v>
      </c>
      <c r="D309" s="1" t="s">
        <v>33</v>
      </c>
      <c r="E309" s="1" t="s">
        <v>28</v>
      </c>
      <c r="F309" s="4">
        <v>0.2</v>
      </c>
      <c r="G309">
        <v>26</v>
      </c>
      <c r="H309">
        <v>56</v>
      </c>
      <c r="I309">
        <v>24.4</v>
      </c>
      <c r="J309">
        <v>9.3000000000000007</v>
      </c>
      <c r="K309">
        <v>0.39200000000000002</v>
      </c>
      <c r="L309">
        <v>5.5</v>
      </c>
      <c r="M309">
        <v>0.35899999999999999</v>
      </c>
      <c r="N309">
        <v>3.8</v>
      </c>
      <c r="O309">
        <v>0.439</v>
      </c>
      <c r="P309">
        <v>0.498</v>
      </c>
      <c r="Q309">
        <v>1.3</v>
      </c>
      <c r="R309">
        <v>0.81100000000000005</v>
      </c>
      <c r="S309">
        <v>2.4</v>
      </c>
      <c r="T309">
        <v>4.5999999999999996</v>
      </c>
      <c r="U309">
        <v>1.3</v>
      </c>
      <c r="V309">
        <v>0.3</v>
      </c>
      <c r="W309">
        <v>1.5</v>
      </c>
      <c r="X309">
        <v>1.6</v>
      </c>
      <c r="Y309">
        <v>10.3</v>
      </c>
      <c r="Z309">
        <v>3</v>
      </c>
      <c r="AA309">
        <v>-1.4</v>
      </c>
      <c r="AB309">
        <v>13.4</v>
      </c>
      <c r="AC309">
        <v>4.2999999999999997E-2</v>
      </c>
    </row>
    <row r="310" spans="1:29" x14ac:dyDescent="0.35">
      <c r="A310" s="3" t="s">
        <v>582</v>
      </c>
      <c r="B310" s="1" t="s">
        <v>26</v>
      </c>
      <c r="C310" s="1" t="s">
        <v>597</v>
      </c>
      <c r="D310" s="1" t="s">
        <v>23</v>
      </c>
      <c r="E310" s="1" t="s">
        <v>20</v>
      </c>
      <c r="F310" s="4">
        <v>-0.7</v>
      </c>
      <c r="G310">
        <v>23</v>
      </c>
      <c r="H310">
        <v>63</v>
      </c>
      <c r="I310">
        <v>25</v>
      </c>
      <c r="J310">
        <v>8.1999999999999993</v>
      </c>
      <c r="K310">
        <v>0.39700000000000002</v>
      </c>
      <c r="L310">
        <v>4.3</v>
      </c>
      <c r="M310">
        <v>0.35299999999999998</v>
      </c>
      <c r="N310">
        <v>3.9</v>
      </c>
      <c r="O310">
        <v>0.44700000000000001</v>
      </c>
      <c r="P310">
        <v>0.49</v>
      </c>
      <c r="Q310">
        <v>1.3</v>
      </c>
      <c r="R310">
        <v>0.72299999999999998</v>
      </c>
      <c r="S310">
        <v>3.8</v>
      </c>
      <c r="T310">
        <v>2</v>
      </c>
      <c r="U310">
        <v>0.8</v>
      </c>
      <c r="V310">
        <v>0.5</v>
      </c>
      <c r="W310">
        <v>1.4</v>
      </c>
      <c r="X310">
        <v>1.4</v>
      </c>
      <c r="Y310">
        <v>9</v>
      </c>
      <c r="Z310">
        <v>4</v>
      </c>
      <c r="AA310">
        <v>-3.7</v>
      </c>
      <c r="AB310">
        <v>9</v>
      </c>
      <c r="AC310">
        <v>1.2E-2</v>
      </c>
    </row>
    <row r="311" spans="1:29" x14ac:dyDescent="0.35">
      <c r="A311" s="3" t="s">
        <v>274</v>
      </c>
      <c r="B311" s="1" t="s">
        <v>2</v>
      </c>
      <c r="C311" s="1" t="s">
        <v>35</v>
      </c>
      <c r="D311" s="1" t="s">
        <v>23</v>
      </c>
      <c r="E311" s="1" t="s">
        <v>20</v>
      </c>
      <c r="F311" s="4">
        <v>-1</v>
      </c>
      <c r="G311">
        <v>20</v>
      </c>
      <c r="H311">
        <v>29</v>
      </c>
      <c r="I311">
        <v>22</v>
      </c>
      <c r="J311">
        <v>7.3</v>
      </c>
      <c r="K311">
        <v>0.38500000000000001</v>
      </c>
      <c r="L311">
        <v>3.1</v>
      </c>
      <c r="M311">
        <v>0.26700000000000002</v>
      </c>
      <c r="N311">
        <v>4.2</v>
      </c>
      <c r="O311">
        <v>0.47199999999999998</v>
      </c>
      <c r="P311">
        <v>0.441</v>
      </c>
      <c r="Q311">
        <v>1.3</v>
      </c>
      <c r="R311">
        <v>0.86499999999999999</v>
      </c>
      <c r="S311">
        <v>2</v>
      </c>
      <c r="T311">
        <v>2.6</v>
      </c>
      <c r="U311">
        <v>0.4</v>
      </c>
      <c r="V311">
        <v>0.1</v>
      </c>
      <c r="W311">
        <v>1.2</v>
      </c>
      <c r="X311">
        <v>1.7</v>
      </c>
      <c r="Y311">
        <v>7.6</v>
      </c>
      <c r="Z311">
        <v>0</v>
      </c>
      <c r="AA311">
        <v>-8.1</v>
      </c>
      <c r="AB311">
        <v>7.1</v>
      </c>
      <c r="AC311">
        <v>-3.2000000000000001E-2</v>
      </c>
    </row>
    <row r="312" spans="1:29" x14ac:dyDescent="0.35">
      <c r="A312" s="3" t="s">
        <v>379</v>
      </c>
      <c r="B312" s="1" t="s">
        <v>26</v>
      </c>
      <c r="C312" s="1" t="s">
        <v>597</v>
      </c>
      <c r="D312" s="1" t="s">
        <v>23</v>
      </c>
      <c r="E312" s="1" t="s">
        <v>50</v>
      </c>
      <c r="F312" s="4">
        <v>0</v>
      </c>
      <c r="G312">
        <v>23</v>
      </c>
      <c r="H312">
        <v>63</v>
      </c>
      <c r="I312">
        <v>20.399999999999999</v>
      </c>
      <c r="J312">
        <v>5.7</v>
      </c>
      <c r="K312">
        <v>0.438</v>
      </c>
      <c r="L312">
        <v>1.1000000000000001</v>
      </c>
      <c r="M312">
        <v>0.24299999999999999</v>
      </c>
      <c r="N312">
        <v>4.5</v>
      </c>
      <c r="O312">
        <v>0.48599999999999999</v>
      </c>
      <c r="P312">
        <v>0.46200000000000002</v>
      </c>
      <c r="Q312">
        <v>1.3</v>
      </c>
      <c r="R312">
        <v>0.73199999999999998</v>
      </c>
      <c r="S312">
        <v>4.9000000000000004</v>
      </c>
      <c r="T312">
        <v>2.2999999999999998</v>
      </c>
      <c r="U312">
        <v>0.9</v>
      </c>
      <c r="V312">
        <v>0.5</v>
      </c>
      <c r="W312">
        <v>1.1000000000000001</v>
      </c>
      <c r="X312">
        <v>2.2000000000000002</v>
      </c>
      <c r="Y312">
        <v>6.2</v>
      </c>
      <c r="Z312">
        <v>0</v>
      </c>
      <c r="AA312">
        <v>-1.9</v>
      </c>
      <c r="AB312">
        <v>11.9</v>
      </c>
      <c r="AC312">
        <v>7.0999999999999994E-2</v>
      </c>
    </row>
    <row r="313" spans="1:29" x14ac:dyDescent="0.35">
      <c r="A313" s="3" t="s">
        <v>175</v>
      </c>
      <c r="B313" s="1" t="s">
        <v>2</v>
      </c>
      <c r="C313" s="1" t="s">
        <v>597</v>
      </c>
      <c r="D313" s="1" t="s">
        <v>23</v>
      </c>
      <c r="E313" s="1" t="s">
        <v>28</v>
      </c>
      <c r="F313" s="4">
        <v>-0.3</v>
      </c>
      <c r="G313">
        <v>25</v>
      </c>
      <c r="H313">
        <v>7</v>
      </c>
      <c r="I313">
        <v>21.6</v>
      </c>
      <c r="J313">
        <v>7.4</v>
      </c>
      <c r="K313">
        <v>0.32700000000000001</v>
      </c>
      <c r="L313">
        <v>6.3</v>
      </c>
      <c r="M313">
        <v>0.29499999999999998</v>
      </c>
      <c r="N313">
        <v>1.1000000000000001</v>
      </c>
      <c r="O313">
        <v>0.5</v>
      </c>
      <c r="P313">
        <v>0.45200000000000001</v>
      </c>
      <c r="Q313">
        <v>1.4</v>
      </c>
      <c r="R313">
        <v>0.8</v>
      </c>
      <c r="S313">
        <v>1.3</v>
      </c>
      <c r="T313">
        <v>1.7</v>
      </c>
      <c r="U313">
        <v>0.4</v>
      </c>
      <c r="V313">
        <v>0.1</v>
      </c>
      <c r="W313">
        <v>1.1000000000000001</v>
      </c>
      <c r="X313">
        <v>2.4</v>
      </c>
      <c r="Y313">
        <v>7.9</v>
      </c>
      <c r="Z313">
        <v>0</v>
      </c>
      <c r="AA313">
        <v>-8.8000000000000007</v>
      </c>
      <c r="AB313">
        <v>5.6</v>
      </c>
      <c r="AC313">
        <v>-2.1000000000000001E-2</v>
      </c>
    </row>
    <row r="314" spans="1:29" x14ac:dyDescent="0.35">
      <c r="A314" s="3" t="s">
        <v>95</v>
      </c>
      <c r="B314" s="1" t="s">
        <v>26</v>
      </c>
      <c r="C314" s="1" t="s">
        <v>598</v>
      </c>
      <c r="D314" s="1" t="s">
        <v>23</v>
      </c>
      <c r="E314" s="1" t="s">
        <v>28</v>
      </c>
      <c r="F314" s="4">
        <v>-0.2</v>
      </c>
      <c r="G314">
        <v>25</v>
      </c>
      <c r="H314">
        <v>37</v>
      </c>
      <c r="I314">
        <v>13.6</v>
      </c>
      <c r="J314">
        <v>4.3</v>
      </c>
      <c r="K314">
        <v>0.43</v>
      </c>
      <c r="L314">
        <v>2.2000000000000002</v>
      </c>
      <c r="M314">
        <v>0.32500000000000001</v>
      </c>
      <c r="N314">
        <v>2.1</v>
      </c>
      <c r="O314">
        <v>0.53800000000000003</v>
      </c>
      <c r="P314">
        <v>0.51300000000000001</v>
      </c>
      <c r="Q314">
        <v>1.4</v>
      </c>
      <c r="R314">
        <v>0.68</v>
      </c>
      <c r="S314">
        <v>2.2999999999999998</v>
      </c>
      <c r="T314">
        <v>0.6</v>
      </c>
      <c r="U314">
        <v>0.6</v>
      </c>
      <c r="V314">
        <v>0.2</v>
      </c>
      <c r="W314">
        <v>0.6</v>
      </c>
      <c r="X314">
        <v>1.2</v>
      </c>
      <c r="Y314">
        <v>5.3</v>
      </c>
      <c r="Z314">
        <v>2</v>
      </c>
      <c r="AA314">
        <v>-3.4</v>
      </c>
      <c r="AB314">
        <v>11.4</v>
      </c>
      <c r="AC314">
        <v>3.5999999999999997E-2</v>
      </c>
    </row>
    <row r="315" spans="1:29" x14ac:dyDescent="0.35">
      <c r="A315" s="3" t="s">
        <v>195</v>
      </c>
      <c r="B315" s="1" t="s">
        <v>2</v>
      </c>
      <c r="C315" s="1" t="s">
        <v>597</v>
      </c>
      <c r="D315" s="1" t="s">
        <v>19</v>
      </c>
      <c r="E315" s="1" t="s">
        <v>20</v>
      </c>
      <c r="F315" s="4">
        <v>-0.9</v>
      </c>
      <c r="G315">
        <v>21</v>
      </c>
      <c r="H315">
        <v>68</v>
      </c>
      <c r="I315">
        <v>26.5</v>
      </c>
      <c r="J315">
        <v>8</v>
      </c>
      <c r="K315">
        <v>0.372</v>
      </c>
      <c r="L315">
        <v>5.2</v>
      </c>
      <c r="M315">
        <v>0.32200000000000001</v>
      </c>
      <c r="N315">
        <v>2.8</v>
      </c>
      <c r="O315">
        <v>0.46400000000000002</v>
      </c>
      <c r="P315">
        <v>0.47599999999999998</v>
      </c>
      <c r="Q315">
        <v>1.4</v>
      </c>
      <c r="R315">
        <v>0.753</v>
      </c>
      <c r="S315">
        <v>4.2</v>
      </c>
      <c r="T315">
        <v>2.5</v>
      </c>
      <c r="U315">
        <v>1</v>
      </c>
      <c r="V315">
        <v>0.7</v>
      </c>
      <c r="W315">
        <v>1.4</v>
      </c>
      <c r="X315">
        <v>3</v>
      </c>
      <c r="Y315">
        <v>8.6999999999999993</v>
      </c>
      <c r="Z315">
        <v>0</v>
      </c>
      <c r="AA315">
        <v>-4.0999999999999996</v>
      </c>
      <c r="AB315">
        <v>8.8000000000000007</v>
      </c>
      <c r="AC315">
        <v>3.0000000000000001E-3</v>
      </c>
    </row>
    <row r="316" spans="1:29" x14ac:dyDescent="0.35">
      <c r="A316" s="3" t="s">
        <v>263</v>
      </c>
      <c r="B316" s="1" t="s">
        <v>2</v>
      </c>
      <c r="C316" s="1" t="s">
        <v>597</v>
      </c>
      <c r="D316" s="1" t="s">
        <v>23</v>
      </c>
      <c r="E316" s="1" t="s">
        <v>28</v>
      </c>
      <c r="F316" s="4">
        <v>0.2</v>
      </c>
      <c r="G316">
        <v>26</v>
      </c>
      <c r="H316">
        <v>28</v>
      </c>
      <c r="I316">
        <v>13.6</v>
      </c>
      <c r="J316">
        <v>4.4000000000000004</v>
      </c>
      <c r="K316">
        <v>0.47499999999999998</v>
      </c>
      <c r="L316">
        <v>1.4</v>
      </c>
      <c r="M316">
        <v>0.375</v>
      </c>
      <c r="N316">
        <v>2.9</v>
      </c>
      <c r="O316">
        <v>0.52400000000000002</v>
      </c>
      <c r="P316">
        <v>0.53700000000000003</v>
      </c>
      <c r="Q316">
        <v>1.4</v>
      </c>
      <c r="R316">
        <v>0.77500000000000002</v>
      </c>
      <c r="S316">
        <v>1.6</v>
      </c>
      <c r="T316">
        <v>1.9</v>
      </c>
      <c r="U316">
        <v>0.8</v>
      </c>
      <c r="V316">
        <v>0.2</v>
      </c>
      <c r="W316">
        <v>0.6</v>
      </c>
      <c r="X316">
        <v>1.5</v>
      </c>
      <c r="Y316">
        <v>5.8</v>
      </c>
      <c r="Z316">
        <v>2</v>
      </c>
      <c r="AA316">
        <v>-0.3</v>
      </c>
      <c r="AB316">
        <v>14.7</v>
      </c>
      <c r="AC316">
        <v>0.126</v>
      </c>
    </row>
    <row r="317" spans="1:29" x14ac:dyDescent="0.35">
      <c r="A317" s="3" t="s">
        <v>495</v>
      </c>
      <c r="B317" s="1" t="s">
        <v>18</v>
      </c>
      <c r="C317" s="1" t="s">
        <v>597</v>
      </c>
      <c r="D317" s="1" t="s">
        <v>23</v>
      </c>
      <c r="E317" s="1" t="s">
        <v>20</v>
      </c>
      <c r="F317" s="4">
        <v>0.7</v>
      </c>
      <c r="G317">
        <v>24</v>
      </c>
      <c r="H317">
        <v>64</v>
      </c>
      <c r="I317">
        <v>15</v>
      </c>
      <c r="J317">
        <v>6.4</v>
      </c>
      <c r="K317">
        <v>0.46600000000000003</v>
      </c>
      <c r="L317">
        <v>3.5</v>
      </c>
      <c r="M317">
        <v>0.32400000000000001</v>
      </c>
      <c r="N317">
        <v>2.9</v>
      </c>
      <c r="O317">
        <v>0.63400000000000001</v>
      </c>
      <c r="P317">
        <v>0.55400000000000005</v>
      </c>
      <c r="Q317">
        <v>1.4</v>
      </c>
      <c r="R317">
        <v>0.80900000000000005</v>
      </c>
      <c r="S317">
        <v>5.6</v>
      </c>
      <c r="T317">
        <v>1</v>
      </c>
      <c r="U317">
        <v>0.3</v>
      </c>
      <c r="V317">
        <v>0.7</v>
      </c>
      <c r="W317">
        <v>0.6</v>
      </c>
      <c r="X317">
        <v>1.5</v>
      </c>
      <c r="Y317">
        <v>8.1999999999999993</v>
      </c>
      <c r="Z317">
        <v>4</v>
      </c>
      <c r="AA317">
        <v>0.9</v>
      </c>
      <c r="AB317">
        <v>18.7</v>
      </c>
      <c r="AC317">
        <v>0.14599999999999999</v>
      </c>
    </row>
    <row r="318" spans="1:29" x14ac:dyDescent="0.35">
      <c r="A318" s="3" t="s">
        <v>29</v>
      </c>
      <c r="B318" s="1" t="s">
        <v>2</v>
      </c>
      <c r="C318" s="1" t="s">
        <v>598</v>
      </c>
      <c r="D318" s="1" t="s">
        <v>19</v>
      </c>
      <c r="E318" s="1" t="s">
        <v>20</v>
      </c>
      <c r="F318" s="4">
        <v>0.8</v>
      </c>
      <c r="G318">
        <v>26</v>
      </c>
      <c r="H318">
        <v>82</v>
      </c>
      <c r="I318">
        <v>25.3</v>
      </c>
      <c r="J318">
        <v>7.5</v>
      </c>
      <c r="K318">
        <v>0.438</v>
      </c>
      <c r="L318">
        <v>4.5</v>
      </c>
      <c r="M318">
        <v>0.38100000000000001</v>
      </c>
      <c r="N318">
        <v>3</v>
      </c>
      <c r="O318">
        <v>0.52400000000000002</v>
      </c>
      <c r="P318">
        <v>0.55300000000000005</v>
      </c>
      <c r="Q318">
        <v>1.4</v>
      </c>
      <c r="R318">
        <v>0.78</v>
      </c>
      <c r="S318">
        <v>3.2</v>
      </c>
      <c r="T318">
        <v>2.7</v>
      </c>
      <c r="U318">
        <v>0.6</v>
      </c>
      <c r="V318">
        <v>0.4</v>
      </c>
      <c r="W318">
        <v>1.2</v>
      </c>
      <c r="X318">
        <v>1.7</v>
      </c>
      <c r="Y318">
        <v>9.4</v>
      </c>
      <c r="Z318">
        <v>5</v>
      </c>
      <c r="AA318">
        <v>-0.4</v>
      </c>
      <c r="AB318">
        <v>11.6</v>
      </c>
      <c r="AC318">
        <v>9.9000000000000005E-2</v>
      </c>
    </row>
    <row r="319" spans="1:29" x14ac:dyDescent="0.35">
      <c r="A319" s="3" t="s">
        <v>506</v>
      </c>
      <c r="B319" s="1" t="s">
        <v>2</v>
      </c>
      <c r="C319" s="1" t="s">
        <v>598</v>
      </c>
      <c r="D319" s="1" t="s">
        <v>33</v>
      </c>
      <c r="E319" s="1" t="s">
        <v>20</v>
      </c>
      <c r="F319" s="4">
        <v>-0.9</v>
      </c>
      <c r="G319">
        <v>22</v>
      </c>
      <c r="H319">
        <v>65</v>
      </c>
      <c r="I319">
        <v>21.3</v>
      </c>
      <c r="J319">
        <v>7.5</v>
      </c>
      <c r="K319">
        <v>0.432</v>
      </c>
      <c r="L319">
        <v>4.0999999999999996</v>
      </c>
      <c r="M319">
        <v>0.34899999999999998</v>
      </c>
      <c r="N319">
        <v>3.3</v>
      </c>
      <c r="O319">
        <v>0.53500000000000003</v>
      </c>
      <c r="P319">
        <v>0.52900000000000003</v>
      </c>
      <c r="Q319">
        <v>1.4</v>
      </c>
      <c r="R319">
        <v>0.82199999999999995</v>
      </c>
      <c r="S319">
        <v>2.2000000000000002</v>
      </c>
      <c r="T319">
        <v>1.3</v>
      </c>
      <c r="U319">
        <v>0.6</v>
      </c>
      <c r="V319">
        <v>0.2</v>
      </c>
      <c r="W319">
        <v>0.9</v>
      </c>
      <c r="X319">
        <v>2.2999999999999998</v>
      </c>
      <c r="Y319">
        <v>9</v>
      </c>
      <c r="Z319">
        <v>1</v>
      </c>
      <c r="AA319">
        <v>-4.5</v>
      </c>
      <c r="AB319">
        <v>9.5</v>
      </c>
      <c r="AC319">
        <v>4.2999999999999997E-2</v>
      </c>
    </row>
    <row r="320" spans="1:29" x14ac:dyDescent="0.35">
      <c r="A320" s="3" t="s">
        <v>242</v>
      </c>
      <c r="B320" s="1" t="s">
        <v>2</v>
      </c>
      <c r="C320" s="1" t="s">
        <v>35</v>
      </c>
      <c r="D320" s="1" t="s">
        <v>23</v>
      </c>
      <c r="E320" s="1" t="s">
        <v>20</v>
      </c>
      <c r="F320" s="4">
        <v>-0.4</v>
      </c>
      <c r="G320">
        <v>21</v>
      </c>
      <c r="H320">
        <v>15</v>
      </c>
      <c r="I320">
        <v>21</v>
      </c>
      <c r="J320">
        <v>6.5</v>
      </c>
      <c r="K320">
        <v>0.378</v>
      </c>
      <c r="L320">
        <v>3.1</v>
      </c>
      <c r="M320">
        <v>0.30399999999999999</v>
      </c>
      <c r="N320">
        <v>3.5</v>
      </c>
      <c r="O320">
        <v>0.442</v>
      </c>
      <c r="P320">
        <v>0.44900000000000001</v>
      </c>
      <c r="Q320">
        <v>1.4</v>
      </c>
      <c r="R320">
        <v>0.85699999999999998</v>
      </c>
      <c r="S320">
        <v>1.8</v>
      </c>
      <c r="T320">
        <v>2.5</v>
      </c>
      <c r="U320">
        <v>0.3</v>
      </c>
      <c r="V320">
        <v>0.5</v>
      </c>
      <c r="W320">
        <v>1.2</v>
      </c>
      <c r="X320">
        <v>1.7</v>
      </c>
      <c r="Y320">
        <v>7.1</v>
      </c>
      <c r="Z320">
        <v>1</v>
      </c>
      <c r="AA320">
        <v>-6.9</v>
      </c>
      <c r="AB320">
        <v>7.9</v>
      </c>
      <c r="AC320">
        <v>-1.4999999999999999E-2</v>
      </c>
    </row>
    <row r="321" spans="1:29" x14ac:dyDescent="0.35">
      <c r="A321" s="3" t="s">
        <v>94</v>
      </c>
      <c r="B321" s="1" t="s">
        <v>26</v>
      </c>
      <c r="C321" s="1" t="s">
        <v>597</v>
      </c>
      <c r="D321" s="1" t="s">
        <v>33</v>
      </c>
      <c r="E321" s="1" t="s">
        <v>20</v>
      </c>
      <c r="F321" s="4">
        <v>-0.2</v>
      </c>
      <c r="G321">
        <v>20</v>
      </c>
      <c r="H321">
        <v>80</v>
      </c>
      <c r="I321">
        <v>18.899999999999999</v>
      </c>
      <c r="J321">
        <v>6.9</v>
      </c>
      <c r="K321">
        <v>0.45400000000000001</v>
      </c>
      <c r="L321">
        <v>3.3</v>
      </c>
      <c r="M321">
        <v>0.36099999999999999</v>
      </c>
      <c r="N321">
        <v>3.6</v>
      </c>
      <c r="O321">
        <v>0.54</v>
      </c>
      <c r="P321">
        <v>0.54100000000000004</v>
      </c>
      <c r="Q321">
        <v>1.4</v>
      </c>
      <c r="R321">
        <v>0.81499999999999995</v>
      </c>
      <c r="S321">
        <v>3.5</v>
      </c>
      <c r="T321">
        <v>1</v>
      </c>
      <c r="U321">
        <v>0.4</v>
      </c>
      <c r="V321">
        <v>0.9</v>
      </c>
      <c r="W321">
        <v>0.9</v>
      </c>
      <c r="X321">
        <v>1.6</v>
      </c>
      <c r="Y321">
        <v>8.6</v>
      </c>
      <c r="Z321">
        <v>0</v>
      </c>
      <c r="AA321">
        <v>-2.5</v>
      </c>
      <c r="AB321">
        <v>12.5</v>
      </c>
      <c r="AC321">
        <v>0.06</v>
      </c>
    </row>
    <row r="322" spans="1:29" x14ac:dyDescent="0.35">
      <c r="A322" s="3" t="s">
        <v>260</v>
      </c>
      <c r="B322" s="1" t="s">
        <v>26</v>
      </c>
      <c r="C322" s="1" t="s">
        <v>598</v>
      </c>
      <c r="D322" s="1" t="s">
        <v>23</v>
      </c>
      <c r="E322" s="1" t="s">
        <v>50</v>
      </c>
      <c r="F322" s="4">
        <v>-0.4</v>
      </c>
      <c r="G322">
        <v>20</v>
      </c>
      <c r="H322">
        <v>29</v>
      </c>
      <c r="I322">
        <v>15.8</v>
      </c>
      <c r="J322">
        <v>6.9</v>
      </c>
      <c r="K322">
        <v>0.372</v>
      </c>
      <c r="L322">
        <v>3.3</v>
      </c>
      <c r="M322">
        <v>0.33700000000000002</v>
      </c>
      <c r="N322">
        <v>3.6</v>
      </c>
      <c r="O322">
        <v>0.40400000000000003</v>
      </c>
      <c r="P322">
        <v>0.45200000000000001</v>
      </c>
      <c r="Q322">
        <v>1.4</v>
      </c>
      <c r="R322">
        <v>0.72499999999999998</v>
      </c>
      <c r="S322">
        <v>3.2</v>
      </c>
      <c r="T322">
        <v>1</v>
      </c>
      <c r="U322">
        <v>0.4</v>
      </c>
      <c r="V322">
        <v>0.2</v>
      </c>
      <c r="W322">
        <v>1.1000000000000001</v>
      </c>
      <c r="X322">
        <v>1</v>
      </c>
      <c r="Y322">
        <v>7.2</v>
      </c>
      <c r="Z322">
        <v>1</v>
      </c>
      <c r="AA322">
        <v>-5.3</v>
      </c>
      <c r="AB322">
        <v>9.3000000000000007</v>
      </c>
      <c r="AC322">
        <v>8.9999999999999993E-3</v>
      </c>
    </row>
    <row r="323" spans="1:29" x14ac:dyDescent="0.35">
      <c r="A323" s="3" t="s">
        <v>527</v>
      </c>
      <c r="B323" s="1" t="s">
        <v>26</v>
      </c>
      <c r="C323" s="1" t="s">
        <v>597</v>
      </c>
      <c r="D323" s="1" t="s">
        <v>23</v>
      </c>
      <c r="E323" s="1" t="s">
        <v>20</v>
      </c>
      <c r="F323" s="4">
        <v>1.4</v>
      </c>
      <c r="G323">
        <v>26</v>
      </c>
      <c r="H323">
        <v>79</v>
      </c>
      <c r="I323">
        <v>19.600000000000001</v>
      </c>
      <c r="J323">
        <v>7.6</v>
      </c>
      <c r="K323">
        <v>0.52900000000000003</v>
      </c>
      <c r="L323">
        <v>3.8</v>
      </c>
      <c r="M323">
        <v>0.36499999999999999</v>
      </c>
      <c r="N323">
        <v>3.8</v>
      </c>
      <c r="O323">
        <v>0.69499999999999995</v>
      </c>
      <c r="P323">
        <v>0.621</v>
      </c>
      <c r="Q323">
        <v>1.4</v>
      </c>
      <c r="R323">
        <v>0.78100000000000003</v>
      </c>
      <c r="S323">
        <v>4</v>
      </c>
      <c r="T323">
        <v>1.6</v>
      </c>
      <c r="U323">
        <v>0.6</v>
      </c>
      <c r="V323">
        <v>0.4</v>
      </c>
      <c r="W323">
        <v>0.9</v>
      </c>
      <c r="X323">
        <v>1.4</v>
      </c>
      <c r="Y323">
        <v>10.5</v>
      </c>
      <c r="Z323">
        <v>4</v>
      </c>
      <c r="AA323">
        <v>1.7</v>
      </c>
      <c r="AB323">
        <v>17.399999999999999</v>
      </c>
      <c r="AC323">
        <v>0.13500000000000001</v>
      </c>
    </row>
    <row r="324" spans="1:29" x14ac:dyDescent="0.35">
      <c r="A324" s="3" t="s">
        <v>301</v>
      </c>
      <c r="B324" s="1" t="s">
        <v>26</v>
      </c>
      <c r="C324" s="1" t="s">
        <v>597</v>
      </c>
      <c r="D324" s="1" t="s">
        <v>23</v>
      </c>
      <c r="E324" s="1" t="s">
        <v>20</v>
      </c>
      <c r="F324" s="4">
        <v>-0.7</v>
      </c>
      <c r="G324">
        <v>25</v>
      </c>
      <c r="H324">
        <v>61</v>
      </c>
      <c r="I324">
        <v>26.3</v>
      </c>
      <c r="J324">
        <v>9.3000000000000007</v>
      </c>
      <c r="K324">
        <v>0.45100000000000001</v>
      </c>
      <c r="L324">
        <v>5.4</v>
      </c>
      <c r="M324">
        <v>0.36399999999999999</v>
      </c>
      <c r="N324">
        <v>3.9</v>
      </c>
      <c r="O324">
        <v>0.57399999999999995</v>
      </c>
      <c r="P324">
        <v>0.55800000000000005</v>
      </c>
      <c r="Q324">
        <v>1.4</v>
      </c>
      <c r="R324">
        <v>0.85199999999999998</v>
      </c>
      <c r="S324">
        <v>3</v>
      </c>
      <c r="T324">
        <v>1.7</v>
      </c>
      <c r="U324">
        <v>0.4</v>
      </c>
      <c r="V324">
        <v>0.2</v>
      </c>
      <c r="W324">
        <v>1</v>
      </c>
      <c r="X324">
        <v>1.6</v>
      </c>
      <c r="Y324">
        <v>11.6</v>
      </c>
      <c r="Z324">
        <v>3</v>
      </c>
      <c r="AA324">
        <v>-3.7</v>
      </c>
      <c r="AB324">
        <v>11</v>
      </c>
      <c r="AC324">
        <v>3.2000000000000001E-2</v>
      </c>
    </row>
    <row r="325" spans="1:29" x14ac:dyDescent="0.35">
      <c r="A325" s="3" t="s">
        <v>570</v>
      </c>
      <c r="B325" s="1" t="s">
        <v>26</v>
      </c>
      <c r="C325" s="1" t="s">
        <v>598</v>
      </c>
      <c r="D325" s="1" t="s">
        <v>23</v>
      </c>
      <c r="E325" s="1" t="s">
        <v>20</v>
      </c>
      <c r="F325" s="4">
        <v>0.5</v>
      </c>
      <c r="G325">
        <v>20</v>
      </c>
      <c r="H325">
        <v>51</v>
      </c>
      <c r="I325">
        <v>16.2</v>
      </c>
      <c r="J325">
        <v>7.9</v>
      </c>
      <c r="K325">
        <v>0.44400000000000001</v>
      </c>
      <c r="L325">
        <v>3.6</v>
      </c>
      <c r="M325">
        <v>0.35499999999999998</v>
      </c>
      <c r="N325">
        <v>4.3</v>
      </c>
      <c r="O325">
        <v>0.51800000000000002</v>
      </c>
      <c r="P325">
        <v>0.52500000000000002</v>
      </c>
      <c r="Q325">
        <v>1.4</v>
      </c>
      <c r="R325">
        <v>0.75</v>
      </c>
      <c r="S325">
        <v>3</v>
      </c>
      <c r="T325">
        <v>1</v>
      </c>
      <c r="U325">
        <v>0.6</v>
      </c>
      <c r="V325">
        <v>0.3</v>
      </c>
      <c r="W325">
        <v>0.9</v>
      </c>
      <c r="X325">
        <v>0.9</v>
      </c>
      <c r="Y325">
        <v>9.4</v>
      </c>
      <c r="Z325">
        <v>1</v>
      </c>
      <c r="AA325">
        <v>0.3</v>
      </c>
      <c r="AB325">
        <v>15.5</v>
      </c>
      <c r="AC325">
        <v>0.106</v>
      </c>
    </row>
    <row r="326" spans="1:29" x14ac:dyDescent="0.35">
      <c r="A326" s="3" t="s">
        <v>489</v>
      </c>
      <c r="B326" s="1" t="s">
        <v>2</v>
      </c>
      <c r="C326" s="1" t="s">
        <v>597</v>
      </c>
      <c r="D326" s="1" t="s">
        <v>23</v>
      </c>
      <c r="E326" s="1" t="s">
        <v>50</v>
      </c>
      <c r="F326" s="4">
        <v>-0.7</v>
      </c>
      <c r="G326">
        <v>22</v>
      </c>
      <c r="H326">
        <v>36</v>
      </c>
      <c r="I326">
        <v>23.4</v>
      </c>
      <c r="J326">
        <v>8.4</v>
      </c>
      <c r="K326">
        <v>0.34599999999999997</v>
      </c>
      <c r="L326">
        <v>3.6</v>
      </c>
      <c r="M326">
        <v>0.254</v>
      </c>
      <c r="N326">
        <v>4.8</v>
      </c>
      <c r="O326">
        <v>0.41499999999999998</v>
      </c>
      <c r="P326">
        <v>0.4</v>
      </c>
      <c r="Q326">
        <v>1.4</v>
      </c>
      <c r="R326">
        <v>0.82</v>
      </c>
      <c r="S326">
        <v>3</v>
      </c>
      <c r="T326">
        <v>3.1</v>
      </c>
      <c r="U326">
        <v>0.9</v>
      </c>
      <c r="V326">
        <v>0.2</v>
      </c>
      <c r="W326">
        <v>1.6</v>
      </c>
      <c r="X326">
        <v>1.6</v>
      </c>
      <c r="Y326">
        <v>7.8</v>
      </c>
      <c r="Z326">
        <v>0</v>
      </c>
      <c r="AA326">
        <v>-5.4</v>
      </c>
      <c r="AB326">
        <v>8.3000000000000007</v>
      </c>
      <c r="AC326">
        <v>-2.5000000000000001E-2</v>
      </c>
    </row>
    <row r="327" spans="1:29" x14ac:dyDescent="0.35">
      <c r="A327" s="3" t="s">
        <v>25</v>
      </c>
      <c r="B327" s="1" t="s">
        <v>26</v>
      </c>
      <c r="C327" s="1" t="s">
        <v>598</v>
      </c>
      <c r="D327" s="1" t="s">
        <v>19</v>
      </c>
      <c r="E327" s="1" t="s">
        <v>20</v>
      </c>
      <c r="F327" s="4">
        <v>2.2000000000000002</v>
      </c>
      <c r="G327">
        <v>24</v>
      </c>
      <c r="H327">
        <v>65</v>
      </c>
      <c r="I327">
        <v>25.5</v>
      </c>
      <c r="J327">
        <v>10</v>
      </c>
      <c r="K327">
        <v>0.48299999999999998</v>
      </c>
      <c r="L327">
        <v>5</v>
      </c>
      <c r="M327">
        <v>0.36799999999999999</v>
      </c>
      <c r="N327">
        <v>5</v>
      </c>
      <c r="O327">
        <v>0.59899999999999998</v>
      </c>
      <c r="P327">
        <v>0.57599999999999996</v>
      </c>
      <c r="Q327">
        <v>1.4</v>
      </c>
      <c r="R327">
        <v>0.69099999999999995</v>
      </c>
      <c r="S327">
        <v>6.4</v>
      </c>
      <c r="T327">
        <v>2.9</v>
      </c>
      <c r="U327">
        <v>0.8</v>
      </c>
      <c r="V327">
        <v>0.4</v>
      </c>
      <c r="W327">
        <v>1.1000000000000001</v>
      </c>
      <c r="X327">
        <v>1.2</v>
      </c>
      <c r="Y327">
        <v>12.5</v>
      </c>
      <c r="Z327">
        <v>3</v>
      </c>
      <c r="AA327">
        <v>3.2</v>
      </c>
      <c r="AB327">
        <v>16.8</v>
      </c>
      <c r="AC327">
        <v>0.14399999999999999</v>
      </c>
    </row>
    <row r="328" spans="1:29" x14ac:dyDescent="0.35">
      <c r="A328" s="3" t="s">
        <v>117</v>
      </c>
      <c r="B328" s="1" t="s">
        <v>26</v>
      </c>
      <c r="C328" s="1" t="s">
        <v>598</v>
      </c>
      <c r="D328" s="1" t="s">
        <v>19</v>
      </c>
      <c r="E328" s="1" t="s">
        <v>20</v>
      </c>
      <c r="F328" s="4">
        <v>0.9</v>
      </c>
      <c r="G328">
        <v>28</v>
      </c>
      <c r="H328">
        <v>64</v>
      </c>
      <c r="I328">
        <v>18.899999999999999</v>
      </c>
      <c r="J328">
        <v>5.9</v>
      </c>
      <c r="K328">
        <v>0.621</v>
      </c>
      <c r="L328">
        <v>0.3</v>
      </c>
      <c r="M328">
        <v>5.8999999999999997E-2</v>
      </c>
      <c r="N328">
        <v>5.7</v>
      </c>
      <c r="O328">
        <v>0.64700000000000002</v>
      </c>
      <c r="P328">
        <v>0.622</v>
      </c>
      <c r="Q328">
        <v>1.4</v>
      </c>
      <c r="R328">
        <v>0.70099999999999996</v>
      </c>
      <c r="S328">
        <v>5.0999999999999996</v>
      </c>
      <c r="T328">
        <v>1</v>
      </c>
      <c r="U328">
        <v>0.8</v>
      </c>
      <c r="V328">
        <v>0.6</v>
      </c>
      <c r="W328">
        <v>0.6</v>
      </c>
      <c r="X328">
        <v>2.2999999999999998</v>
      </c>
      <c r="Y328">
        <v>8.3000000000000007</v>
      </c>
      <c r="Z328">
        <v>5</v>
      </c>
      <c r="AA328">
        <v>0.8</v>
      </c>
      <c r="AB328">
        <v>17.600000000000001</v>
      </c>
      <c r="AC328">
        <v>0.17399999999999999</v>
      </c>
    </row>
    <row r="329" spans="1:29" x14ac:dyDescent="0.35">
      <c r="A329" s="3" t="s">
        <v>402</v>
      </c>
      <c r="B329" s="1" t="s">
        <v>2</v>
      </c>
      <c r="C329" s="1" t="s">
        <v>598</v>
      </c>
      <c r="D329" s="1" t="s">
        <v>23</v>
      </c>
      <c r="E329" s="1" t="s">
        <v>50</v>
      </c>
      <c r="F329" s="4">
        <v>-0.2</v>
      </c>
      <c r="G329">
        <v>25</v>
      </c>
      <c r="H329">
        <v>8</v>
      </c>
      <c r="I329">
        <v>21</v>
      </c>
      <c r="J329">
        <v>9.1</v>
      </c>
      <c r="K329">
        <v>0.35599999999999998</v>
      </c>
      <c r="L329">
        <v>3.4</v>
      </c>
      <c r="M329">
        <v>0.29599999999999999</v>
      </c>
      <c r="N329">
        <v>5.8</v>
      </c>
      <c r="O329">
        <v>0.39100000000000001</v>
      </c>
      <c r="P329">
        <v>0.41099999999999998</v>
      </c>
      <c r="Q329">
        <v>1.4</v>
      </c>
      <c r="R329">
        <v>0.63600000000000001</v>
      </c>
      <c r="S329">
        <v>2.5</v>
      </c>
      <c r="T329">
        <v>2.2999999999999998</v>
      </c>
      <c r="U329">
        <v>0.1</v>
      </c>
      <c r="V329">
        <v>0.5</v>
      </c>
      <c r="W329">
        <v>1</v>
      </c>
      <c r="X329">
        <v>1.1000000000000001</v>
      </c>
      <c r="Y329">
        <v>8.4</v>
      </c>
      <c r="Z329">
        <v>5</v>
      </c>
      <c r="AA329">
        <v>-5.7</v>
      </c>
      <c r="AB329">
        <v>7.5</v>
      </c>
      <c r="AC329">
        <v>-6.9000000000000006E-2</v>
      </c>
    </row>
    <row r="330" spans="1:29" x14ac:dyDescent="0.35">
      <c r="A330" s="3" t="s">
        <v>78</v>
      </c>
      <c r="B330" s="1" t="s">
        <v>26</v>
      </c>
      <c r="C330" s="1" t="s">
        <v>597</v>
      </c>
      <c r="D330" s="1" t="s">
        <v>23</v>
      </c>
      <c r="E330" s="1" t="s">
        <v>20</v>
      </c>
      <c r="F330" s="4">
        <v>1.2</v>
      </c>
      <c r="G330">
        <v>28</v>
      </c>
      <c r="H330">
        <v>82</v>
      </c>
      <c r="I330">
        <v>37</v>
      </c>
      <c r="J330">
        <v>14.4</v>
      </c>
      <c r="K330">
        <v>0.5</v>
      </c>
      <c r="L330">
        <v>5.6</v>
      </c>
      <c r="M330">
        <v>0.35399999999999998</v>
      </c>
      <c r="N330">
        <v>8.8000000000000007</v>
      </c>
      <c r="O330">
        <v>0.59399999999999997</v>
      </c>
      <c r="P330">
        <v>0.56999999999999995</v>
      </c>
      <c r="Q330">
        <v>1.4</v>
      </c>
      <c r="R330">
        <v>0.81399999999999995</v>
      </c>
      <c r="S330">
        <v>3.2</v>
      </c>
      <c r="T330">
        <v>3.7</v>
      </c>
      <c r="U330">
        <v>0.9</v>
      </c>
      <c r="V330">
        <v>0.5</v>
      </c>
      <c r="W330">
        <v>1.6</v>
      </c>
      <c r="X330">
        <v>1.5</v>
      </c>
      <c r="Y330">
        <v>17.600000000000001</v>
      </c>
      <c r="Z330">
        <v>6</v>
      </c>
      <c r="AA330">
        <v>-0.5</v>
      </c>
      <c r="AB330">
        <v>14</v>
      </c>
      <c r="AC330">
        <v>0.09</v>
      </c>
    </row>
    <row r="331" spans="1:29" x14ac:dyDescent="0.35">
      <c r="A331" s="3" t="s">
        <v>184</v>
      </c>
      <c r="B331" s="1" t="s">
        <v>2</v>
      </c>
      <c r="C331" s="1" t="s">
        <v>597</v>
      </c>
      <c r="D331" s="1" t="s">
        <v>23</v>
      </c>
      <c r="E331" s="1" t="s">
        <v>20</v>
      </c>
      <c r="F331" s="4">
        <v>0</v>
      </c>
      <c r="G331">
        <v>26</v>
      </c>
      <c r="H331">
        <v>4</v>
      </c>
      <c r="I331">
        <v>11</v>
      </c>
      <c r="J331">
        <v>3.3</v>
      </c>
      <c r="K331">
        <v>0.38500000000000001</v>
      </c>
      <c r="L331">
        <v>1</v>
      </c>
      <c r="M331">
        <v>0.25</v>
      </c>
      <c r="N331">
        <v>2.2999999999999998</v>
      </c>
      <c r="O331">
        <v>0.44400000000000001</v>
      </c>
      <c r="P331">
        <v>0.42299999999999999</v>
      </c>
      <c r="Q331">
        <v>1.5</v>
      </c>
      <c r="R331">
        <v>0.83299999999999996</v>
      </c>
      <c r="S331">
        <v>1.8</v>
      </c>
      <c r="T331">
        <v>1.8</v>
      </c>
      <c r="U331">
        <v>0.8</v>
      </c>
      <c r="V331">
        <v>0</v>
      </c>
      <c r="W331">
        <v>1</v>
      </c>
      <c r="X331">
        <v>1</v>
      </c>
      <c r="Y331">
        <v>4</v>
      </c>
      <c r="Z331">
        <v>4</v>
      </c>
      <c r="AA331">
        <v>-2.8</v>
      </c>
      <c r="AB331">
        <v>12.4</v>
      </c>
      <c r="AC331">
        <v>4.2999999999999997E-2</v>
      </c>
    </row>
    <row r="332" spans="1:29" x14ac:dyDescent="0.35">
      <c r="A332" s="3" t="s">
        <v>437</v>
      </c>
      <c r="B332" s="1" t="s">
        <v>26</v>
      </c>
      <c r="C332" s="1" t="s">
        <v>598</v>
      </c>
      <c r="D332" s="1" t="s">
        <v>19</v>
      </c>
      <c r="E332" s="1" t="s">
        <v>20</v>
      </c>
      <c r="F332" s="4">
        <v>0</v>
      </c>
      <c r="G332">
        <v>22</v>
      </c>
      <c r="H332">
        <v>52</v>
      </c>
      <c r="I332">
        <v>11.2</v>
      </c>
      <c r="J332">
        <v>3.3</v>
      </c>
      <c r="K332">
        <v>0.40200000000000002</v>
      </c>
      <c r="L332">
        <v>1</v>
      </c>
      <c r="M332">
        <v>0.23499999999999999</v>
      </c>
      <c r="N332">
        <v>2.4</v>
      </c>
      <c r="O332">
        <v>0.47199999999999998</v>
      </c>
      <c r="P332">
        <v>0.437</v>
      </c>
      <c r="Q332">
        <v>1.5</v>
      </c>
      <c r="R332">
        <v>0.64500000000000002</v>
      </c>
      <c r="S332">
        <v>2.4</v>
      </c>
      <c r="T332">
        <v>0.8</v>
      </c>
      <c r="U332">
        <v>0.5</v>
      </c>
      <c r="V332">
        <v>0.1</v>
      </c>
      <c r="W332">
        <v>0.3</v>
      </c>
      <c r="X332">
        <v>0.5</v>
      </c>
      <c r="Y332">
        <v>3.9</v>
      </c>
      <c r="Z332">
        <v>1</v>
      </c>
      <c r="AA332">
        <v>-2.1</v>
      </c>
      <c r="AB332">
        <v>12.6</v>
      </c>
      <c r="AC332">
        <v>7.1999999999999995E-2</v>
      </c>
    </row>
    <row r="333" spans="1:29" x14ac:dyDescent="0.35">
      <c r="A333" s="3" t="s">
        <v>257</v>
      </c>
      <c r="B333" s="1" t="s">
        <v>26</v>
      </c>
      <c r="C333" s="1" t="s">
        <v>597</v>
      </c>
      <c r="D333" s="1" t="s">
        <v>23</v>
      </c>
      <c r="E333" s="1" t="s">
        <v>20</v>
      </c>
      <c r="F333" s="4">
        <v>0.7</v>
      </c>
      <c r="G333">
        <v>27</v>
      </c>
      <c r="H333">
        <v>71</v>
      </c>
      <c r="I333">
        <v>15.4</v>
      </c>
      <c r="J333">
        <v>4.5999999999999996</v>
      </c>
      <c r="K333">
        <v>0.41399999999999998</v>
      </c>
      <c r="L333">
        <v>2.1</v>
      </c>
      <c r="M333">
        <v>0.25800000000000001</v>
      </c>
      <c r="N333">
        <v>2.4</v>
      </c>
      <c r="O333">
        <v>0.54900000000000004</v>
      </c>
      <c r="P333">
        <v>0.47399999999999998</v>
      </c>
      <c r="Q333">
        <v>1.5</v>
      </c>
      <c r="R333">
        <v>0.68200000000000005</v>
      </c>
      <c r="S333">
        <v>4.4000000000000004</v>
      </c>
      <c r="T333">
        <v>0.6</v>
      </c>
      <c r="U333">
        <v>0.9</v>
      </c>
      <c r="V333">
        <v>1.1000000000000001</v>
      </c>
      <c r="W333">
        <v>0.5</v>
      </c>
      <c r="X333">
        <v>1.3</v>
      </c>
      <c r="Y333">
        <v>5.4</v>
      </c>
      <c r="Z333">
        <v>7</v>
      </c>
      <c r="AA333">
        <v>0.7</v>
      </c>
      <c r="AB333">
        <v>16.600000000000001</v>
      </c>
      <c r="AC333">
        <v>0.14799999999999999</v>
      </c>
    </row>
    <row r="334" spans="1:29" x14ac:dyDescent="0.35">
      <c r="A334" s="3" t="s">
        <v>108</v>
      </c>
      <c r="B334" s="1" t="s">
        <v>18</v>
      </c>
      <c r="C334" s="1" t="s">
        <v>35</v>
      </c>
      <c r="D334" s="1" t="s">
        <v>23</v>
      </c>
      <c r="E334" s="1" t="s">
        <v>28</v>
      </c>
      <c r="F334" s="4">
        <v>-0.3</v>
      </c>
      <c r="G334">
        <v>24</v>
      </c>
      <c r="H334">
        <v>26</v>
      </c>
      <c r="I334">
        <v>16.600000000000001</v>
      </c>
      <c r="J334">
        <v>3.8</v>
      </c>
      <c r="K334">
        <v>0.46899999999999997</v>
      </c>
      <c r="L334">
        <v>0.6</v>
      </c>
      <c r="M334">
        <v>0.125</v>
      </c>
      <c r="N334">
        <v>3.2</v>
      </c>
      <c r="O334">
        <v>0.53700000000000003</v>
      </c>
      <c r="P334">
        <v>0.48</v>
      </c>
      <c r="Q334">
        <v>1.5</v>
      </c>
      <c r="R334">
        <v>0.76300000000000001</v>
      </c>
      <c r="S334">
        <v>4.7</v>
      </c>
      <c r="T334">
        <v>1.1000000000000001</v>
      </c>
      <c r="U334">
        <v>0.3</v>
      </c>
      <c r="V334">
        <v>0.4</v>
      </c>
      <c r="W334">
        <v>0.9</v>
      </c>
      <c r="X334">
        <v>2</v>
      </c>
      <c r="Y334">
        <v>4.7</v>
      </c>
      <c r="Z334">
        <v>1</v>
      </c>
      <c r="AA334">
        <v>-5</v>
      </c>
      <c r="AB334">
        <v>11.3</v>
      </c>
      <c r="AC334">
        <v>7.4999999999999997E-2</v>
      </c>
    </row>
    <row r="335" spans="1:29" x14ac:dyDescent="0.35">
      <c r="A335" s="3" t="s">
        <v>239</v>
      </c>
      <c r="B335" s="1" t="s">
        <v>26</v>
      </c>
      <c r="C335" s="1" t="s">
        <v>597</v>
      </c>
      <c r="D335" s="1" t="s">
        <v>23</v>
      </c>
      <c r="E335" s="1" t="s">
        <v>20</v>
      </c>
      <c r="F335" s="4">
        <v>-0.3</v>
      </c>
      <c r="G335">
        <v>19</v>
      </c>
      <c r="H335">
        <v>81</v>
      </c>
      <c r="I335">
        <v>15.6</v>
      </c>
      <c r="J335">
        <v>5.0999999999999996</v>
      </c>
      <c r="K335">
        <v>0.47399999999999998</v>
      </c>
      <c r="L335">
        <v>1.9</v>
      </c>
      <c r="M335">
        <v>0.23799999999999999</v>
      </c>
      <c r="N335">
        <v>3.3</v>
      </c>
      <c r="O335">
        <v>0.60799999999999998</v>
      </c>
      <c r="P335">
        <v>0.51700000000000002</v>
      </c>
      <c r="Q335">
        <v>1.5</v>
      </c>
      <c r="R335">
        <v>0.754</v>
      </c>
      <c r="S335">
        <v>2.7</v>
      </c>
      <c r="T335">
        <v>1</v>
      </c>
      <c r="U335">
        <v>0.6</v>
      </c>
      <c r="V335">
        <v>0.2</v>
      </c>
      <c r="W335">
        <v>0.9</v>
      </c>
      <c r="X335">
        <v>1.7</v>
      </c>
      <c r="Y335">
        <v>6.4</v>
      </c>
      <c r="Z335">
        <v>0</v>
      </c>
      <c r="AA335">
        <v>-3</v>
      </c>
      <c r="AB335">
        <v>11.1</v>
      </c>
      <c r="AC335">
        <v>6.7000000000000004E-2</v>
      </c>
    </row>
    <row r="336" spans="1:29" x14ac:dyDescent="0.35">
      <c r="A336" s="3" t="s">
        <v>221</v>
      </c>
      <c r="B336" s="1" t="s">
        <v>2</v>
      </c>
      <c r="C336" s="1" t="s">
        <v>598</v>
      </c>
      <c r="D336" s="1" t="s">
        <v>23</v>
      </c>
      <c r="E336" s="1" t="s">
        <v>50</v>
      </c>
      <c r="F336" s="4">
        <v>-0.6</v>
      </c>
      <c r="G336">
        <v>22</v>
      </c>
      <c r="H336">
        <v>57</v>
      </c>
      <c r="I336">
        <v>15.9</v>
      </c>
      <c r="J336">
        <v>7.3</v>
      </c>
      <c r="K336">
        <v>0.435</v>
      </c>
      <c r="L336">
        <v>3.5</v>
      </c>
      <c r="M336">
        <v>0.38600000000000001</v>
      </c>
      <c r="N336">
        <v>3.8</v>
      </c>
      <c r="O336">
        <v>0.47899999999999998</v>
      </c>
      <c r="P336">
        <v>0.52700000000000002</v>
      </c>
      <c r="Q336">
        <v>1.5</v>
      </c>
      <c r="R336">
        <v>0.69799999999999995</v>
      </c>
      <c r="S336">
        <v>1.6</v>
      </c>
      <c r="T336">
        <v>1.4</v>
      </c>
      <c r="U336">
        <v>0.5</v>
      </c>
      <c r="V336">
        <v>0.1</v>
      </c>
      <c r="W336">
        <v>1.4</v>
      </c>
      <c r="X336">
        <v>1.6</v>
      </c>
      <c r="Y336">
        <v>8.6999999999999993</v>
      </c>
      <c r="Z336">
        <v>2</v>
      </c>
      <c r="AA336">
        <v>-4.7</v>
      </c>
      <c r="AB336">
        <v>10.4</v>
      </c>
      <c r="AC336">
        <v>-1.6E-2</v>
      </c>
    </row>
    <row r="337" spans="1:29" x14ac:dyDescent="0.35">
      <c r="A337" s="3" t="s">
        <v>290</v>
      </c>
      <c r="B337" s="1" t="s">
        <v>2</v>
      </c>
      <c r="C337" s="1" t="s">
        <v>35</v>
      </c>
      <c r="D337" s="1" t="s">
        <v>23</v>
      </c>
      <c r="E337" s="1" t="s">
        <v>50</v>
      </c>
      <c r="F337" s="4">
        <v>0.8</v>
      </c>
      <c r="G337">
        <v>25</v>
      </c>
      <c r="H337">
        <v>46</v>
      </c>
      <c r="I337">
        <v>19.7</v>
      </c>
      <c r="J337">
        <v>5.2</v>
      </c>
      <c r="K337">
        <v>0.53800000000000003</v>
      </c>
      <c r="L337">
        <v>1</v>
      </c>
      <c r="M337">
        <v>0.39600000000000002</v>
      </c>
      <c r="N337">
        <v>4.0999999999999996</v>
      </c>
      <c r="O337">
        <v>0.57399999999999995</v>
      </c>
      <c r="P337">
        <v>0.57799999999999996</v>
      </c>
      <c r="Q337">
        <v>1.5</v>
      </c>
      <c r="R337">
        <v>0.82099999999999995</v>
      </c>
      <c r="S337">
        <v>2.5</v>
      </c>
      <c r="T337">
        <v>4.2</v>
      </c>
      <c r="U337">
        <v>0.8</v>
      </c>
      <c r="V337">
        <v>0.2</v>
      </c>
      <c r="W337">
        <v>0.8</v>
      </c>
      <c r="X337">
        <v>1.2</v>
      </c>
      <c r="Y337">
        <v>7.2</v>
      </c>
      <c r="Z337">
        <v>4</v>
      </c>
      <c r="AA337">
        <v>1.5</v>
      </c>
      <c r="AB337">
        <v>16.3</v>
      </c>
      <c r="AC337">
        <v>0.155</v>
      </c>
    </row>
    <row r="338" spans="1:29" x14ac:dyDescent="0.35">
      <c r="A338" s="3" t="s">
        <v>550</v>
      </c>
      <c r="B338" s="1" t="s">
        <v>2</v>
      </c>
      <c r="C338" s="1" t="s">
        <v>597</v>
      </c>
      <c r="D338" s="1" t="s">
        <v>23</v>
      </c>
      <c r="E338" s="1" t="s">
        <v>20</v>
      </c>
      <c r="F338" s="4">
        <v>0</v>
      </c>
      <c r="G338">
        <v>26</v>
      </c>
      <c r="H338">
        <v>20</v>
      </c>
      <c r="I338">
        <v>23.9</v>
      </c>
      <c r="J338">
        <v>10.6</v>
      </c>
      <c r="K338">
        <v>0.42</v>
      </c>
      <c r="L338">
        <v>6.4</v>
      </c>
      <c r="M338">
        <v>0.35399999999999998</v>
      </c>
      <c r="N338">
        <v>4.3</v>
      </c>
      <c r="O338">
        <v>0.51800000000000002</v>
      </c>
      <c r="P338">
        <v>0.52600000000000002</v>
      </c>
      <c r="Q338">
        <v>1.5</v>
      </c>
      <c r="R338">
        <v>0.8</v>
      </c>
      <c r="S338">
        <v>3.2</v>
      </c>
      <c r="T338">
        <v>2.5</v>
      </c>
      <c r="U338">
        <v>0.5</v>
      </c>
      <c r="V338">
        <v>0.3</v>
      </c>
      <c r="W338">
        <v>1.3</v>
      </c>
      <c r="X338">
        <v>1.4</v>
      </c>
      <c r="Y338">
        <v>12.4</v>
      </c>
      <c r="Z338">
        <v>6</v>
      </c>
      <c r="AA338">
        <v>-2.4</v>
      </c>
      <c r="AB338">
        <v>13.1</v>
      </c>
      <c r="AC338">
        <v>3.3000000000000002E-2</v>
      </c>
    </row>
    <row r="339" spans="1:29" x14ac:dyDescent="0.35">
      <c r="A339" s="3" t="s">
        <v>92</v>
      </c>
      <c r="B339" s="1" t="s">
        <v>2</v>
      </c>
      <c r="C339" s="1" t="s">
        <v>35</v>
      </c>
      <c r="D339" s="1" t="s">
        <v>23</v>
      </c>
      <c r="E339" s="1" t="s">
        <v>50</v>
      </c>
      <c r="F339" s="4">
        <v>0.3</v>
      </c>
      <c r="G339">
        <v>24</v>
      </c>
      <c r="H339">
        <v>60</v>
      </c>
      <c r="I339">
        <v>17.399999999999999</v>
      </c>
      <c r="J339">
        <v>7.6</v>
      </c>
      <c r="K339">
        <v>0.44800000000000001</v>
      </c>
      <c r="L339">
        <v>2.8</v>
      </c>
      <c r="M339">
        <v>0.35499999999999998</v>
      </c>
      <c r="N339">
        <v>4.7</v>
      </c>
      <c r="O339">
        <v>0.504</v>
      </c>
      <c r="P339">
        <v>0.51400000000000001</v>
      </c>
      <c r="Q339">
        <v>1.5</v>
      </c>
      <c r="R339">
        <v>0.82399999999999995</v>
      </c>
      <c r="S339">
        <v>1.8</v>
      </c>
      <c r="T339">
        <v>3.7</v>
      </c>
      <c r="U339">
        <v>0.7</v>
      </c>
      <c r="V339">
        <v>0.2</v>
      </c>
      <c r="W339">
        <v>1.3</v>
      </c>
      <c r="X339">
        <v>1.6</v>
      </c>
      <c r="Y339">
        <v>9</v>
      </c>
      <c r="Z339">
        <v>3</v>
      </c>
      <c r="AA339">
        <v>-1</v>
      </c>
      <c r="AB339">
        <v>15.6</v>
      </c>
      <c r="AC339">
        <v>6.3E-2</v>
      </c>
    </row>
    <row r="340" spans="1:29" x14ac:dyDescent="0.35">
      <c r="A340" s="3" t="s">
        <v>283</v>
      </c>
      <c r="B340" s="1" t="s">
        <v>26</v>
      </c>
      <c r="C340" s="1" t="s">
        <v>598</v>
      </c>
      <c r="D340" s="1" t="s">
        <v>23</v>
      </c>
      <c r="E340" s="1" t="s">
        <v>28</v>
      </c>
      <c r="F340" s="4">
        <v>0.8</v>
      </c>
      <c r="G340">
        <v>27</v>
      </c>
      <c r="H340">
        <v>77</v>
      </c>
      <c r="I340">
        <v>24.3</v>
      </c>
      <c r="J340">
        <v>7.6</v>
      </c>
      <c r="K340">
        <v>0.52600000000000002</v>
      </c>
      <c r="L340">
        <v>2.8</v>
      </c>
      <c r="M340">
        <v>0.35599999999999998</v>
      </c>
      <c r="N340">
        <v>4.8</v>
      </c>
      <c r="O340">
        <v>0.627</v>
      </c>
      <c r="P340">
        <v>0.59299999999999997</v>
      </c>
      <c r="Q340">
        <v>1.5</v>
      </c>
      <c r="R340">
        <v>0.70299999999999996</v>
      </c>
      <c r="S340">
        <v>3.4</v>
      </c>
      <c r="T340">
        <v>0.8</v>
      </c>
      <c r="U340">
        <v>1</v>
      </c>
      <c r="V340">
        <v>0.4</v>
      </c>
      <c r="W340">
        <v>0.9</v>
      </c>
      <c r="X340">
        <v>2</v>
      </c>
      <c r="Y340">
        <v>10.1</v>
      </c>
      <c r="Z340">
        <v>8</v>
      </c>
      <c r="AA340">
        <v>-0.3</v>
      </c>
      <c r="AB340">
        <v>13.5</v>
      </c>
      <c r="AC340">
        <v>0.12</v>
      </c>
    </row>
    <row r="341" spans="1:29" x14ac:dyDescent="0.35">
      <c r="A341" s="3" t="s">
        <v>423</v>
      </c>
      <c r="B341" s="1" t="s">
        <v>2</v>
      </c>
      <c r="C341" s="1" t="s">
        <v>598</v>
      </c>
      <c r="D341" s="1" t="s">
        <v>23</v>
      </c>
      <c r="E341" s="1" t="s">
        <v>20</v>
      </c>
      <c r="F341" s="4">
        <v>1.2</v>
      </c>
      <c r="G341">
        <v>21</v>
      </c>
      <c r="H341">
        <v>64</v>
      </c>
      <c r="I341">
        <v>26.8</v>
      </c>
      <c r="J341">
        <v>9.8000000000000007</v>
      </c>
      <c r="K341">
        <v>0.44500000000000001</v>
      </c>
      <c r="L341">
        <v>4.8</v>
      </c>
      <c r="M341">
        <v>0.372</v>
      </c>
      <c r="N341">
        <v>5</v>
      </c>
      <c r="O341">
        <v>0.51600000000000001</v>
      </c>
      <c r="P341">
        <v>0.53700000000000003</v>
      </c>
      <c r="Q341">
        <v>1.5</v>
      </c>
      <c r="R341">
        <v>0.75800000000000001</v>
      </c>
      <c r="S341">
        <v>5.0999999999999996</v>
      </c>
      <c r="T341">
        <v>3.4</v>
      </c>
      <c r="U341">
        <v>1.1000000000000001</v>
      </c>
      <c r="V341">
        <v>0.2</v>
      </c>
      <c r="W341">
        <v>1.2</v>
      </c>
      <c r="X341">
        <v>1.5</v>
      </c>
      <c r="Y341">
        <v>11.7</v>
      </c>
      <c r="Z341">
        <v>1</v>
      </c>
      <c r="AA341">
        <v>0.7</v>
      </c>
      <c r="AB341">
        <v>14.4</v>
      </c>
      <c r="AC341">
        <v>0.11700000000000001</v>
      </c>
    </row>
    <row r="342" spans="1:29" x14ac:dyDescent="0.35">
      <c r="A342" s="3" t="s">
        <v>481</v>
      </c>
      <c r="B342" s="1" t="s">
        <v>18</v>
      </c>
      <c r="C342" s="1" t="s">
        <v>597</v>
      </c>
      <c r="D342" s="1" t="s">
        <v>23</v>
      </c>
      <c r="E342" s="1" t="s">
        <v>20</v>
      </c>
      <c r="F342" s="4">
        <v>0.7</v>
      </c>
      <c r="G342">
        <v>23</v>
      </c>
      <c r="H342">
        <v>50</v>
      </c>
      <c r="I342">
        <v>18.2</v>
      </c>
      <c r="J342">
        <v>6.3</v>
      </c>
      <c r="K342">
        <v>0.52100000000000002</v>
      </c>
      <c r="L342">
        <v>0.9</v>
      </c>
      <c r="M342">
        <v>0.24399999999999999</v>
      </c>
      <c r="N342">
        <v>5.4</v>
      </c>
      <c r="O342">
        <v>0.56599999999999995</v>
      </c>
      <c r="P342">
        <v>0.53800000000000003</v>
      </c>
      <c r="Q342">
        <v>1.5</v>
      </c>
      <c r="R342">
        <v>0.75700000000000001</v>
      </c>
      <c r="S342">
        <v>6.6</v>
      </c>
      <c r="T342">
        <v>1.8</v>
      </c>
      <c r="U342">
        <v>0.8</v>
      </c>
      <c r="V342">
        <v>0.8</v>
      </c>
      <c r="W342">
        <v>1.3</v>
      </c>
      <c r="X342">
        <v>2.2999999999999998</v>
      </c>
      <c r="Y342">
        <v>7.9</v>
      </c>
      <c r="Z342">
        <v>3</v>
      </c>
      <c r="AA342">
        <v>0.9</v>
      </c>
      <c r="AB342">
        <v>19.7</v>
      </c>
      <c r="AC342">
        <v>0.14099999999999999</v>
      </c>
    </row>
    <row r="343" spans="1:29" x14ac:dyDescent="0.35">
      <c r="A343" s="3" t="s">
        <v>429</v>
      </c>
      <c r="B343" s="1" t="s">
        <v>26</v>
      </c>
      <c r="C343" s="1" t="s">
        <v>597</v>
      </c>
      <c r="D343" s="1" t="s">
        <v>23</v>
      </c>
      <c r="E343" s="1" t="s">
        <v>20</v>
      </c>
      <c r="F343" s="4">
        <v>0.7</v>
      </c>
      <c r="G343">
        <v>29</v>
      </c>
      <c r="H343">
        <v>49</v>
      </c>
      <c r="I343">
        <v>25.4</v>
      </c>
      <c r="J343">
        <v>12.1</v>
      </c>
      <c r="K343">
        <v>0.46600000000000003</v>
      </c>
      <c r="L343">
        <v>3.6</v>
      </c>
      <c r="M343">
        <v>0.36499999999999999</v>
      </c>
      <c r="N343">
        <v>8.5</v>
      </c>
      <c r="O343">
        <v>0.50800000000000001</v>
      </c>
      <c r="P343">
        <v>0.52</v>
      </c>
      <c r="Q343">
        <v>1.5</v>
      </c>
      <c r="R343">
        <v>0.83599999999999997</v>
      </c>
      <c r="S343">
        <v>8.4</v>
      </c>
      <c r="T343">
        <v>2.1</v>
      </c>
      <c r="U343">
        <v>0.7</v>
      </c>
      <c r="V343">
        <v>0.5</v>
      </c>
      <c r="W343">
        <v>1.2</v>
      </c>
      <c r="X343">
        <v>1.9</v>
      </c>
      <c r="Y343">
        <v>13.9</v>
      </c>
      <c r="Z343">
        <v>9</v>
      </c>
      <c r="AA343">
        <v>0.2</v>
      </c>
      <c r="AB343">
        <v>17.7</v>
      </c>
      <c r="AC343">
        <v>0.106</v>
      </c>
    </row>
    <row r="344" spans="1:29" x14ac:dyDescent="0.35">
      <c r="A344" s="3" t="s">
        <v>40</v>
      </c>
      <c r="B344" s="1" t="s">
        <v>18</v>
      </c>
      <c r="C344" s="1" t="s">
        <v>598</v>
      </c>
      <c r="D344" s="1" t="s">
        <v>19</v>
      </c>
      <c r="E344" s="1" t="s">
        <v>20</v>
      </c>
      <c r="F344" s="4">
        <v>0.4</v>
      </c>
      <c r="G344">
        <v>26</v>
      </c>
      <c r="H344">
        <v>40</v>
      </c>
      <c r="I344">
        <v>30.2</v>
      </c>
      <c r="J344">
        <v>11.7</v>
      </c>
      <c r="K344">
        <v>0.56599999999999995</v>
      </c>
      <c r="L344">
        <v>0.8</v>
      </c>
      <c r="M344">
        <v>0.188</v>
      </c>
      <c r="N344">
        <v>10.9</v>
      </c>
      <c r="O344">
        <v>0.59399999999999997</v>
      </c>
      <c r="P344">
        <v>0.57299999999999995</v>
      </c>
      <c r="Q344">
        <v>1.5</v>
      </c>
      <c r="R344">
        <v>0.66700000000000004</v>
      </c>
      <c r="S344">
        <v>10.199999999999999</v>
      </c>
      <c r="T344">
        <v>1.6</v>
      </c>
      <c r="U344">
        <v>0.8</v>
      </c>
      <c r="V344">
        <v>1</v>
      </c>
      <c r="W344">
        <v>1.7</v>
      </c>
      <c r="X344">
        <v>2.2000000000000002</v>
      </c>
      <c r="Y344">
        <v>14.4</v>
      </c>
      <c r="Z344">
        <v>6</v>
      </c>
      <c r="AA344">
        <v>-0.7</v>
      </c>
      <c r="AB344">
        <v>17.7</v>
      </c>
      <c r="AC344">
        <v>0.113</v>
      </c>
    </row>
    <row r="345" spans="1:29" x14ac:dyDescent="0.35">
      <c r="A345" s="3" t="s">
        <v>468</v>
      </c>
      <c r="B345" s="1" t="s">
        <v>26</v>
      </c>
      <c r="C345" s="1" t="s">
        <v>597</v>
      </c>
      <c r="D345" s="1" t="s">
        <v>19</v>
      </c>
      <c r="E345" s="1" t="s">
        <v>20</v>
      </c>
      <c r="F345" s="4">
        <v>-1</v>
      </c>
      <c r="G345">
        <v>19</v>
      </c>
      <c r="H345">
        <v>60</v>
      </c>
      <c r="I345">
        <v>20.7</v>
      </c>
      <c r="J345">
        <v>5.8</v>
      </c>
      <c r="K345">
        <v>0.33</v>
      </c>
      <c r="L345">
        <v>3.4</v>
      </c>
      <c r="M345">
        <v>0.28299999999999997</v>
      </c>
      <c r="N345">
        <v>2.2999999999999998</v>
      </c>
      <c r="O345">
        <v>0.4</v>
      </c>
      <c r="P345">
        <v>0.41399999999999998</v>
      </c>
      <c r="Q345">
        <v>1.6</v>
      </c>
      <c r="R345">
        <v>0.71299999999999997</v>
      </c>
      <c r="S345">
        <v>4.7</v>
      </c>
      <c r="T345">
        <v>1.2</v>
      </c>
      <c r="U345">
        <v>0.5</v>
      </c>
      <c r="V345">
        <v>0.2</v>
      </c>
      <c r="W345">
        <v>1</v>
      </c>
      <c r="X345">
        <v>1.4</v>
      </c>
      <c r="Y345">
        <v>5.9</v>
      </c>
      <c r="Z345">
        <v>0</v>
      </c>
      <c r="AA345">
        <v>-5.2</v>
      </c>
      <c r="AB345">
        <v>7.7</v>
      </c>
      <c r="AC345">
        <v>2E-3</v>
      </c>
    </row>
    <row r="346" spans="1:29" x14ac:dyDescent="0.35">
      <c r="A346" s="3" t="s">
        <v>21</v>
      </c>
      <c r="B346" s="1" t="s">
        <v>18</v>
      </c>
      <c r="C346" s="1" t="s">
        <v>598</v>
      </c>
      <c r="D346" s="1" t="s">
        <v>19</v>
      </c>
      <c r="E346" s="1" t="s">
        <v>20</v>
      </c>
      <c r="F346" s="4">
        <v>0.5</v>
      </c>
      <c r="G346">
        <v>31</v>
      </c>
      <c r="H346">
        <v>58</v>
      </c>
      <c r="I346">
        <v>13.7</v>
      </c>
      <c r="J346">
        <v>2.9</v>
      </c>
      <c r="K346">
        <v>0.54500000000000004</v>
      </c>
      <c r="L346">
        <v>0</v>
      </c>
      <c r="M346">
        <v>0</v>
      </c>
      <c r="N346">
        <v>2.8</v>
      </c>
      <c r="O346">
        <v>0.55200000000000005</v>
      </c>
      <c r="P346">
        <v>0.54500000000000004</v>
      </c>
      <c r="Q346">
        <v>1.6</v>
      </c>
      <c r="R346">
        <v>0.46200000000000002</v>
      </c>
      <c r="S346">
        <v>5.6</v>
      </c>
      <c r="T346">
        <v>1.1000000000000001</v>
      </c>
      <c r="U346">
        <v>0.4</v>
      </c>
      <c r="V346">
        <v>0.5</v>
      </c>
      <c r="W346">
        <v>0.9</v>
      </c>
      <c r="X346">
        <v>1</v>
      </c>
      <c r="Y346">
        <v>3.9</v>
      </c>
      <c r="Z346">
        <v>11</v>
      </c>
      <c r="AA346">
        <v>0.3</v>
      </c>
      <c r="AB346">
        <v>16.600000000000001</v>
      </c>
      <c r="AC346">
        <v>0.13700000000000001</v>
      </c>
    </row>
    <row r="347" spans="1:29" x14ac:dyDescent="0.35">
      <c r="A347" s="3" t="s">
        <v>148</v>
      </c>
      <c r="B347" s="1" t="s">
        <v>18</v>
      </c>
      <c r="C347" s="1" t="s">
        <v>597</v>
      </c>
      <c r="D347" s="1" t="s">
        <v>19</v>
      </c>
      <c r="E347" s="1" t="s">
        <v>50</v>
      </c>
      <c r="F347" s="4">
        <v>0</v>
      </c>
      <c r="G347">
        <v>23</v>
      </c>
      <c r="H347">
        <v>71</v>
      </c>
      <c r="I347">
        <v>17.5</v>
      </c>
      <c r="J347">
        <v>3.9</v>
      </c>
      <c r="K347">
        <v>0.59599999999999997</v>
      </c>
      <c r="L347">
        <v>0.1</v>
      </c>
      <c r="M347">
        <v>0</v>
      </c>
      <c r="N347">
        <v>3.9</v>
      </c>
      <c r="O347">
        <v>0.60899999999999999</v>
      </c>
      <c r="P347">
        <v>0.59599999999999997</v>
      </c>
      <c r="Q347">
        <v>1.6</v>
      </c>
      <c r="R347">
        <v>0.59499999999999997</v>
      </c>
      <c r="S347">
        <v>6.2</v>
      </c>
      <c r="T347">
        <v>0.8</v>
      </c>
      <c r="U347">
        <v>0.6</v>
      </c>
      <c r="V347">
        <v>0.6</v>
      </c>
      <c r="W347">
        <v>0.9</v>
      </c>
      <c r="X347">
        <v>1.5</v>
      </c>
      <c r="Y347">
        <v>5.7</v>
      </c>
      <c r="Z347">
        <v>2</v>
      </c>
      <c r="AA347">
        <v>-1.9</v>
      </c>
      <c r="AB347">
        <v>16.5</v>
      </c>
      <c r="AC347">
        <v>0.125</v>
      </c>
    </row>
    <row r="348" spans="1:29" x14ac:dyDescent="0.35">
      <c r="A348" s="3" t="s">
        <v>554</v>
      </c>
      <c r="B348" s="1" t="s">
        <v>2</v>
      </c>
      <c r="C348" s="1" t="s">
        <v>597</v>
      </c>
      <c r="D348" s="1" t="s">
        <v>23</v>
      </c>
      <c r="E348" s="1" t="s">
        <v>20</v>
      </c>
      <c r="F348" s="4">
        <v>-0.3</v>
      </c>
      <c r="G348">
        <v>20</v>
      </c>
      <c r="H348">
        <v>52</v>
      </c>
      <c r="I348">
        <v>21.2</v>
      </c>
      <c r="J348">
        <v>7.6</v>
      </c>
      <c r="K348">
        <v>0.40500000000000003</v>
      </c>
      <c r="L348">
        <v>3.6</v>
      </c>
      <c r="M348">
        <v>0.34899999999999998</v>
      </c>
      <c r="N348">
        <v>4</v>
      </c>
      <c r="O348">
        <v>0.45400000000000001</v>
      </c>
      <c r="P348">
        <v>0.48699999999999999</v>
      </c>
      <c r="Q348">
        <v>1.6</v>
      </c>
      <c r="R348">
        <v>0.79500000000000004</v>
      </c>
      <c r="S348">
        <v>3.1</v>
      </c>
      <c r="T348">
        <v>1.6</v>
      </c>
      <c r="U348">
        <v>0.8</v>
      </c>
      <c r="V348">
        <v>0.2</v>
      </c>
      <c r="W348">
        <v>1</v>
      </c>
      <c r="X348">
        <v>1.8</v>
      </c>
      <c r="Y348">
        <v>8.6</v>
      </c>
      <c r="Z348">
        <v>0</v>
      </c>
      <c r="AA348">
        <v>-3</v>
      </c>
      <c r="AB348">
        <v>10.8</v>
      </c>
      <c r="AC348">
        <v>5.1999999999999998E-2</v>
      </c>
    </row>
    <row r="349" spans="1:29" x14ac:dyDescent="0.35">
      <c r="A349" s="3" t="s">
        <v>178</v>
      </c>
      <c r="B349" s="1" t="s">
        <v>2</v>
      </c>
      <c r="C349" s="1" t="s">
        <v>598</v>
      </c>
      <c r="D349" s="1" t="s">
        <v>19</v>
      </c>
      <c r="E349" s="1" t="s">
        <v>20</v>
      </c>
      <c r="F349" s="4">
        <v>0</v>
      </c>
      <c r="G349">
        <v>29</v>
      </c>
      <c r="H349">
        <v>20</v>
      </c>
      <c r="I349">
        <v>18.600000000000001</v>
      </c>
      <c r="J349">
        <v>6.7</v>
      </c>
      <c r="K349">
        <v>0.47799999999999998</v>
      </c>
      <c r="L349">
        <v>2.7</v>
      </c>
      <c r="M349">
        <v>0.434</v>
      </c>
      <c r="N349">
        <v>4.0999999999999996</v>
      </c>
      <c r="O349">
        <v>0.50600000000000001</v>
      </c>
      <c r="P349">
        <v>0.56299999999999994</v>
      </c>
      <c r="Q349">
        <v>1.6</v>
      </c>
      <c r="R349">
        <v>0.74199999999999999</v>
      </c>
      <c r="S349">
        <v>1.7</v>
      </c>
      <c r="T349">
        <v>2.8</v>
      </c>
      <c r="U349">
        <v>0.6</v>
      </c>
      <c r="V349">
        <v>0.2</v>
      </c>
      <c r="W349">
        <v>1.1000000000000001</v>
      </c>
      <c r="X349">
        <v>1.7</v>
      </c>
      <c r="Y349">
        <v>8.6999999999999993</v>
      </c>
      <c r="Z349">
        <v>8</v>
      </c>
      <c r="AA349">
        <v>-2.2999999999999998</v>
      </c>
      <c r="AB349">
        <v>13.6</v>
      </c>
      <c r="AC349">
        <v>8.3000000000000004E-2</v>
      </c>
    </row>
    <row r="350" spans="1:29" x14ac:dyDescent="0.35">
      <c r="A350" s="3" t="s">
        <v>120</v>
      </c>
      <c r="B350" s="1" t="s">
        <v>18</v>
      </c>
      <c r="C350" s="1" t="s">
        <v>598</v>
      </c>
      <c r="D350" s="1" t="s">
        <v>23</v>
      </c>
      <c r="E350" s="1" t="s">
        <v>20</v>
      </c>
      <c r="F350" s="4">
        <v>0.6</v>
      </c>
      <c r="G350">
        <v>20</v>
      </c>
      <c r="H350">
        <v>67</v>
      </c>
      <c r="I350">
        <v>19.8</v>
      </c>
      <c r="J350">
        <v>5</v>
      </c>
      <c r="K350">
        <v>0.53900000000000003</v>
      </c>
      <c r="L350">
        <v>0.7</v>
      </c>
      <c r="M350">
        <v>0.28599999999999998</v>
      </c>
      <c r="N350">
        <v>4.3</v>
      </c>
      <c r="O350">
        <v>0.58199999999999996</v>
      </c>
      <c r="P350">
        <v>0.56000000000000005</v>
      </c>
      <c r="Q350">
        <v>1.6</v>
      </c>
      <c r="R350">
        <v>0.59599999999999997</v>
      </c>
      <c r="S350">
        <v>7.9</v>
      </c>
      <c r="T350">
        <v>1.1000000000000001</v>
      </c>
      <c r="U350">
        <v>0.5</v>
      </c>
      <c r="V350">
        <v>1.6</v>
      </c>
      <c r="W350">
        <v>1.1000000000000001</v>
      </c>
      <c r="X350">
        <v>2.8</v>
      </c>
      <c r="Y350">
        <v>6.5</v>
      </c>
      <c r="Z350">
        <v>0</v>
      </c>
      <c r="AA350">
        <v>-0.3</v>
      </c>
      <c r="AB350">
        <v>17.399999999999999</v>
      </c>
      <c r="AC350">
        <v>0.14399999999999999</v>
      </c>
    </row>
    <row r="351" spans="1:29" x14ac:dyDescent="0.35">
      <c r="A351" s="3" t="s">
        <v>97</v>
      </c>
      <c r="B351" s="1" t="s">
        <v>26</v>
      </c>
      <c r="C351" s="1" t="s">
        <v>598</v>
      </c>
      <c r="D351" s="1" t="s">
        <v>19</v>
      </c>
      <c r="E351" s="1" t="s">
        <v>50</v>
      </c>
      <c r="F351" s="4">
        <v>1.2</v>
      </c>
      <c r="G351">
        <v>24</v>
      </c>
      <c r="H351">
        <v>78</v>
      </c>
      <c r="I351">
        <v>32.700000000000003</v>
      </c>
      <c r="J351">
        <v>9.1999999999999993</v>
      </c>
      <c r="K351">
        <v>0.45800000000000002</v>
      </c>
      <c r="L351">
        <v>4.5999999999999996</v>
      </c>
      <c r="M351">
        <v>0.375</v>
      </c>
      <c r="N351">
        <v>4.5999999999999996</v>
      </c>
      <c r="O351">
        <v>0.54200000000000004</v>
      </c>
      <c r="P351">
        <v>0.55200000000000005</v>
      </c>
      <c r="Q351">
        <v>1.6</v>
      </c>
      <c r="R351">
        <v>0.72199999999999998</v>
      </c>
      <c r="S351">
        <v>5.8</v>
      </c>
      <c r="T351">
        <v>2.2000000000000002</v>
      </c>
      <c r="U351">
        <v>1.5</v>
      </c>
      <c r="V351">
        <v>0.6</v>
      </c>
      <c r="W351">
        <v>1.4</v>
      </c>
      <c r="X351">
        <v>2.9</v>
      </c>
      <c r="Y351">
        <v>11.3</v>
      </c>
      <c r="Z351">
        <v>1</v>
      </c>
      <c r="AA351">
        <v>-0.1</v>
      </c>
      <c r="AB351">
        <v>12.5</v>
      </c>
      <c r="AC351">
        <v>9.7000000000000003E-2</v>
      </c>
    </row>
    <row r="352" spans="1:29" x14ac:dyDescent="0.35">
      <c r="A352" s="3" t="s">
        <v>265</v>
      </c>
      <c r="B352" s="1" t="s">
        <v>18</v>
      </c>
      <c r="C352" s="1" t="s">
        <v>598</v>
      </c>
      <c r="D352" s="1" t="s">
        <v>23</v>
      </c>
      <c r="E352" s="1" t="s">
        <v>50</v>
      </c>
      <c r="F352" s="4">
        <v>0.8</v>
      </c>
      <c r="G352">
        <v>24</v>
      </c>
      <c r="H352">
        <v>62</v>
      </c>
      <c r="I352">
        <v>15.6</v>
      </c>
      <c r="J352">
        <v>4.9000000000000004</v>
      </c>
      <c r="K352">
        <v>0.57599999999999996</v>
      </c>
      <c r="L352">
        <v>0</v>
      </c>
      <c r="M352">
        <v>0</v>
      </c>
      <c r="N352">
        <v>4.8</v>
      </c>
      <c r="O352">
        <v>0.58199999999999996</v>
      </c>
      <c r="P352">
        <v>0.57599999999999996</v>
      </c>
      <c r="Q352">
        <v>1.6</v>
      </c>
      <c r="R352">
        <v>0.57799999999999996</v>
      </c>
      <c r="S352">
        <v>5</v>
      </c>
      <c r="T352">
        <v>1.7</v>
      </c>
      <c r="U352">
        <v>0.4</v>
      </c>
      <c r="V352">
        <v>0.6</v>
      </c>
      <c r="W352">
        <v>0.7</v>
      </c>
      <c r="X352">
        <v>1.2</v>
      </c>
      <c r="Y352">
        <v>6.6</v>
      </c>
      <c r="Z352">
        <v>1</v>
      </c>
      <c r="AA352">
        <v>1.2</v>
      </c>
      <c r="AB352">
        <v>18.5</v>
      </c>
      <c r="AC352">
        <v>0.16700000000000001</v>
      </c>
    </row>
    <row r="353" spans="1:29" x14ac:dyDescent="0.35">
      <c r="A353" s="3" t="s">
        <v>458</v>
      </c>
      <c r="B353" s="1" t="s">
        <v>18</v>
      </c>
      <c r="C353" s="1" t="s">
        <v>35</v>
      </c>
      <c r="D353" s="1" t="s">
        <v>23</v>
      </c>
      <c r="E353" s="1" t="s">
        <v>28</v>
      </c>
      <c r="F353" s="4">
        <v>-0.3</v>
      </c>
      <c r="G353">
        <v>24</v>
      </c>
      <c r="H353">
        <v>44</v>
      </c>
      <c r="I353">
        <v>17.5</v>
      </c>
      <c r="J353">
        <v>5.9</v>
      </c>
      <c r="K353">
        <v>0.44400000000000001</v>
      </c>
      <c r="L353">
        <v>1.2</v>
      </c>
      <c r="M353">
        <v>0.32700000000000001</v>
      </c>
      <c r="N353">
        <v>4.8</v>
      </c>
      <c r="O353">
        <v>0.47399999999999998</v>
      </c>
      <c r="P353">
        <v>0.47699999999999998</v>
      </c>
      <c r="Q353">
        <v>1.6</v>
      </c>
      <c r="R353">
        <v>0.77100000000000002</v>
      </c>
      <c r="S353">
        <v>5</v>
      </c>
      <c r="T353">
        <v>1.8</v>
      </c>
      <c r="U353">
        <v>0.4</v>
      </c>
      <c r="V353">
        <v>0.4</v>
      </c>
      <c r="W353">
        <v>1.1000000000000001</v>
      </c>
      <c r="X353">
        <v>2.2999999999999998</v>
      </c>
      <c r="Y353">
        <v>6.9</v>
      </c>
      <c r="Z353">
        <v>2</v>
      </c>
      <c r="AA353">
        <v>-3.4</v>
      </c>
      <c r="AB353">
        <v>12.9</v>
      </c>
      <c r="AC353">
        <v>7.1999999999999995E-2</v>
      </c>
    </row>
    <row r="354" spans="1:29" x14ac:dyDescent="0.35">
      <c r="A354" s="3" t="s">
        <v>84</v>
      </c>
      <c r="B354" s="1" t="s">
        <v>2</v>
      </c>
      <c r="C354" s="1" t="s">
        <v>35</v>
      </c>
      <c r="D354" s="1" t="s">
        <v>23</v>
      </c>
      <c r="E354" s="1" t="s">
        <v>50</v>
      </c>
      <c r="F354" s="4">
        <v>-0.4</v>
      </c>
      <c r="G354">
        <v>28</v>
      </c>
      <c r="H354">
        <v>41</v>
      </c>
      <c r="I354">
        <v>22.5</v>
      </c>
      <c r="J354">
        <v>7.5</v>
      </c>
      <c r="K354">
        <v>0.42099999999999999</v>
      </c>
      <c r="L354">
        <v>2</v>
      </c>
      <c r="M354">
        <v>0.33300000000000002</v>
      </c>
      <c r="N354">
        <v>5.6</v>
      </c>
      <c r="O354">
        <v>0.45200000000000001</v>
      </c>
      <c r="P354">
        <v>0.46400000000000002</v>
      </c>
      <c r="Q354">
        <v>1.6</v>
      </c>
      <c r="R354">
        <v>0.81499999999999995</v>
      </c>
      <c r="S354">
        <v>4</v>
      </c>
      <c r="T354">
        <v>2</v>
      </c>
      <c r="U354">
        <v>0.8</v>
      </c>
      <c r="V354">
        <v>0.2</v>
      </c>
      <c r="W354">
        <v>1</v>
      </c>
      <c r="X354">
        <v>1.7</v>
      </c>
      <c r="Y354">
        <v>8.3000000000000007</v>
      </c>
      <c r="Z354">
        <v>6</v>
      </c>
      <c r="AA354">
        <v>-3.8</v>
      </c>
      <c r="AB354">
        <v>10.9</v>
      </c>
      <c r="AC354">
        <v>3.5000000000000003E-2</v>
      </c>
    </row>
    <row r="355" spans="1:29" x14ac:dyDescent="0.35">
      <c r="A355" s="3" t="s">
        <v>82</v>
      </c>
      <c r="B355" s="1" t="s">
        <v>26</v>
      </c>
      <c r="C355" s="1" t="s">
        <v>598</v>
      </c>
      <c r="D355" s="1" t="s">
        <v>19</v>
      </c>
      <c r="E355" s="1" t="s">
        <v>50</v>
      </c>
      <c r="F355" s="4">
        <v>0.4</v>
      </c>
      <c r="G355">
        <v>29</v>
      </c>
      <c r="H355">
        <v>75</v>
      </c>
      <c r="I355">
        <v>31.8</v>
      </c>
      <c r="J355">
        <v>11.9</v>
      </c>
      <c r="K355">
        <v>0.42899999999999999</v>
      </c>
      <c r="L355">
        <v>6.3</v>
      </c>
      <c r="M355">
        <v>0.39700000000000002</v>
      </c>
      <c r="N355">
        <v>5.7</v>
      </c>
      <c r="O355">
        <v>0.46500000000000002</v>
      </c>
      <c r="P355">
        <v>0.53300000000000003</v>
      </c>
      <c r="Q355">
        <v>1.6</v>
      </c>
      <c r="R355">
        <v>0.81799999999999995</v>
      </c>
      <c r="S355">
        <v>3.7</v>
      </c>
      <c r="T355">
        <v>1.7</v>
      </c>
      <c r="U355">
        <v>0.8</v>
      </c>
      <c r="V355">
        <v>0.2</v>
      </c>
      <c r="W355">
        <v>1</v>
      </c>
      <c r="X355">
        <v>3.2</v>
      </c>
      <c r="Y355">
        <v>14</v>
      </c>
      <c r="Z355">
        <v>7</v>
      </c>
      <c r="AA355">
        <v>-1.4</v>
      </c>
      <c r="AB355">
        <v>11</v>
      </c>
      <c r="AC355">
        <v>0.10299999999999999</v>
      </c>
    </row>
    <row r="356" spans="1:29" x14ac:dyDescent="0.35">
      <c r="A356" s="3" t="s">
        <v>354</v>
      </c>
      <c r="B356" s="1" t="s">
        <v>26</v>
      </c>
      <c r="C356" s="1" t="s">
        <v>598</v>
      </c>
      <c r="D356" s="1" t="s">
        <v>23</v>
      </c>
      <c r="E356" s="1" t="s">
        <v>20</v>
      </c>
      <c r="F356" s="4">
        <v>1.4</v>
      </c>
      <c r="G356">
        <v>24</v>
      </c>
      <c r="H356">
        <v>82</v>
      </c>
      <c r="I356">
        <v>31.9</v>
      </c>
      <c r="J356">
        <v>10.199999999999999</v>
      </c>
      <c r="K356">
        <v>0.47699999999999998</v>
      </c>
      <c r="L356">
        <v>3.7</v>
      </c>
      <c r="M356">
        <v>0.33</v>
      </c>
      <c r="N356">
        <v>6.5</v>
      </c>
      <c r="O356">
        <v>0.56100000000000005</v>
      </c>
      <c r="P356">
        <v>0.53700000000000003</v>
      </c>
      <c r="Q356">
        <v>1.6</v>
      </c>
      <c r="R356">
        <v>0.81299999999999994</v>
      </c>
      <c r="S356">
        <v>5.7</v>
      </c>
      <c r="T356">
        <v>2</v>
      </c>
      <c r="U356">
        <v>1.3</v>
      </c>
      <c r="V356">
        <v>0.9</v>
      </c>
      <c r="W356">
        <v>1.2</v>
      </c>
      <c r="X356">
        <v>2.7</v>
      </c>
      <c r="Y356">
        <v>12.2</v>
      </c>
      <c r="Z356">
        <v>4</v>
      </c>
      <c r="AA356">
        <v>0</v>
      </c>
      <c r="AB356">
        <v>13.3</v>
      </c>
      <c r="AC356">
        <v>0.115</v>
      </c>
    </row>
    <row r="357" spans="1:29" x14ac:dyDescent="0.35">
      <c r="A357" s="3" t="s">
        <v>336</v>
      </c>
      <c r="B357" s="1" t="s">
        <v>2</v>
      </c>
      <c r="C357" s="1" t="s">
        <v>597</v>
      </c>
      <c r="D357" s="1" t="s">
        <v>23</v>
      </c>
      <c r="E357" s="1" t="s">
        <v>20</v>
      </c>
      <c r="F357" s="4">
        <v>0</v>
      </c>
      <c r="G357">
        <v>23</v>
      </c>
      <c r="H357">
        <v>13</v>
      </c>
      <c r="I357">
        <v>24.5</v>
      </c>
      <c r="J357">
        <v>12.4</v>
      </c>
      <c r="K357">
        <v>0.435</v>
      </c>
      <c r="L357">
        <v>4.5999999999999996</v>
      </c>
      <c r="M357">
        <v>0.4</v>
      </c>
      <c r="N357">
        <v>7.8</v>
      </c>
      <c r="O357">
        <v>0.45500000000000002</v>
      </c>
      <c r="P357">
        <v>0.50900000000000001</v>
      </c>
      <c r="Q357">
        <v>1.6</v>
      </c>
      <c r="R357">
        <v>0.90500000000000003</v>
      </c>
      <c r="S357">
        <v>2.9</v>
      </c>
      <c r="T357">
        <v>3</v>
      </c>
      <c r="U357">
        <v>0.5</v>
      </c>
      <c r="V357">
        <v>0.3</v>
      </c>
      <c r="W357">
        <v>1.9</v>
      </c>
      <c r="X357">
        <v>1.8</v>
      </c>
      <c r="Y357">
        <v>14.1</v>
      </c>
      <c r="Z357">
        <v>3</v>
      </c>
      <c r="AA357">
        <v>-2.4</v>
      </c>
      <c r="AB357">
        <v>13.3</v>
      </c>
      <c r="AC357">
        <v>1.9E-2</v>
      </c>
    </row>
    <row r="358" spans="1:29" x14ac:dyDescent="0.35">
      <c r="A358" s="3" t="s">
        <v>344</v>
      </c>
      <c r="B358" s="1" t="s">
        <v>2</v>
      </c>
      <c r="C358" s="1" t="s">
        <v>597</v>
      </c>
      <c r="D358" s="1" t="s">
        <v>23</v>
      </c>
      <c r="E358" s="1" t="s">
        <v>28</v>
      </c>
      <c r="F358" s="4">
        <v>0.1</v>
      </c>
      <c r="G358">
        <v>28</v>
      </c>
      <c r="H358">
        <v>47</v>
      </c>
      <c r="I358">
        <v>17.7</v>
      </c>
      <c r="J358">
        <v>5.5</v>
      </c>
      <c r="K358">
        <v>0.39700000000000002</v>
      </c>
      <c r="L358">
        <v>4.5999999999999996</v>
      </c>
      <c r="M358">
        <v>0.39</v>
      </c>
      <c r="N358">
        <v>0.8</v>
      </c>
      <c r="O358">
        <v>0.436</v>
      </c>
      <c r="P358">
        <v>0.56200000000000006</v>
      </c>
      <c r="Q358">
        <v>1.7</v>
      </c>
      <c r="R358">
        <v>0.82099999999999995</v>
      </c>
      <c r="S358">
        <v>1.9</v>
      </c>
      <c r="T358">
        <v>1.3</v>
      </c>
      <c r="U358">
        <v>0.6</v>
      </c>
      <c r="V358">
        <v>0.3</v>
      </c>
      <c r="W358">
        <v>0.7</v>
      </c>
      <c r="X358">
        <v>1.7</v>
      </c>
      <c r="Y358">
        <v>7.5</v>
      </c>
      <c r="Z358">
        <v>5</v>
      </c>
      <c r="AA358">
        <v>-1.6</v>
      </c>
      <c r="AB358">
        <v>11.2</v>
      </c>
      <c r="AC358">
        <v>8.6999999999999994E-2</v>
      </c>
    </row>
    <row r="359" spans="1:29" x14ac:dyDescent="0.35">
      <c r="A359" s="3" t="s">
        <v>121</v>
      </c>
      <c r="B359" s="1" t="s">
        <v>26</v>
      </c>
      <c r="C359" s="1" t="s">
        <v>597</v>
      </c>
      <c r="D359" s="1" t="s">
        <v>23</v>
      </c>
      <c r="E359" s="1" t="s">
        <v>20</v>
      </c>
      <c r="F359" s="4">
        <v>-0.5</v>
      </c>
      <c r="G359">
        <v>20</v>
      </c>
      <c r="H359">
        <v>46</v>
      </c>
      <c r="I359">
        <v>22.7</v>
      </c>
      <c r="J359">
        <v>8.1</v>
      </c>
      <c r="K359">
        <v>0.35799999999999998</v>
      </c>
      <c r="L359">
        <v>5.7</v>
      </c>
      <c r="M359">
        <v>0.33300000000000002</v>
      </c>
      <c r="N359">
        <v>2.4</v>
      </c>
      <c r="O359">
        <v>0.41399999999999998</v>
      </c>
      <c r="P359">
        <v>0.47399999999999998</v>
      </c>
      <c r="Q359">
        <v>1.7</v>
      </c>
      <c r="R359">
        <v>0.83799999999999997</v>
      </c>
      <c r="S359">
        <v>3.9</v>
      </c>
      <c r="T359">
        <v>0.9</v>
      </c>
      <c r="U359">
        <v>0.5</v>
      </c>
      <c r="V359">
        <v>0.5</v>
      </c>
      <c r="W359">
        <v>1</v>
      </c>
      <c r="X359">
        <v>2.2999999999999998</v>
      </c>
      <c r="Y359">
        <v>9.1</v>
      </c>
      <c r="Z359">
        <v>1</v>
      </c>
      <c r="AA359">
        <v>-4.0999999999999996</v>
      </c>
      <c r="AB359">
        <v>9.1999999999999993</v>
      </c>
      <c r="AC359">
        <v>2.3E-2</v>
      </c>
    </row>
    <row r="360" spans="1:29" x14ac:dyDescent="0.35">
      <c r="A360" s="3" t="s">
        <v>422</v>
      </c>
      <c r="B360" s="1" t="s">
        <v>18</v>
      </c>
      <c r="C360" s="1" t="s">
        <v>598</v>
      </c>
      <c r="D360" s="1" t="s">
        <v>23</v>
      </c>
      <c r="E360" s="1" t="s">
        <v>20</v>
      </c>
      <c r="F360" s="4">
        <v>0.5</v>
      </c>
      <c r="G360">
        <v>34</v>
      </c>
      <c r="H360">
        <v>74</v>
      </c>
      <c r="I360">
        <v>17.600000000000001</v>
      </c>
      <c r="J360">
        <v>2.7</v>
      </c>
      <c r="K360">
        <v>0.61899999999999999</v>
      </c>
      <c r="L360">
        <v>0.1</v>
      </c>
      <c r="M360">
        <v>0</v>
      </c>
      <c r="N360">
        <v>2.7</v>
      </c>
      <c r="O360">
        <v>0.63100000000000001</v>
      </c>
      <c r="P360">
        <v>0.61899999999999999</v>
      </c>
      <c r="Q360">
        <v>1.7</v>
      </c>
      <c r="R360">
        <v>0.64800000000000002</v>
      </c>
      <c r="S360">
        <v>6.1</v>
      </c>
      <c r="T360">
        <v>1.8</v>
      </c>
      <c r="U360">
        <v>0.4</v>
      </c>
      <c r="V360">
        <v>0.6</v>
      </c>
      <c r="W360">
        <v>0.8</v>
      </c>
      <c r="X360">
        <v>2.1</v>
      </c>
      <c r="Y360">
        <v>4.5</v>
      </c>
      <c r="Z360">
        <v>11</v>
      </c>
      <c r="AA360">
        <v>-0.6</v>
      </c>
      <c r="AB360">
        <v>14.8</v>
      </c>
      <c r="AC360">
        <v>0.13600000000000001</v>
      </c>
    </row>
    <row r="361" spans="1:29" x14ac:dyDescent="0.35">
      <c r="A361" s="3" t="s">
        <v>244</v>
      </c>
      <c r="B361" s="1" t="s">
        <v>2</v>
      </c>
      <c r="C361" s="1" t="s">
        <v>597</v>
      </c>
      <c r="D361" s="1" t="s">
        <v>23</v>
      </c>
      <c r="E361" s="1" t="s">
        <v>50</v>
      </c>
      <c r="F361" s="4">
        <v>-0.1</v>
      </c>
      <c r="G361">
        <v>24</v>
      </c>
      <c r="H361">
        <v>58</v>
      </c>
      <c r="I361">
        <v>12.5</v>
      </c>
      <c r="J361">
        <v>5</v>
      </c>
      <c r="K361">
        <v>0.45700000000000002</v>
      </c>
      <c r="L361">
        <v>2.1</v>
      </c>
      <c r="M361">
        <v>0.33600000000000002</v>
      </c>
      <c r="N361">
        <v>2.9</v>
      </c>
      <c r="O361">
        <v>0.54400000000000004</v>
      </c>
      <c r="P361">
        <v>0.52700000000000002</v>
      </c>
      <c r="Q361">
        <v>1.7</v>
      </c>
      <c r="R361">
        <v>0.73499999999999999</v>
      </c>
      <c r="S361">
        <v>1.7</v>
      </c>
      <c r="T361">
        <v>1.4</v>
      </c>
      <c r="U361">
        <v>0.4</v>
      </c>
      <c r="V361">
        <v>0.2</v>
      </c>
      <c r="W361">
        <v>0.7</v>
      </c>
      <c r="X361">
        <v>1</v>
      </c>
      <c r="Y361">
        <v>6.5</v>
      </c>
      <c r="Z361">
        <v>5</v>
      </c>
      <c r="AA361">
        <v>-2.4</v>
      </c>
      <c r="AB361">
        <v>13.8</v>
      </c>
      <c r="AC361">
        <v>7.4999999999999997E-2</v>
      </c>
    </row>
    <row r="362" spans="1:29" x14ac:dyDescent="0.35">
      <c r="A362" s="3" t="s">
        <v>315</v>
      </c>
      <c r="B362" s="1" t="s">
        <v>26</v>
      </c>
      <c r="C362" s="1" t="s">
        <v>35</v>
      </c>
      <c r="D362" s="1" t="s">
        <v>23</v>
      </c>
      <c r="E362" s="1" t="s">
        <v>20</v>
      </c>
      <c r="F362" s="4">
        <v>0.8</v>
      </c>
      <c r="G362">
        <v>23</v>
      </c>
      <c r="H362">
        <v>66</v>
      </c>
      <c r="I362">
        <v>20.399999999999999</v>
      </c>
      <c r="J362">
        <v>5.0999999999999996</v>
      </c>
      <c r="K362">
        <v>0.47499999999999998</v>
      </c>
      <c r="L362">
        <v>2.2000000000000002</v>
      </c>
      <c r="M362">
        <v>0.42299999999999999</v>
      </c>
      <c r="N362">
        <v>3</v>
      </c>
      <c r="O362">
        <v>0.51300000000000001</v>
      </c>
      <c r="P362">
        <v>0.56399999999999995</v>
      </c>
      <c r="Q362">
        <v>1.7</v>
      </c>
      <c r="R362">
        <v>0.67800000000000005</v>
      </c>
      <c r="S362">
        <v>3.9</v>
      </c>
      <c r="T362">
        <v>2.4</v>
      </c>
      <c r="U362">
        <v>0.9</v>
      </c>
      <c r="V362">
        <v>0.3</v>
      </c>
      <c r="W362">
        <v>1.3</v>
      </c>
      <c r="X362">
        <v>2</v>
      </c>
      <c r="Y362">
        <v>6.9</v>
      </c>
      <c r="Z362">
        <v>2</v>
      </c>
      <c r="AA362">
        <v>0.2</v>
      </c>
      <c r="AB362">
        <v>12.6</v>
      </c>
      <c r="AC362">
        <v>0.104</v>
      </c>
    </row>
    <row r="363" spans="1:29" x14ac:dyDescent="0.35">
      <c r="A363" s="3" t="s">
        <v>69</v>
      </c>
      <c r="B363" s="1" t="s">
        <v>18</v>
      </c>
      <c r="C363" s="1" t="s">
        <v>597</v>
      </c>
      <c r="D363" s="1" t="s">
        <v>19</v>
      </c>
      <c r="E363" s="1" t="s">
        <v>50</v>
      </c>
      <c r="F363" s="4">
        <v>-0.2</v>
      </c>
      <c r="G363">
        <v>21</v>
      </c>
      <c r="H363">
        <v>58</v>
      </c>
      <c r="I363">
        <v>15.6</v>
      </c>
      <c r="J363">
        <v>3.3</v>
      </c>
      <c r="K363">
        <v>0.70299999999999996</v>
      </c>
      <c r="L363">
        <v>0</v>
      </c>
      <c r="M363">
        <v>0</v>
      </c>
      <c r="N363">
        <v>3.3</v>
      </c>
      <c r="O363">
        <v>0.70699999999999996</v>
      </c>
      <c r="P363">
        <v>0.70299999999999996</v>
      </c>
      <c r="Q363">
        <v>1.7</v>
      </c>
      <c r="R363">
        <v>0.67</v>
      </c>
      <c r="S363">
        <v>4.2</v>
      </c>
      <c r="T363">
        <v>0.5</v>
      </c>
      <c r="U363">
        <v>0.4</v>
      </c>
      <c r="V363">
        <v>1.2</v>
      </c>
      <c r="W363">
        <v>1.1000000000000001</v>
      </c>
      <c r="X363">
        <v>2.2000000000000002</v>
      </c>
      <c r="Y363">
        <v>5.8</v>
      </c>
      <c r="Z363">
        <v>0</v>
      </c>
      <c r="AA363">
        <v>-2.7</v>
      </c>
      <c r="AB363">
        <v>16.5</v>
      </c>
      <c r="AC363">
        <v>0.121</v>
      </c>
    </row>
    <row r="364" spans="1:29" x14ac:dyDescent="0.35">
      <c r="A364" s="3" t="s">
        <v>72</v>
      </c>
      <c r="B364" s="1" t="s">
        <v>26</v>
      </c>
      <c r="C364" s="1" t="s">
        <v>597</v>
      </c>
      <c r="D364" s="1" t="s">
        <v>19</v>
      </c>
      <c r="E364" s="1" t="s">
        <v>28</v>
      </c>
      <c r="F364" s="4">
        <v>0.9</v>
      </c>
      <c r="G364">
        <v>32</v>
      </c>
      <c r="H364">
        <v>50</v>
      </c>
      <c r="I364">
        <v>17.2</v>
      </c>
      <c r="J364">
        <v>7.4</v>
      </c>
      <c r="K364">
        <v>0.49199999999999999</v>
      </c>
      <c r="L364">
        <v>3.9</v>
      </c>
      <c r="M364">
        <v>0.36299999999999999</v>
      </c>
      <c r="N364">
        <v>3.5</v>
      </c>
      <c r="O364">
        <v>0.63300000000000001</v>
      </c>
      <c r="P364">
        <v>0.58599999999999997</v>
      </c>
      <c r="Q364">
        <v>1.7</v>
      </c>
      <c r="R364">
        <v>0.78200000000000003</v>
      </c>
      <c r="S364">
        <v>4.5</v>
      </c>
      <c r="T364">
        <v>0.7</v>
      </c>
      <c r="U364">
        <v>0.5</v>
      </c>
      <c r="V364">
        <v>0.5</v>
      </c>
      <c r="W364">
        <v>0.6</v>
      </c>
      <c r="X364">
        <v>1.4</v>
      </c>
      <c r="Y364">
        <v>10</v>
      </c>
      <c r="Z364">
        <v>7</v>
      </c>
      <c r="AA364">
        <v>2.2999999999999998</v>
      </c>
      <c r="AB364">
        <v>18.7</v>
      </c>
      <c r="AC364">
        <v>0.14799999999999999</v>
      </c>
    </row>
    <row r="365" spans="1:29" x14ac:dyDescent="0.35">
      <c r="A365" s="3" t="s">
        <v>589</v>
      </c>
      <c r="B365" s="1" t="s">
        <v>2</v>
      </c>
      <c r="C365" s="1" t="s">
        <v>597</v>
      </c>
      <c r="D365" s="1" t="s">
        <v>23</v>
      </c>
      <c r="E365" s="1" t="s">
        <v>50</v>
      </c>
      <c r="F365" s="4">
        <v>-0.1</v>
      </c>
      <c r="G365">
        <v>24</v>
      </c>
      <c r="H365">
        <v>20</v>
      </c>
      <c r="I365">
        <v>13.3</v>
      </c>
      <c r="J365">
        <v>5.3</v>
      </c>
      <c r="K365">
        <v>0.39</v>
      </c>
      <c r="L365">
        <v>1.7</v>
      </c>
      <c r="M365">
        <v>0.39400000000000002</v>
      </c>
      <c r="N365">
        <v>3.6</v>
      </c>
      <c r="O365">
        <v>0.38900000000000001</v>
      </c>
      <c r="P365">
        <v>0.45200000000000001</v>
      </c>
      <c r="Q365">
        <v>1.7</v>
      </c>
      <c r="R365">
        <v>0.73499999999999999</v>
      </c>
      <c r="S365">
        <v>1.6</v>
      </c>
      <c r="T365">
        <v>1.4</v>
      </c>
      <c r="U365">
        <v>0.6</v>
      </c>
      <c r="V365">
        <v>0</v>
      </c>
      <c r="W365">
        <v>0.9</v>
      </c>
      <c r="X365">
        <v>1.1000000000000001</v>
      </c>
      <c r="Y365">
        <v>6</v>
      </c>
      <c r="Z365">
        <v>1</v>
      </c>
      <c r="AA365">
        <v>-4</v>
      </c>
      <c r="AB365">
        <v>10.9</v>
      </c>
      <c r="AC365">
        <v>0.01</v>
      </c>
    </row>
    <row r="366" spans="1:29" x14ac:dyDescent="0.35">
      <c r="A366" s="3" t="s">
        <v>562</v>
      </c>
      <c r="B366" s="1" t="s">
        <v>2</v>
      </c>
      <c r="C366" s="1" t="s">
        <v>598</v>
      </c>
      <c r="D366" s="1" t="s">
        <v>23</v>
      </c>
      <c r="E366" s="1" t="s">
        <v>50</v>
      </c>
      <c r="F366" s="4">
        <v>-0.1</v>
      </c>
      <c r="G366">
        <v>21</v>
      </c>
      <c r="H366">
        <v>79</v>
      </c>
      <c r="I366">
        <v>25.9</v>
      </c>
      <c r="J366">
        <v>8.6</v>
      </c>
      <c r="K366">
        <v>0.42499999999999999</v>
      </c>
      <c r="L366">
        <v>5</v>
      </c>
      <c r="M366">
        <v>0.35199999999999998</v>
      </c>
      <c r="N366">
        <v>3.6</v>
      </c>
      <c r="O366">
        <v>0.52500000000000002</v>
      </c>
      <c r="P366">
        <v>0.52700000000000002</v>
      </c>
      <c r="Q366">
        <v>1.7</v>
      </c>
      <c r="R366">
        <v>0.82199999999999995</v>
      </c>
      <c r="S366">
        <v>3.4</v>
      </c>
      <c r="T366">
        <v>1.7</v>
      </c>
      <c r="U366">
        <v>0.6</v>
      </c>
      <c r="V366">
        <v>0.1</v>
      </c>
      <c r="W366">
        <v>0.9</v>
      </c>
      <c r="X366">
        <v>1.8</v>
      </c>
      <c r="Y366">
        <v>10.4</v>
      </c>
      <c r="Z366">
        <v>0</v>
      </c>
      <c r="AA366">
        <v>-2.2000000000000002</v>
      </c>
      <c r="AB366">
        <v>10.5</v>
      </c>
      <c r="AC366">
        <v>8.3000000000000004E-2</v>
      </c>
    </row>
    <row r="367" spans="1:29" x14ac:dyDescent="0.35">
      <c r="A367" s="3" t="s">
        <v>61</v>
      </c>
      <c r="B367" s="1" t="s">
        <v>2</v>
      </c>
      <c r="C367" s="1" t="s">
        <v>597</v>
      </c>
      <c r="D367" s="1" t="s">
        <v>23</v>
      </c>
      <c r="E367" s="1" t="s">
        <v>20</v>
      </c>
      <c r="F367" s="4">
        <v>1.6</v>
      </c>
      <c r="G367">
        <v>28</v>
      </c>
      <c r="H367">
        <v>82</v>
      </c>
      <c r="I367">
        <v>27.8</v>
      </c>
      <c r="J367">
        <v>13.1</v>
      </c>
      <c r="K367">
        <v>0.43</v>
      </c>
      <c r="L367">
        <v>9.3000000000000007</v>
      </c>
      <c r="M367">
        <v>0.41599999999999998</v>
      </c>
      <c r="N367">
        <v>3.7</v>
      </c>
      <c r="O367">
        <v>0.46600000000000003</v>
      </c>
      <c r="P367">
        <v>0.57899999999999996</v>
      </c>
      <c r="Q367">
        <v>1.7</v>
      </c>
      <c r="R367">
        <v>0.67900000000000005</v>
      </c>
      <c r="S367">
        <v>2.6</v>
      </c>
      <c r="T367">
        <v>1.7</v>
      </c>
      <c r="U367">
        <v>0.9</v>
      </c>
      <c r="V367">
        <v>0.1</v>
      </c>
      <c r="W367">
        <v>1</v>
      </c>
      <c r="X367">
        <v>1.5</v>
      </c>
      <c r="Y367">
        <v>16.3</v>
      </c>
      <c r="Z367">
        <v>8</v>
      </c>
      <c r="AA367">
        <v>0.8</v>
      </c>
      <c r="AB367">
        <v>14.4</v>
      </c>
      <c r="AC367">
        <v>0.1</v>
      </c>
    </row>
    <row r="368" spans="1:29" x14ac:dyDescent="0.35">
      <c r="A368" s="3" t="s">
        <v>37</v>
      </c>
      <c r="B368" s="1" t="s">
        <v>2</v>
      </c>
      <c r="C368" s="1" t="s">
        <v>597</v>
      </c>
      <c r="D368" s="1" t="s">
        <v>23</v>
      </c>
      <c r="E368" s="1" t="s">
        <v>20</v>
      </c>
      <c r="F368" s="4">
        <v>0.7</v>
      </c>
      <c r="G368">
        <v>24</v>
      </c>
      <c r="H368">
        <v>67</v>
      </c>
      <c r="I368">
        <v>18.399999999999999</v>
      </c>
      <c r="J368">
        <v>8.1</v>
      </c>
      <c r="K368">
        <v>0.42399999999999999</v>
      </c>
      <c r="L368">
        <v>3.3</v>
      </c>
      <c r="M368">
        <v>0.35299999999999998</v>
      </c>
      <c r="N368">
        <v>4.9000000000000004</v>
      </c>
      <c r="O368">
        <v>0.47099999999999997</v>
      </c>
      <c r="P368">
        <v>0.49399999999999999</v>
      </c>
      <c r="Q368">
        <v>1.7</v>
      </c>
      <c r="R368">
        <v>0.82299999999999995</v>
      </c>
      <c r="S368">
        <v>3</v>
      </c>
      <c r="T368">
        <v>2.9</v>
      </c>
      <c r="U368">
        <v>0.7</v>
      </c>
      <c r="V368">
        <v>0.5</v>
      </c>
      <c r="W368">
        <v>1.5</v>
      </c>
      <c r="X368">
        <v>2.2999999999999998</v>
      </c>
      <c r="Y368">
        <v>9.4</v>
      </c>
      <c r="Z368">
        <v>4</v>
      </c>
      <c r="AA368">
        <v>0.1</v>
      </c>
      <c r="AB368">
        <v>14.2</v>
      </c>
      <c r="AC368">
        <v>7.8E-2</v>
      </c>
    </row>
    <row r="369" spans="1:29" x14ac:dyDescent="0.35">
      <c r="A369" s="3" t="s">
        <v>330</v>
      </c>
      <c r="B369" s="1" t="s">
        <v>18</v>
      </c>
      <c r="C369" s="1" t="s">
        <v>597</v>
      </c>
      <c r="D369" s="1" t="s">
        <v>23</v>
      </c>
      <c r="E369" s="1" t="s">
        <v>20</v>
      </c>
      <c r="F369" s="4">
        <v>1.8</v>
      </c>
      <c r="G369">
        <v>36</v>
      </c>
      <c r="H369">
        <v>80</v>
      </c>
      <c r="I369">
        <v>31.8</v>
      </c>
      <c r="J369">
        <v>9.6999999999999993</v>
      </c>
      <c r="K369">
        <v>0.50900000000000001</v>
      </c>
      <c r="L369">
        <v>4.7</v>
      </c>
      <c r="M369">
        <v>0.373</v>
      </c>
      <c r="N369">
        <v>5</v>
      </c>
      <c r="O369">
        <v>0.63600000000000001</v>
      </c>
      <c r="P369">
        <v>0.59899999999999998</v>
      </c>
      <c r="Q369">
        <v>1.7</v>
      </c>
      <c r="R369">
        <v>0.82599999999999996</v>
      </c>
      <c r="S369">
        <v>5</v>
      </c>
      <c r="T369">
        <v>1.8</v>
      </c>
      <c r="U369">
        <v>0.6</v>
      </c>
      <c r="V369">
        <v>1.9</v>
      </c>
      <c r="W369">
        <v>1.1000000000000001</v>
      </c>
      <c r="X369">
        <v>2.1</v>
      </c>
      <c r="Y369">
        <v>13</v>
      </c>
      <c r="Z369">
        <v>16</v>
      </c>
      <c r="AA369">
        <v>0.8</v>
      </c>
      <c r="AB369">
        <v>14.8</v>
      </c>
      <c r="AC369">
        <v>0.124</v>
      </c>
    </row>
    <row r="370" spans="1:29" x14ac:dyDescent="0.35">
      <c r="A370" s="3" t="s">
        <v>463</v>
      </c>
      <c r="B370" s="1" t="s">
        <v>2</v>
      </c>
      <c r="C370" s="1" t="s">
        <v>597</v>
      </c>
      <c r="D370" s="1" t="s">
        <v>23</v>
      </c>
      <c r="E370" s="1" t="s">
        <v>20</v>
      </c>
      <c r="F370" s="4">
        <v>-0.7</v>
      </c>
      <c r="G370">
        <v>30</v>
      </c>
      <c r="H370">
        <v>64</v>
      </c>
      <c r="I370">
        <v>25.9</v>
      </c>
      <c r="J370">
        <v>9.9</v>
      </c>
      <c r="K370">
        <v>0.39100000000000001</v>
      </c>
      <c r="L370">
        <v>4.8</v>
      </c>
      <c r="M370">
        <v>0.29499999999999998</v>
      </c>
      <c r="N370">
        <v>5.0999999999999996</v>
      </c>
      <c r="O370">
        <v>0.48</v>
      </c>
      <c r="P370">
        <v>0.46200000000000002</v>
      </c>
      <c r="Q370">
        <v>1.7</v>
      </c>
      <c r="R370">
        <v>0.85199999999999998</v>
      </c>
      <c r="S370">
        <v>3.7</v>
      </c>
      <c r="T370">
        <v>2.6</v>
      </c>
      <c r="U370">
        <v>0.6</v>
      </c>
      <c r="V370">
        <v>0.2</v>
      </c>
      <c r="W370">
        <v>1.2</v>
      </c>
      <c r="X370">
        <v>1.1000000000000001</v>
      </c>
      <c r="Y370">
        <v>10.6</v>
      </c>
      <c r="Z370">
        <v>9</v>
      </c>
      <c r="AA370">
        <v>-3.7</v>
      </c>
      <c r="AB370">
        <v>10.5</v>
      </c>
      <c r="AC370">
        <v>2.9000000000000001E-2</v>
      </c>
    </row>
    <row r="371" spans="1:29" x14ac:dyDescent="0.35">
      <c r="A371" s="3" t="s">
        <v>156</v>
      </c>
      <c r="B371" s="1" t="s">
        <v>2</v>
      </c>
      <c r="C371" s="1" t="s">
        <v>597</v>
      </c>
      <c r="D371" s="1" t="s">
        <v>23</v>
      </c>
      <c r="E371" s="1" t="s">
        <v>50</v>
      </c>
      <c r="F371" s="4">
        <v>0.1</v>
      </c>
      <c r="G371">
        <v>25</v>
      </c>
      <c r="H371">
        <v>46</v>
      </c>
      <c r="I371">
        <v>30.3</v>
      </c>
      <c r="J371">
        <v>9.8000000000000007</v>
      </c>
      <c r="K371">
        <v>0.49199999999999999</v>
      </c>
      <c r="L371">
        <v>4.0999999999999996</v>
      </c>
      <c r="M371">
        <v>0.32800000000000001</v>
      </c>
      <c r="N371">
        <v>5.7</v>
      </c>
      <c r="O371">
        <v>0.61199999999999999</v>
      </c>
      <c r="P371">
        <v>0.56100000000000005</v>
      </c>
      <c r="Q371">
        <v>1.7</v>
      </c>
      <c r="R371">
        <v>0.78500000000000003</v>
      </c>
      <c r="S371">
        <v>3.5</v>
      </c>
      <c r="T371">
        <v>4.5</v>
      </c>
      <c r="U371">
        <v>0.9</v>
      </c>
      <c r="V371">
        <v>0.4</v>
      </c>
      <c r="W371">
        <v>1.5</v>
      </c>
      <c r="X371">
        <v>2.2999999999999998</v>
      </c>
      <c r="Y371">
        <v>12.3</v>
      </c>
      <c r="Z371">
        <v>3</v>
      </c>
      <c r="AA371">
        <v>-1.6</v>
      </c>
      <c r="AB371">
        <v>12.8</v>
      </c>
      <c r="AC371">
        <v>8.6999999999999994E-2</v>
      </c>
    </row>
    <row r="372" spans="1:29" x14ac:dyDescent="0.35">
      <c r="A372" s="3" t="s">
        <v>30</v>
      </c>
      <c r="B372" s="1" t="s">
        <v>2</v>
      </c>
      <c r="C372" s="1" t="s">
        <v>598</v>
      </c>
      <c r="D372" s="1" t="s">
        <v>23</v>
      </c>
      <c r="E372" s="1" t="s">
        <v>20</v>
      </c>
      <c r="F372" s="4">
        <v>0.7</v>
      </c>
      <c r="G372">
        <v>29</v>
      </c>
      <c r="H372">
        <v>64</v>
      </c>
      <c r="I372">
        <v>24.1</v>
      </c>
      <c r="J372">
        <v>7.6</v>
      </c>
      <c r="K372">
        <v>0.44800000000000001</v>
      </c>
      <c r="L372">
        <v>5.5</v>
      </c>
      <c r="M372">
        <v>0.42599999999999999</v>
      </c>
      <c r="N372">
        <v>2.2000000000000002</v>
      </c>
      <c r="O372">
        <v>0.504</v>
      </c>
      <c r="P372">
        <v>0.6</v>
      </c>
      <c r="Q372">
        <v>1.8</v>
      </c>
      <c r="R372">
        <v>0.81599999999999995</v>
      </c>
      <c r="S372">
        <v>3</v>
      </c>
      <c r="T372">
        <v>2.1</v>
      </c>
      <c r="U372">
        <v>0.8</v>
      </c>
      <c r="V372">
        <v>0.3</v>
      </c>
      <c r="W372">
        <v>1.2</v>
      </c>
      <c r="X372">
        <v>1.5</v>
      </c>
      <c r="Y372">
        <v>10.6</v>
      </c>
      <c r="Z372">
        <v>6</v>
      </c>
      <c r="AA372">
        <v>-0.3</v>
      </c>
      <c r="AB372">
        <v>13.7</v>
      </c>
      <c r="AC372">
        <v>7.9000000000000001E-2</v>
      </c>
    </row>
    <row r="373" spans="1:29" x14ac:dyDescent="0.35">
      <c r="A373" s="3" t="s">
        <v>90</v>
      </c>
      <c r="B373" s="1" t="s">
        <v>2</v>
      </c>
      <c r="C373" s="1" t="s">
        <v>597</v>
      </c>
      <c r="D373" s="1" t="s">
        <v>23</v>
      </c>
      <c r="E373" s="1" t="s">
        <v>20</v>
      </c>
      <c r="F373" s="4">
        <v>-0.1</v>
      </c>
      <c r="G373">
        <v>21</v>
      </c>
      <c r="H373">
        <v>10</v>
      </c>
      <c r="I373">
        <v>12.4</v>
      </c>
      <c r="J373">
        <v>4.7</v>
      </c>
      <c r="K373">
        <v>0.38300000000000001</v>
      </c>
      <c r="L373">
        <v>1.9</v>
      </c>
      <c r="M373">
        <v>0.21099999999999999</v>
      </c>
      <c r="N373">
        <v>2.8</v>
      </c>
      <c r="O373">
        <v>0.5</v>
      </c>
      <c r="P373">
        <v>0.42599999999999999</v>
      </c>
      <c r="Q373">
        <v>1.8</v>
      </c>
      <c r="R373">
        <v>0.72199999999999998</v>
      </c>
      <c r="S373">
        <v>2.1</v>
      </c>
      <c r="T373">
        <v>1.7</v>
      </c>
      <c r="U373">
        <v>0.3</v>
      </c>
      <c r="V373">
        <v>0.2</v>
      </c>
      <c r="W373">
        <v>0.8</v>
      </c>
      <c r="X373">
        <v>0.9</v>
      </c>
      <c r="Y373">
        <v>5.3</v>
      </c>
      <c r="Z373">
        <v>1</v>
      </c>
      <c r="AA373">
        <v>-4</v>
      </c>
      <c r="AB373">
        <v>10.5</v>
      </c>
      <c r="AC373">
        <v>1.7999999999999999E-2</v>
      </c>
    </row>
    <row r="374" spans="1:29" x14ac:dyDescent="0.35">
      <c r="A374" s="3" t="s">
        <v>381</v>
      </c>
      <c r="B374" s="1" t="s">
        <v>2</v>
      </c>
      <c r="C374" s="1" t="s">
        <v>598</v>
      </c>
      <c r="D374" s="1" t="s">
        <v>23</v>
      </c>
      <c r="E374" s="1" t="s">
        <v>20</v>
      </c>
      <c r="F374" s="4">
        <v>0.5</v>
      </c>
      <c r="G374">
        <v>22</v>
      </c>
      <c r="H374">
        <v>74</v>
      </c>
      <c r="I374">
        <v>22.3</v>
      </c>
      <c r="J374">
        <v>7.7</v>
      </c>
      <c r="K374">
        <v>0.433</v>
      </c>
      <c r="L374">
        <v>4.5999999999999996</v>
      </c>
      <c r="M374">
        <v>0.374</v>
      </c>
      <c r="N374">
        <v>3.1</v>
      </c>
      <c r="O374">
        <v>0.51900000000000002</v>
      </c>
      <c r="P374">
        <v>0.54400000000000004</v>
      </c>
      <c r="Q374">
        <v>1.8</v>
      </c>
      <c r="R374">
        <v>0.79700000000000004</v>
      </c>
      <c r="S374">
        <v>2.6</v>
      </c>
      <c r="T374">
        <v>1.3</v>
      </c>
      <c r="U374">
        <v>0.8</v>
      </c>
      <c r="V374">
        <v>0.4</v>
      </c>
      <c r="W374">
        <v>0.7</v>
      </c>
      <c r="X374">
        <v>1.6</v>
      </c>
      <c r="Y374">
        <v>9.8000000000000007</v>
      </c>
      <c r="Z374">
        <v>3</v>
      </c>
      <c r="AA374">
        <v>-0.9</v>
      </c>
      <c r="AB374">
        <v>12.4</v>
      </c>
      <c r="AC374">
        <v>0.10199999999999999</v>
      </c>
    </row>
    <row r="375" spans="1:29" x14ac:dyDescent="0.35">
      <c r="A375" s="3" t="s">
        <v>451</v>
      </c>
      <c r="B375" s="1" t="s">
        <v>2</v>
      </c>
      <c r="C375" s="1" t="s">
        <v>35</v>
      </c>
      <c r="D375" s="1" t="s">
        <v>23</v>
      </c>
      <c r="E375" s="1" t="s">
        <v>28</v>
      </c>
      <c r="F375" s="4">
        <v>0.1</v>
      </c>
      <c r="G375">
        <v>25</v>
      </c>
      <c r="H375">
        <v>14</v>
      </c>
      <c r="I375">
        <v>16.2</v>
      </c>
      <c r="J375">
        <v>6.2</v>
      </c>
      <c r="K375">
        <v>0.48299999999999998</v>
      </c>
      <c r="L375">
        <v>2.8</v>
      </c>
      <c r="M375">
        <v>0.308</v>
      </c>
      <c r="N375">
        <v>3.4</v>
      </c>
      <c r="O375">
        <v>0.625</v>
      </c>
      <c r="P375">
        <v>0.55200000000000005</v>
      </c>
      <c r="Q375">
        <v>1.8</v>
      </c>
      <c r="R375">
        <v>0.88</v>
      </c>
      <c r="S375">
        <v>3</v>
      </c>
      <c r="T375">
        <v>1.1000000000000001</v>
      </c>
      <c r="U375">
        <v>0.7</v>
      </c>
      <c r="V375">
        <v>0.1</v>
      </c>
      <c r="W375">
        <v>0.6</v>
      </c>
      <c r="X375">
        <v>1.4</v>
      </c>
      <c r="Y375">
        <v>8.4</v>
      </c>
      <c r="Z375">
        <v>2</v>
      </c>
      <c r="AA375">
        <v>-0.5</v>
      </c>
      <c r="AB375">
        <v>16.399999999999999</v>
      </c>
      <c r="AC375">
        <v>0.13100000000000001</v>
      </c>
    </row>
    <row r="376" spans="1:29" x14ac:dyDescent="0.35">
      <c r="A376" s="3" t="s">
        <v>122</v>
      </c>
      <c r="B376" s="1" t="s">
        <v>2</v>
      </c>
      <c r="C376" s="1" t="s">
        <v>598</v>
      </c>
      <c r="D376" s="1" t="s">
        <v>23</v>
      </c>
      <c r="E376" s="1" t="s">
        <v>28</v>
      </c>
      <c r="F376" s="4">
        <v>0.1</v>
      </c>
      <c r="G376">
        <v>27</v>
      </c>
      <c r="H376">
        <v>72</v>
      </c>
      <c r="I376">
        <v>24.3</v>
      </c>
      <c r="J376">
        <v>7.1</v>
      </c>
      <c r="K376">
        <v>0.47099999999999997</v>
      </c>
      <c r="L376">
        <v>3.4</v>
      </c>
      <c r="M376">
        <v>0.40899999999999997</v>
      </c>
      <c r="N376">
        <v>3.7</v>
      </c>
      <c r="O376">
        <v>0.52900000000000003</v>
      </c>
      <c r="P376">
        <v>0.56999999999999995</v>
      </c>
      <c r="Q376">
        <v>1.8</v>
      </c>
      <c r="R376">
        <v>0.89100000000000001</v>
      </c>
      <c r="S376">
        <v>2.2000000000000002</v>
      </c>
      <c r="T376">
        <v>1.1000000000000001</v>
      </c>
      <c r="U376">
        <v>0.6</v>
      </c>
      <c r="V376">
        <v>0.1</v>
      </c>
      <c r="W376">
        <v>0.6</v>
      </c>
      <c r="X376">
        <v>1.7</v>
      </c>
      <c r="Y376">
        <v>9.6999999999999993</v>
      </c>
      <c r="Z376">
        <v>5</v>
      </c>
      <c r="AA376">
        <v>-1.7</v>
      </c>
      <c r="AB376">
        <v>11.2</v>
      </c>
      <c r="AC376">
        <v>0.111</v>
      </c>
    </row>
    <row r="377" spans="1:29" x14ac:dyDescent="0.35">
      <c r="A377" s="3" t="s">
        <v>230</v>
      </c>
      <c r="B377" s="1" t="s">
        <v>18</v>
      </c>
      <c r="C377" s="1" t="s">
        <v>598</v>
      </c>
      <c r="D377" s="1" t="s">
        <v>23</v>
      </c>
      <c r="E377" s="1" t="s">
        <v>20</v>
      </c>
      <c r="F377" s="4">
        <v>0.5</v>
      </c>
      <c r="G377">
        <v>24</v>
      </c>
      <c r="H377">
        <v>56</v>
      </c>
      <c r="I377">
        <v>19.5</v>
      </c>
      <c r="J377">
        <v>4</v>
      </c>
      <c r="K377">
        <v>0.72199999999999998</v>
      </c>
      <c r="L377">
        <v>0.1</v>
      </c>
      <c r="M377">
        <v>0</v>
      </c>
      <c r="N377">
        <v>3.9</v>
      </c>
      <c r="O377">
        <v>0.73199999999999998</v>
      </c>
      <c r="P377">
        <v>0.72199999999999998</v>
      </c>
      <c r="Q377">
        <v>1.8</v>
      </c>
      <c r="R377">
        <v>0.622</v>
      </c>
      <c r="S377">
        <v>4.8</v>
      </c>
      <c r="T377">
        <v>1</v>
      </c>
      <c r="U377">
        <v>0.6</v>
      </c>
      <c r="V377">
        <v>0.9</v>
      </c>
      <c r="W377">
        <v>0.8</v>
      </c>
      <c r="X377">
        <v>2.4</v>
      </c>
      <c r="Y377">
        <v>6.8</v>
      </c>
      <c r="Z377">
        <v>5</v>
      </c>
      <c r="AA377">
        <v>-0.3</v>
      </c>
      <c r="AB377">
        <v>15.8</v>
      </c>
      <c r="AC377">
        <v>0.16200000000000001</v>
      </c>
    </row>
    <row r="378" spans="1:29" x14ac:dyDescent="0.35">
      <c r="A378" s="3" t="s">
        <v>229</v>
      </c>
      <c r="B378" s="1" t="s">
        <v>2</v>
      </c>
      <c r="C378" s="1" t="s">
        <v>598</v>
      </c>
      <c r="D378" s="1" t="s">
        <v>23</v>
      </c>
      <c r="E378" s="1" t="s">
        <v>20</v>
      </c>
      <c r="F378" s="4">
        <v>-1.2</v>
      </c>
      <c r="G378">
        <v>22</v>
      </c>
      <c r="H378">
        <v>56</v>
      </c>
      <c r="I378">
        <v>23.6</v>
      </c>
      <c r="J378">
        <v>9.9</v>
      </c>
      <c r="K378">
        <v>0.372</v>
      </c>
      <c r="L378">
        <v>5.9</v>
      </c>
      <c r="M378">
        <v>0.33100000000000002</v>
      </c>
      <c r="N378">
        <v>4</v>
      </c>
      <c r="O378">
        <v>0.433</v>
      </c>
      <c r="P378">
        <v>0.47099999999999997</v>
      </c>
      <c r="Q378">
        <v>1.8</v>
      </c>
      <c r="R378">
        <v>0.81599999999999995</v>
      </c>
      <c r="S378">
        <v>2.8</v>
      </c>
      <c r="T378">
        <v>1.2</v>
      </c>
      <c r="U378">
        <v>0.5</v>
      </c>
      <c r="V378">
        <v>0.4</v>
      </c>
      <c r="W378">
        <v>1</v>
      </c>
      <c r="X378">
        <v>0.9</v>
      </c>
      <c r="Y378">
        <v>10.8</v>
      </c>
      <c r="Z378">
        <v>1</v>
      </c>
      <c r="AA378">
        <v>-5.4</v>
      </c>
      <c r="AB378">
        <v>9.6</v>
      </c>
      <c r="AC378">
        <v>-0.02</v>
      </c>
    </row>
    <row r="379" spans="1:29" x14ac:dyDescent="0.35">
      <c r="A379" s="3" t="s">
        <v>396</v>
      </c>
      <c r="B379" s="1" t="s">
        <v>26</v>
      </c>
      <c r="C379" s="1" t="s">
        <v>597</v>
      </c>
      <c r="D379" s="1" t="s">
        <v>23</v>
      </c>
      <c r="E379" s="1" t="s">
        <v>20</v>
      </c>
      <c r="F379" s="4">
        <v>0.4</v>
      </c>
      <c r="G379">
        <v>25</v>
      </c>
      <c r="H379">
        <v>45</v>
      </c>
      <c r="I379">
        <v>24.9</v>
      </c>
      <c r="J379">
        <v>8.4</v>
      </c>
      <c r="K379">
        <v>0.50700000000000001</v>
      </c>
      <c r="L379">
        <v>4.3</v>
      </c>
      <c r="M379">
        <v>0.43099999999999999</v>
      </c>
      <c r="N379">
        <v>4.0999999999999996</v>
      </c>
      <c r="O379">
        <v>0.58699999999999997</v>
      </c>
      <c r="P379">
        <v>0.61699999999999999</v>
      </c>
      <c r="Q379">
        <v>1.8</v>
      </c>
      <c r="R379">
        <v>0.91300000000000003</v>
      </c>
      <c r="S379">
        <v>4</v>
      </c>
      <c r="T379">
        <v>1.2</v>
      </c>
      <c r="U379">
        <v>0.8</v>
      </c>
      <c r="V379">
        <v>0.4</v>
      </c>
      <c r="W379">
        <v>0.8</v>
      </c>
      <c r="X379">
        <v>2.5</v>
      </c>
      <c r="Y379">
        <v>12</v>
      </c>
      <c r="Z379">
        <v>4</v>
      </c>
      <c r="AA379">
        <v>-0.5</v>
      </c>
      <c r="AB379">
        <v>14.6</v>
      </c>
      <c r="AC379">
        <v>0.126</v>
      </c>
    </row>
    <row r="380" spans="1:29" x14ac:dyDescent="0.35">
      <c r="A380" s="3" t="s">
        <v>279</v>
      </c>
      <c r="B380" s="1" t="s">
        <v>2</v>
      </c>
      <c r="C380" s="1" t="s">
        <v>597</v>
      </c>
      <c r="D380" s="1" t="s">
        <v>23</v>
      </c>
      <c r="E380" s="1" t="s">
        <v>20</v>
      </c>
      <c r="F380" s="4">
        <v>-0.6</v>
      </c>
      <c r="G380">
        <v>22</v>
      </c>
      <c r="H380">
        <v>79</v>
      </c>
      <c r="I380">
        <v>24.4</v>
      </c>
      <c r="J380">
        <v>9.9</v>
      </c>
      <c r="K380">
        <v>0.38900000000000001</v>
      </c>
      <c r="L380">
        <v>5.0999999999999996</v>
      </c>
      <c r="M380">
        <v>0.314</v>
      </c>
      <c r="N380">
        <v>4.8</v>
      </c>
      <c r="O380">
        <v>0.46800000000000003</v>
      </c>
      <c r="P380">
        <v>0.47</v>
      </c>
      <c r="Q380">
        <v>1.8</v>
      </c>
      <c r="R380">
        <v>0.77</v>
      </c>
      <c r="S380">
        <v>3.8</v>
      </c>
      <c r="T380">
        <v>2.2000000000000002</v>
      </c>
      <c r="U380">
        <v>1</v>
      </c>
      <c r="V380">
        <v>0.4</v>
      </c>
      <c r="W380">
        <v>1.5</v>
      </c>
      <c r="X380">
        <v>2.6</v>
      </c>
      <c r="Y380">
        <v>10.6</v>
      </c>
      <c r="Z380">
        <v>3</v>
      </c>
      <c r="AA380">
        <v>-3.3</v>
      </c>
      <c r="AB380">
        <v>10.4</v>
      </c>
      <c r="AC380">
        <v>1.4E-2</v>
      </c>
    </row>
    <row r="381" spans="1:29" x14ac:dyDescent="0.35">
      <c r="A381" s="3" t="s">
        <v>450</v>
      </c>
      <c r="B381" s="1" t="s">
        <v>18</v>
      </c>
      <c r="C381" s="1" t="s">
        <v>598</v>
      </c>
      <c r="D381" s="1" t="s">
        <v>23</v>
      </c>
      <c r="E381" s="1" t="s">
        <v>28</v>
      </c>
      <c r="F381" s="4">
        <v>2</v>
      </c>
      <c r="G381">
        <v>25</v>
      </c>
      <c r="H381">
        <v>80</v>
      </c>
      <c r="I381">
        <v>27.5</v>
      </c>
      <c r="J381">
        <v>11.5</v>
      </c>
      <c r="K381">
        <v>0.46200000000000002</v>
      </c>
      <c r="L381">
        <v>5.8</v>
      </c>
      <c r="M381">
        <v>0.379</v>
      </c>
      <c r="N381">
        <v>5.8</v>
      </c>
      <c r="O381">
        <v>0.54400000000000004</v>
      </c>
      <c r="P381">
        <v>0.55600000000000005</v>
      </c>
      <c r="Q381">
        <v>1.8</v>
      </c>
      <c r="R381">
        <v>0.77600000000000002</v>
      </c>
      <c r="S381">
        <v>6</v>
      </c>
      <c r="T381">
        <v>2.2999999999999998</v>
      </c>
      <c r="U381">
        <v>0.7</v>
      </c>
      <c r="V381">
        <v>0.9</v>
      </c>
      <c r="W381">
        <v>1.4</v>
      </c>
      <c r="X381">
        <v>2.4</v>
      </c>
      <c r="Y381">
        <v>14.2</v>
      </c>
      <c r="Z381">
        <v>5</v>
      </c>
      <c r="AA381">
        <v>1.6</v>
      </c>
      <c r="AB381">
        <v>15.8</v>
      </c>
      <c r="AC381">
        <v>0.125</v>
      </c>
    </row>
    <row r="382" spans="1:29" x14ac:dyDescent="0.35">
      <c r="A382" s="3" t="s">
        <v>167</v>
      </c>
      <c r="B382" s="1" t="s">
        <v>26</v>
      </c>
      <c r="C382" s="1" t="s">
        <v>598</v>
      </c>
      <c r="D382" s="1" t="s">
        <v>23</v>
      </c>
      <c r="E382" s="1" t="s">
        <v>20</v>
      </c>
      <c r="F382" s="4">
        <v>2</v>
      </c>
      <c r="G382">
        <v>23</v>
      </c>
      <c r="H382">
        <v>57</v>
      </c>
      <c r="I382">
        <v>24.9</v>
      </c>
      <c r="J382">
        <v>9.8000000000000007</v>
      </c>
      <c r="K382">
        <v>0.48699999999999999</v>
      </c>
      <c r="L382">
        <v>3.2</v>
      </c>
      <c r="M382">
        <v>0.34200000000000003</v>
      </c>
      <c r="N382">
        <v>6.6</v>
      </c>
      <c r="O382">
        <v>0.55700000000000005</v>
      </c>
      <c r="P382">
        <v>0.54300000000000004</v>
      </c>
      <c r="Q382">
        <v>1.8</v>
      </c>
      <c r="R382">
        <v>0.76</v>
      </c>
      <c r="S382">
        <v>6.4</v>
      </c>
      <c r="T382">
        <v>1.5</v>
      </c>
      <c r="U382">
        <v>1.7</v>
      </c>
      <c r="V382">
        <v>0.9</v>
      </c>
      <c r="W382">
        <v>1.1000000000000001</v>
      </c>
      <c r="X382">
        <v>2.4</v>
      </c>
      <c r="Y382">
        <v>12</v>
      </c>
      <c r="Z382">
        <v>2</v>
      </c>
      <c r="AA382">
        <v>3.6</v>
      </c>
      <c r="AB382">
        <v>18.5</v>
      </c>
      <c r="AC382">
        <v>0.16900000000000001</v>
      </c>
    </row>
    <row r="383" spans="1:29" x14ac:dyDescent="0.35">
      <c r="A383" s="3" t="s">
        <v>99</v>
      </c>
      <c r="B383" s="1" t="s">
        <v>18</v>
      </c>
      <c r="C383" s="1" t="s">
        <v>597</v>
      </c>
      <c r="D383" s="1" t="s">
        <v>19</v>
      </c>
      <c r="E383" s="1" t="s">
        <v>20</v>
      </c>
      <c r="F383" s="4">
        <v>0.3</v>
      </c>
      <c r="G383">
        <v>30</v>
      </c>
      <c r="H383">
        <v>55</v>
      </c>
      <c r="I383">
        <v>21.4</v>
      </c>
      <c r="J383">
        <v>7.1</v>
      </c>
      <c r="K383">
        <v>0.55900000000000005</v>
      </c>
      <c r="L383">
        <v>0</v>
      </c>
      <c r="M383">
        <v>0</v>
      </c>
      <c r="N383">
        <v>7.1</v>
      </c>
      <c r="O383">
        <v>0.56000000000000005</v>
      </c>
      <c r="P383">
        <v>0.55900000000000005</v>
      </c>
      <c r="Q383">
        <v>1.8</v>
      </c>
      <c r="R383">
        <v>0.53600000000000003</v>
      </c>
      <c r="S383">
        <v>8.5</v>
      </c>
      <c r="T383">
        <v>1.1000000000000001</v>
      </c>
      <c r="U383">
        <v>0.6</v>
      </c>
      <c r="V383">
        <v>1</v>
      </c>
      <c r="W383">
        <v>0.9</v>
      </c>
      <c r="X383">
        <v>1.9</v>
      </c>
      <c r="Y383">
        <v>8.9</v>
      </c>
      <c r="Z383">
        <v>10</v>
      </c>
      <c r="AA383">
        <v>-1</v>
      </c>
      <c r="AB383">
        <v>17.7</v>
      </c>
      <c r="AC383">
        <v>0.13100000000000001</v>
      </c>
    </row>
    <row r="384" spans="1:29" x14ac:dyDescent="0.35">
      <c r="A384" s="3" t="s">
        <v>524</v>
      </c>
      <c r="B384" s="1" t="s">
        <v>26</v>
      </c>
      <c r="C384" s="1" t="s">
        <v>597</v>
      </c>
      <c r="D384" s="1" t="s">
        <v>23</v>
      </c>
      <c r="E384" s="1" t="s">
        <v>28</v>
      </c>
      <c r="F384" s="4">
        <v>-0.3</v>
      </c>
      <c r="G384">
        <v>24</v>
      </c>
      <c r="H384">
        <v>9</v>
      </c>
      <c r="I384">
        <v>28.2</v>
      </c>
      <c r="J384">
        <v>11.3</v>
      </c>
      <c r="K384">
        <v>0.441</v>
      </c>
      <c r="L384">
        <v>3.9</v>
      </c>
      <c r="M384">
        <v>0.25700000000000001</v>
      </c>
      <c r="N384">
        <v>7.4</v>
      </c>
      <c r="O384">
        <v>0.53700000000000003</v>
      </c>
      <c r="P384">
        <v>0.48499999999999999</v>
      </c>
      <c r="Q384">
        <v>1.8</v>
      </c>
      <c r="R384">
        <v>0.625</v>
      </c>
      <c r="S384">
        <v>7.2</v>
      </c>
      <c r="T384">
        <v>2.2000000000000002</v>
      </c>
      <c r="U384">
        <v>0.4</v>
      </c>
      <c r="V384">
        <v>0.1</v>
      </c>
      <c r="W384">
        <v>1.7</v>
      </c>
      <c r="X384">
        <v>2.2999999999999998</v>
      </c>
      <c r="Y384">
        <v>12.1</v>
      </c>
      <c r="Z384">
        <v>0</v>
      </c>
      <c r="AA384">
        <v>-6.7</v>
      </c>
      <c r="AB384">
        <v>11</v>
      </c>
      <c r="AC384">
        <v>8.9999999999999993E-3</v>
      </c>
    </row>
    <row r="385" spans="1:29" x14ac:dyDescent="0.35">
      <c r="A385" s="3" t="s">
        <v>140</v>
      </c>
      <c r="B385" s="1" t="s">
        <v>2</v>
      </c>
      <c r="C385" s="1" t="s">
        <v>597</v>
      </c>
      <c r="D385" s="1" t="s">
        <v>19</v>
      </c>
      <c r="E385" s="1" t="s">
        <v>20</v>
      </c>
      <c r="F385" s="4">
        <v>2.2999999999999998</v>
      </c>
      <c r="G385">
        <v>21</v>
      </c>
      <c r="H385">
        <v>76</v>
      </c>
      <c r="I385">
        <v>33.799999999999997</v>
      </c>
      <c r="J385">
        <v>12.1</v>
      </c>
      <c r="K385">
        <v>0.49299999999999999</v>
      </c>
      <c r="L385">
        <v>3.1</v>
      </c>
      <c r="M385">
        <v>0.34</v>
      </c>
      <c r="N385">
        <v>9.1</v>
      </c>
      <c r="O385">
        <v>0.54500000000000004</v>
      </c>
      <c r="P385">
        <v>0.53600000000000003</v>
      </c>
      <c r="Q385">
        <v>1.8</v>
      </c>
      <c r="R385">
        <v>0.59299999999999997</v>
      </c>
      <c r="S385">
        <v>5.9</v>
      </c>
      <c r="T385">
        <v>4.4000000000000004</v>
      </c>
      <c r="U385">
        <v>3</v>
      </c>
      <c r="V385">
        <v>0.7</v>
      </c>
      <c r="W385">
        <v>2</v>
      </c>
      <c r="X385">
        <v>2.2999999999999998</v>
      </c>
      <c r="Y385">
        <v>14.1</v>
      </c>
      <c r="Z385">
        <v>2</v>
      </c>
      <c r="AA385">
        <v>1.5</v>
      </c>
      <c r="AB385">
        <v>15.6</v>
      </c>
      <c r="AC385">
        <v>9.2999999999999999E-2</v>
      </c>
    </row>
    <row r="386" spans="1:29" x14ac:dyDescent="0.35">
      <c r="A386" s="3" t="s">
        <v>219</v>
      </c>
      <c r="B386" s="1" t="s">
        <v>2</v>
      </c>
      <c r="C386" s="1" t="s">
        <v>597</v>
      </c>
      <c r="D386" s="1" t="s">
        <v>23</v>
      </c>
      <c r="E386" s="1" t="s">
        <v>20</v>
      </c>
      <c r="F386" s="4">
        <v>0</v>
      </c>
      <c r="G386">
        <v>32</v>
      </c>
      <c r="H386">
        <v>77</v>
      </c>
      <c r="I386">
        <v>28</v>
      </c>
      <c r="J386">
        <v>8.8000000000000007</v>
      </c>
      <c r="K386">
        <v>0.40600000000000003</v>
      </c>
      <c r="L386">
        <v>5.9</v>
      </c>
      <c r="M386">
        <v>0.36799999999999999</v>
      </c>
      <c r="N386">
        <v>2.9</v>
      </c>
      <c r="O386">
        <v>0.48399999999999999</v>
      </c>
      <c r="P386">
        <v>0.52900000000000003</v>
      </c>
      <c r="Q386">
        <v>1.9</v>
      </c>
      <c r="R386">
        <v>0.85499999999999998</v>
      </c>
      <c r="S386">
        <v>2.4</v>
      </c>
      <c r="T386">
        <v>1.6</v>
      </c>
      <c r="U386">
        <v>0.5</v>
      </c>
      <c r="V386">
        <v>0.1</v>
      </c>
      <c r="W386">
        <v>0.6</v>
      </c>
      <c r="X386">
        <v>1.2</v>
      </c>
      <c r="Y386">
        <v>11</v>
      </c>
      <c r="Z386">
        <v>11</v>
      </c>
      <c r="AA386">
        <v>-2.1</v>
      </c>
      <c r="AB386">
        <v>9.8000000000000007</v>
      </c>
      <c r="AC386">
        <v>7.6999999999999999E-2</v>
      </c>
    </row>
    <row r="387" spans="1:29" x14ac:dyDescent="0.35">
      <c r="A387" s="3" t="s">
        <v>113</v>
      </c>
      <c r="B387" s="1" t="s">
        <v>2</v>
      </c>
      <c r="C387" s="1" t="s">
        <v>35</v>
      </c>
      <c r="D387" s="1" t="s">
        <v>23</v>
      </c>
      <c r="E387" s="1" t="s">
        <v>50</v>
      </c>
      <c r="F387" s="4">
        <v>-0.3</v>
      </c>
      <c r="G387">
        <v>21</v>
      </c>
      <c r="H387">
        <v>78</v>
      </c>
      <c r="I387">
        <v>27.3</v>
      </c>
      <c r="J387">
        <v>7.6</v>
      </c>
      <c r="K387">
        <v>0.42699999999999999</v>
      </c>
      <c r="L387">
        <v>4</v>
      </c>
      <c r="M387">
        <v>0.36599999999999999</v>
      </c>
      <c r="N387">
        <v>3.5</v>
      </c>
      <c r="O387">
        <v>0.496</v>
      </c>
      <c r="P387">
        <v>0.52500000000000002</v>
      </c>
      <c r="Q387">
        <v>1.9</v>
      </c>
      <c r="R387">
        <v>0.85499999999999998</v>
      </c>
      <c r="S387">
        <v>3.3</v>
      </c>
      <c r="T387">
        <v>1.9</v>
      </c>
      <c r="U387">
        <v>0.8</v>
      </c>
      <c r="V387">
        <v>0.4</v>
      </c>
      <c r="W387">
        <v>1.1000000000000001</v>
      </c>
      <c r="X387">
        <v>1.5</v>
      </c>
      <c r="Y387">
        <v>9.6</v>
      </c>
      <c r="Z387">
        <v>2</v>
      </c>
      <c r="AA387">
        <v>-2.5</v>
      </c>
      <c r="AB387">
        <v>10.4</v>
      </c>
      <c r="AC387">
        <v>0.06</v>
      </c>
    </row>
    <row r="388" spans="1:29" x14ac:dyDescent="0.35">
      <c r="A388" s="3" t="s">
        <v>294</v>
      </c>
      <c r="B388" s="1" t="s">
        <v>26</v>
      </c>
      <c r="C388" s="1" t="s">
        <v>597</v>
      </c>
      <c r="D388" s="1" t="s">
        <v>19</v>
      </c>
      <c r="E388" s="1" t="s">
        <v>20</v>
      </c>
      <c r="F388" s="4">
        <v>0.7</v>
      </c>
      <c r="G388">
        <v>21</v>
      </c>
      <c r="H388">
        <v>46</v>
      </c>
      <c r="I388">
        <v>25.1</v>
      </c>
      <c r="J388">
        <v>8.1999999999999993</v>
      </c>
      <c r="K388">
        <v>0.45600000000000002</v>
      </c>
      <c r="L388">
        <v>4.5999999999999996</v>
      </c>
      <c r="M388">
        <v>0.371</v>
      </c>
      <c r="N388">
        <v>3.6</v>
      </c>
      <c r="O388">
        <v>0.56299999999999994</v>
      </c>
      <c r="P388">
        <v>0.56000000000000005</v>
      </c>
      <c r="Q388">
        <v>1.9</v>
      </c>
      <c r="R388">
        <v>0.82799999999999996</v>
      </c>
      <c r="S388">
        <v>3.9</v>
      </c>
      <c r="T388">
        <v>2.8</v>
      </c>
      <c r="U388">
        <v>0.8</v>
      </c>
      <c r="V388">
        <v>0.3</v>
      </c>
      <c r="W388">
        <v>1.3</v>
      </c>
      <c r="X388">
        <v>1.8</v>
      </c>
      <c r="Y388">
        <v>10.7</v>
      </c>
      <c r="Z388">
        <v>2</v>
      </c>
      <c r="AA388">
        <v>0.3</v>
      </c>
      <c r="AB388">
        <v>13.8</v>
      </c>
      <c r="AC388">
        <v>0.104</v>
      </c>
    </row>
    <row r="389" spans="1:29" x14ac:dyDescent="0.35">
      <c r="A389" s="3" t="s">
        <v>544</v>
      </c>
      <c r="B389" s="1" t="s">
        <v>18</v>
      </c>
      <c r="C389" s="1" t="s">
        <v>597</v>
      </c>
      <c r="D389" s="1" t="s">
        <v>19</v>
      </c>
      <c r="E389" s="1" t="s">
        <v>50</v>
      </c>
      <c r="F389" s="4">
        <v>0.2</v>
      </c>
      <c r="G389">
        <v>21</v>
      </c>
      <c r="H389">
        <v>35</v>
      </c>
      <c r="I389">
        <v>14.7</v>
      </c>
      <c r="J389">
        <v>6.9</v>
      </c>
      <c r="K389">
        <v>0.496</v>
      </c>
      <c r="L389">
        <v>2.9</v>
      </c>
      <c r="M389">
        <v>0.373</v>
      </c>
      <c r="N389">
        <v>4</v>
      </c>
      <c r="O389">
        <v>0.58599999999999997</v>
      </c>
      <c r="P389">
        <v>0.57399999999999995</v>
      </c>
      <c r="Q389">
        <v>1.9</v>
      </c>
      <c r="R389">
        <v>0.77600000000000002</v>
      </c>
      <c r="S389">
        <v>3.7</v>
      </c>
      <c r="T389">
        <v>1.1000000000000001</v>
      </c>
      <c r="U389">
        <v>0.3</v>
      </c>
      <c r="V389">
        <v>0.7</v>
      </c>
      <c r="W389">
        <v>1.2</v>
      </c>
      <c r="X389">
        <v>1.6</v>
      </c>
      <c r="Y389">
        <v>9.4</v>
      </c>
      <c r="Z389">
        <v>1</v>
      </c>
      <c r="AA389">
        <v>-0.5</v>
      </c>
      <c r="AB389">
        <v>17.8</v>
      </c>
      <c r="AC389">
        <v>6.9000000000000006E-2</v>
      </c>
    </row>
    <row r="390" spans="1:29" x14ac:dyDescent="0.35">
      <c r="A390" s="3" t="s">
        <v>49</v>
      </c>
      <c r="B390" s="1" t="s">
        <v>2</v>
      </c>
      <c r="C390" s="1" t="s">
        <v>598</v>
      </c>
      <c r="D390" s="1" t="s">
        <v>19</v>
      </c>
      <c r="E390" s="1" t="s">
        <v>50</v>
      </c>
      <c r="F390" s="4">
        <v>0.3</v>
      </c>
      <c r="G390">
        <v>25</v>
      </c>
      <c r="H390">
        <v>67</v>
      </c>
      <c r="I390">
        <v>16.7</v>
      </c>
      <c r="J390">
        <v>7.6</v>
      </c>
      <c r="K390">
        <v>0.39100000000000001</v>
      </c>
      <c r="L390">
        <v>3.3</v>
      </c>
      <c r="M390">
        <v>0.32400000000000001</v>
      </c>
      <c r="N390">
        <v>4.3</v>
      </c>
      <c r="O390">
        <v>0.442</v>
      </c>
      <c r="P390">
        <v>0.46200000000000002</v>
      </c>
      <c r="Q390">
        <v>1.9</v>
      </c>
      <c r="R390">
        <v>0.72799999999999998</v>
      </c>
      <c r="S390">
        <v>2</v>
      </c>
      <c r="T390">
        <v>2.4</v>
      </c>
      <c r="U390">
        <v>0.6</v>
      </c>
      <c r="V390">
        <v>0.5</v>
      </c>
      <c r="W390">
        <v>1.3</v>
      </c>
      <c r="X390">
        <v>0.9</v>
      </c>
      <c r="Y390">
        <v>8.3000000000000007</v>
      </c>
      <c r="Z390">
        <v>3</v>
      </c>
      <c r="AA390">
        <v>-0.8</v>
      </c>
      <c r="AB390">
        <v>12.9</v>
      </c>
      <c r="AC390">
        <v>3.3000000000000002E-2</v>
      </c>
    </row>
    <row r="391" spans="1:29" x14ac:dyDescent="0.35">
      <c r="A391" s="3" t="s">
        <v>240</v>
      </c>
      <c r="B391" s="1" t="s">
        <v>26</v>
      </c>
      <c r="C391" s="1" t="s">
        <v>597</v>
      </c>
      <c r="D391" s="1" t="s">
        <v>23</v>
      </c>
      <c r="E391" s="1" t="s">
        <v>50</v>
      </c>
      <c r="F391" s="4">
        <v>0.4</v>
      </c>
      <c r="G391">
        <v>31</v>
      </c>
      <c r="H391">
        <v>31</v>
      </c>
      <c r="I391">
        <v>17.2</v>
      </c>
      <c r="J391">
        <v>4.5</v>
      </c>
      <c r="K391">
        <v>0.64700000000000002</v>
      </c>
      <c r="L391">
        <v>0.1</v>
      </c>
      <c r="M391">
        <v>0</v>
      </c>
      <c r="N391">
        <v>4.4000000000000004</v>
      </c>
      <c r="O391">
        <v>0.66200000000000003</v>
      </c>
      <c r="P391">
        <v>0.64700000000000002</v>
      </c>
      <c r="Q391">
        <v>1.9</v>
      </c>
      <c r="R391">
        <v>0.83299999999999996</v>
      </c>
      <c r="S391">
        <v>5.7</v>
      </c>
      <c r="T391">
        <v>1.4</v>
      </c>
      <c r="U391">
        <v>0.3</v>
      </c>
      <c r="V391">
        <v>0.7</v>
      </c>
      <c r="W391">
        <v>0.7</v>
      </c>
      <c r="X391">
        <v>1.6</v>
      </c>
      <c r="Y391">
        <v>7.4</v>
      </c>
      <c r="Z391">
        <v>9</v>
      </c>
      <c r="AA391">
        <v>1.1000000000000001</v>
      </c>
      <c r="AB391">
        <v>19.8</v>
      </c>
      <c r="AC391">
        <v>0.17799999999999999</v>
      </c>
    </row>
    <row r="392" spans="1:29" x14ac:dyDescent="0.35">
      <c r="A392" s="3" t="s">
        <v>64</v>
      </c>
      <c r="B392" s="1" t="s">
        <v>18</v>
      </c>
      <c r="C392" s="1" t="s">
        <v>597</v>
      </c>
      <c r="D392" s="1" t="s">
        <v>19</v>
      </c>
      <c r="E392" s="1" t="s">
        <v>20</v>
      </c>
      <c r="F392" s="4">
        <v>1.6</v>
      </c>
      <c r="G392">
        <v>25</v>
      </c>
      <c r="H392">
        <v>70</v>
      </c>
      <c r="I392">
        <v>20.399999999999999</v>
      </c>
      <c r="J392">
        <v>4.8</v>
      </c>
      <c r="K392">
        <v>0.61099999999999999</v>
      </c>
      <c r="L392">
        <v>0.4</v>
      </c>
      <c r="M392">
        <v>0.107</v>
      </c>
      <c r="N392">
        <v>4.4000000000000004</v>
      </c>
      <c r="O392">
        <v>0.65600000000000003</v>
      </c>
      <c r="P392">
        <v>0.61499999999999999</v>
      </c>
      <c r="Q392">
        <v>1.9</v>
      </c>
      <c r="R392">
        <v>0.63900000000000001</v>
      </c>
      <c r="S392">
        <v>6.6</v>
      </c>
      <c r="T392">
        <v>2</v>
      </c>
      <c r="U392">
        <v>0.7</v>
      </c>
      <c r="V392">
        <v>1.4</v>
      </c>
      <c r="W392">
        <v>1</v>
      </c>
      <c r="X392">
        <v>2.1</v>
      </c>
      <c r="Y392">
        <v>7.2</v>
      </c>
      <c r="Z392">
        <v>5</v>
      </c>
      <c r="AA392">
        <v>2.5</v>
      </c>
      <c r="AB392">
        <v>19.2</v>
      </c>
      <c r="AC392">
        <v>0.19500000000000001</v>
      </c>
    </row>
    <row r="393" spans="1:29" x14ac:dyDescent="0.35">
      <c r="A393" s="3" t="s">
        <v>216</v>
      </c>
      <c r="B393" s="1" t="s">
        <v>26</v>
      </c>
      <c r="C393" s="1" t="s">
        <v>598</v>
      </c>
      <c r="D393" s="1" t="s">
        <v>19</v>
      </c>
      <c r="E393" s="1" t="s">
        <v>20</v>
      </c>
      <c r="F393" s="4">
        <v>0.6</v>
      </c>
      <c r="G393">
        <v>26</v>
      </c>
      <c r="H393">
        <v>59</v>
      </c>
      <c r="I393">
        <v>31.7</v>
      </c>
      <c r="J393">
        <v>9.8000000000000007</v>
      </c>
      <c r="K393">
        <v>0.50900000000000001</v>
      </c>
      <c r="L393">
        <v>4.2</v>
      </c>
      <c r="M393">
        <v>0.41299999999999998</v>
      </c>
      <c r="N393">
        <v>5.6</v>
      </c>
      <c r="O393">
        <v>0.58099999999999996</v>
      </c>
      <c r="P393">
        <v>0.59699999999999998</v>
      </c>
      <c r="Q393">
        <v>1.9</v>
      </c>
      <c r="R393">
        <v>0.77</v>
      </c>
      <c r="S393">
        <v>5</v>
      </c>
      <c r="T393">
        <v>1.4</v>
      </c>
      <c r="U393">
        <v>0.8</v>
      </c>
      <c r="V393">
        <v>0.4</v>
      </c>
      <c r="W393">
        <v>0.8</v>
      </c>
      <c r="X393">
        <v>1.8</v>
      </c>
      <c r="Y393">
        <v>13.1</v>
      </c>
      <c r="Z393">
        <v>5</v>
      </c>
      <c r="AA393">
        <v>-0.7</v>
      </c>
      <c r="AB393">
        <v>13.6</v>
      </c>
      <c r="AC393">
        <v>0.11</v>
      </c>
    </row>
    <row r="394" spans="1:29" x14ac:dyDescent="0.35">
      <c r="A394" s="3" t="s">
        <v>168</v>
      </c>
      <c r="B394" s="1" t="s">
        <v>18</v>
      </c>
      <c r="C394" s="1" t="s">
        <v>598</v>
      </c>
      <c r="D394" s="1" t="s">
        <v>19</v>
      </c>
      <c r="E394" s="1" t="s">
        <v>20</v>
      </c>
      <c r="F394" s="4">
        <v>0.7</v>
      </c>
      <c r="G394">
        <v>22</v>
      </c>
      <c r="H394">
        <v>66</v>
      </c>
      <c r="I394">
        <v>21.5</v>
      </c>
      <c r="J394">
        <v>6.6</v>
      </c>
      <c r="K394">
        <v>0.57999999999999996</v>
      </c>
      <c r="L394">
        <v>0.8</v>
      </c>
      <c r="M394">
        <v>0.34599999999999997</v>
      </c>
      <c r="N394">
        <v>5.8</v>
      </c>
      <c r="O394">
        <v>0.61199999999999999</v>
      </c>
      <c r="P394">
        <v>0.6</v>
      </c>
      <c r="Q394">
        <v>1.9</v>
      </c>
      <c r="R394">
        <v>0.70899999999999996</v>
      </c>
      <c r="S394">
        <v>8.3000000000000007</v>
      </c>
      <c r="T394">
        <v>1</v>
      </c>
      <c r="U394">
        <v>0.5</v>
      </c>
      <c r="V394">
        <v>1.3</v>
      </c>
      <c r="W394">
        <v>1.3</v>
      </c>
      <c r="X394">
        <v>2.8</v>
      </c>
      <c r="Y394">
        <v>9.1999999999999993</v>
      </c>
      <c r="Z394">
        <v>0</v>
      </c>
      <c r="AA394">
        <v>-0.1</v>
      </c>
      <c r="AB394">
        <v>18.2</v>
      </c>
      <c r="AC394">
        <v>0.16500000000000001</v>
      </c>
    </row>
    <row r="395" spans="1:29" x14ac:dyDescent="0.35">
      <c r="A395" s="3" t="s">
        <v>541</v>
      </c>
      <c r="B395" s="1" t="s">
        <v>2</v>
      </c>
      <c r="C395" s="1" t="s">
        <v>598</v>
      </c>
      <c r="D395" s="1" t="s">
        <v>23</v>
      </c>
      <c r="E395" s="1" t="s">
        <v>20</v>
      </c>
      <c r="F395" s="4">
        <v>0.4</v>
      </c>
      <c r="G395">
        <v>24</v>
      </c>
      <c r="H395">
        <v>64</v>
      </c>
      <c r="I395">
        <v>31</v>
      </c>
      <c r="J395">
        <v>13.9</v>
      </c>
      <c r="K395">
        <v>0.443</v>
      </c>
      <c r="L395">
        <v>6.7</v>
      </c>
      <c r="M395">
        <v>0.36799999999999999</v>
      </c>
      <c r="N395">
        <v>7.2</v>
      </c>
      <c r="O395">
        <v>0.51300000000000001</v>
      </c>
      <c r="P395">
        <v>0.53200000000000003</v>
      </c>
      <c r="Q395">
        <v>1.9</v>
      </c>
      <c r="R395">
        <v>0.79200000000000004</v>
      </c>
      <c r="S395">
        <v>4</v>
      </c>
      <c r="T395">
        <v>2.9</v>
      </c>
      <c r="U395">
        <v>1.3</v>
      </c>
      <c r="V395">
        <v>0.5</v>
      </c>
      <c r="W395">
        <v>1.4</v>
      </c>
      <c r="X395">
        <v>1.7</v>
      </c>
      <c r="Y395">
        <v>16.3</v>
      </c>
      <c r="Z395">
        <v>4</v>
      </c>
      <c r="AA395">
        <v>-1.1000000000000001</v>
      </c>
      <c r="AB395">
        <v>14.2</v>
      </c>
      <c r="AC395">
        <v>5.3999999999999999E-2</v>
      </c>
    </row>
    <row r="396" spans="1:29" x14ac:dyDescent="0.35">
      <c r="A396" s="3" t="s">
        <v>300</v>
      </c>
      <c r="B396" s="1" t="s">
        <v>26</v>
      </c>
      <c r="C396" s="1" t="s">
        <v>598</v>
      </c>
      <c r="D396" s="1" t="s">
        <v>23</v>
      </c>
      <c r="E396" s="1" t="s">
        <v>28</v>
      </c>
      <c r="F396" s="4">
        <v>0</v>
      </c>
      <c r="G396">
        <v>27</v>
      </c>
      <c r="H396">
        <v>3</v>
      </c>
      <c r="I396">
        <v>3.7</v>
      </c>
      <c r="J396">
        <v>1.3</v>
      </c>
      <c r="K396">
        <v>0</v>
      </c>
      <c r="L396">
        <v>0.3</v>
      </c>
      <c r="M396">
        <v>0</v>
      </c>
      <c r="N396">
        <v>1</v>
      </c>
      <c r="O396">
        <v>0</v>
      </c>
      <c r="P396">
        <v>0</v>
      </c>
      <c r="Q396">
        <v>2</v>
      </c>
      <c r="R396">
        <v>0.5</v>
      </c>
      <c r="S396">
        <v>0.7</v>
      </c>
      <c r="T396">
        <v>0</v>
      </c>
      <c r="U396">
        <v>0.7</v>
      </c>
      <c r="V396">
        <v>0</v>
      </c>
      <c r="W396">
        <v>0.3</v>
      </c>
      <c r="X396">
        <v>0</v>
      </c>
      <c r="Y396">
        <v>1</v>
      </c>
      <c r="Z396">
        <v>3</v>
      </c>
      <c r="AA396">
        <v>-13.6</v>
      </c>
      <c r="AB396">
        <v>1.1000000000000001</v>
      </c>
      <c r="AC396">
        <v>-0.25900000000000001</v>
      </c>
    </row>
    <row r="397" spans="1:29" x14ac:dyDescent="0.35">
      <c r="A397" s="3" t="s">
        <v>223</v>
      </c>
      <c r="B397" s="1" t="s">
        <v>26</v>
      </c>
      <c r="C397" s="1" t="s">
        <v>597</v>
      </c>
      <c r="D397" s="1" t="s">
        <v>23</v>
      </c>
      <c r="E397" s="1" t="s">
        <v>28</v>
      </c>
      <c r="F397" s="4">
        <v>0</v>
      </c>
      <c r="G397">
        <v>24</v>
      </c>
      <c r="H397">
        <v>1</v>
      </c>
      <c r="I397">
        <v>17</v>
      </c>
      <c r="J397">
        <v>8</v>
      </c>
      <c r="K397">
        <v>0.125</v>
      </c>
      <c r="L397">
        <v>6</v>
      </c>
      <c r="M397">
        <v>0</v>
      </c>
      <c r="N397">
        <v>2</v>
      </c>
      <c r="O397">
        <v>0.5</v>
      </c>
      <c r="P397">
        <v>0.125</v>
      </c>
      <c r="Q397">
        <v>2</v>
      </c>
      <c r="R397">
        <v>1</v>
      </c>
      <c r="S397">
        <v>7</v>
      </c>
      <c r="T397">
        <v>2</v>
      </c>
      <c r="U397">
        <v>0</v>
      </c>
      <c r="V397">
        <v>0</v>
      </c>
      <c r="W397">
        <v>0</v>
      </c>
      <c r="X397">
        <v>0</v>
      </c>
      <c r="Y397">
        <v>4</v>
      </c>
      <c r="Z397">
        <v>2</v>
      </c>
      <c r="AA397">
        <v>-14.7</v>
      </c>
      <c r="AB397">
        <v>7.9</v>
      </c>
      <c r="AC397">
        <v>-0.06</v>
      </c>
    </row>
    <row r="398" spans="1:29" x14ac:dyDescent="0.35">
      <c r="A398" s="3" t="s">
        <v>588</v>
      </c>
      <c r="B398" s="1" t="s">
        <v>18</v>
      </c>
      <c r="C398" s="1" t="s">
        <v>597</v>
      </c>
      <c r="D398" s="1" t="s">
        <v>23</v>
      </c>
      <c r="E398" s="1" t="s">
        <v>20</v>
      </c>
      <c r="F398" s="4">
        <v>0</v>
      </c>
      <c r="G398">
        <v>23</v>
      </c>
      <c r="H398">
        <v>1</v>
      </c>
      <c r="I398">
        <v>5</v>
      </c>
      <c r="J398">
        <v>4</v>
      </c>
      <c r="K398">
        <v>0.5</v>
      </c>
      <c r="L398">
        <v>1</v>
      </c>
      <c r="M398">
        <v>0</v>
      </c>
      <c r="N398">
        <v>3</v>
      </c>
      <c r="O398">
        <v>0.66700000000000004</v>
      </c>
      <c r="P398">
        <v>0.5</v>
      </c>
      <c r="Q398">
        <v>2</v>
      </c>
      <c r="R398">
        <v>1</v>
      </c>
      <c r="S398">
        <v>1</v>
      </c>
      <c r="T398">
        <v>0</v>
      </c>
      <c r="U398">
        <v>0</v>
      </c>
      <c r="V398">
        <v>0</v>
      </c>
      <c r="W398">
        <v>0</v>
      </c>
      <c r="X398">
        <v>0</v>
      </c>
      <c r="Y398">
        <v>6</v>
      </c>
      <c r="Z398">
        <v>4</v>
      </c>
      <c r="AA398">
        <v>1.6</v>
      </c>
      <c r="AB398">
        <v>31.2</v>
      </c>
      <c r="AC398">
        <v>0.23699999999999999</v>
      </c>
    </row>
    <row r="399" spans="1:29" x14ac:dyDescent="0.35">
      <c r="A399" s="3" t="s">
        <v>585</v>
      </c>
      <c r="B399" s="1" t="s">
        <v>26</v>
      </c>
      <c r="C399" s="1" t="s">
        <v>597</v>
      </c>
      <c r="D399" s="1" t="s">
        <v>23</v>
      </c>
      <c r="E399" s="1" t="s">
        <v>20</v>
      </c>
      <c r="F399" s="4">
        <v>-0.1</v>
      </c>
      <c r="G399">
        <v>23</v>
      </c>
      <c r="H399">
        <v>63</v>
      </c>
      <c r="I399">
        <v>24.5</v>
      </c>
      <c r="J399">
        <v>8.3000000000000007</v>
      </c>
      <c r="K399">
        <v>0.41199999999999998</v>
      </c>
      <c r="L399">
        <v>4.8</v>
      </c>
      <c r="M399">
        <v>0.34100000000000003</v>
      </c>
      <c r="N399">
        <v>3.5</v>
      </c>
      <c r="O399">
        <v>0.50900000000000001</v>
      </c>
      <c r="P399">
        <v>0.51100000000000001</v>
      </c>
      <c r="Q399">
        <v>2</v>
      </c>
      <c r="R399">
        <v>0.82099999999999995</v>
      </c>
      <c r="S399">
        <v>4.5999999999999996</v>
      </c>
      <c r="T399">
        <v>1.3</v>
      </c>
      <c r="U399">
        <v>1</v>
      </c>
      <c r="V399">
        <v>0.4</v>
      </c>
      <c r="W399">
        <v>1.1000000000000001</v>
      </c>
      <c r="X399">
        <v>2.4</v>
      </c>
      <c r="Y399">
        <v>10</v>
      </c>
      <c r="Z399">
        <v>3</v>
      </c>
      <c r="AA399">
        <v>-2.2999999999999998</v>
      </c>
      <c r="AB399">
        <v>11.9</v>
      </c>
      <c r="AC399">
        <v>6.5000000000000002E-2</v>
      </c>
    </row>
    <row r="400" spans="1:29" x14ac:dyDescent="0.35">
      <c r="A400" s="3" t="s">
        <v>231</v>
      </c>
      <c r="B400" s="1" t="s">
        <v>2</v>
      </c>
      <c r="C400" s="1" t="s">
        <v>597</v>
      </c>
      <c r="D400" s="1" t="s">
        <v>33</v>
      </c>
      <c r="E400" s="1" t="s">
        <v>20</v>
      </c>
      <c r="F400" s="4">
        <v>0.1</v>
      </c>
      <c r="G400">
        <v>23</v>
      </c>
      <c r="H400">
        <v>6</v>
      </c>
      <c r="I400">
        <v>27</v>
      </c>
      <c r="J400">
        <v>7.2</v>
      </c>
      <c r="K400">
        <v>0.41899999999999998</v>
      </c>
      <c r="L400">
        <v>3.5</v>
      </c>
      <c r="M400">
        <v>0.38100000000000001</v>
      </c>
      <c r="N400">
        <v>3.7</v>
      </c>
      <c r="O400">
        <v>0.45500000000000002</v>
      </c>
      <c r="P400">
        <v>0.51200000000000001</v>
      </c>
      <c r="Q400">
        <v>2</v>
      </c>
      <c r="R400">
        <v>0.83299999999999996</v>
      </c>
      <c r="S400">
        <v>3</v>
      </c>
      <c r="T400">
        <v>5.2</v>
      </c>
      <c r="U400">
        <v>0.7</v>
      </c>
      <c r="V400">
        <v>0.7</v>
      </c>
      <c r="W400">
        <v>1.5</v>
      </c>
      <c r="X400">
        <v>2.2000000000000002</v>
      </c>
      <c r="Y400">
        <v>9</v>
      </c>
      <c r="Z400">
        <v>4</v>
      </c>
      <c r="AA400">
        <v>-0.6</v>
      </c>
      <c r="AB400">
        <v>12.7</v>
      </c>
      <c r="AC400">
        <v>9.5000000000000001E-2</v>
      </c>
    </row>
    <row r="401" spans="1:29" x14ac:dyDescent="0.35">
      <c r="A401" s="3" t="s">
        <v>574</v>
      </c>
      <c r="B401" s="1" t="s">
        <v>2</v>
      </c>
      <c r="C401" s="1" t="s">
        <v>598</v>
      </c>
      <c r="D401" s="1" t="s">
        <v>23</v>
      </c>
      <c r="E401" s="1" t="s">
        <v>28</v>
      </c>
      <c r="F401" s="4">
        <v>0.4</v>
      </c>
      <c r="G401">
        <v>25</v>
      </c>
      <c r="H401">
        <v>33</v>
      </c>
      <c r="I401">
        <v>14.8</v>
      </c>
      <c r="J401">
        <v>5.7</v>
      </c>
      <c r="K401">
        <v>0.52100000000000002</v>
      </c>
      <c r="L401">
        <v>1.8</v>
      </c>
      <c r="M401">
        <v>0.4</v>
      </c>
      <c r="N401">
        <v>3.9</v>
      </c>
      <c r="O401">
        <v>0.57799999999999996</v>
      </c>
      <c r="P401">
        <v>0.58499999999999996</v>
      </c>
      <c r="Q401">
        <v>2</v>
      </c>
      <c r="R401">
        <v>0.83299999999999996</v>
      </c>
      <c r="S401">
        <v>1.8</v>
      </c>
      <c r="T401">
        <v>2.2999999999999998</v>
      </c>
      <c r="U401">
        <v>0.7</v>
      </c>
      <c r="V401">
        <v>0.2</v>
      </c>
      <c r="W401">
        <v>1.2</v>
      </c>
      <c r="X401">
        <v>1</v>
      </c>
      <c r="Y401">
        <v>8.3000000000000007</v>
      </c>
      <c r="Z401">
        <v>2</v>
      </c>
      <c r="AA401">
        <v>1</v>
      </c>
      <c r="AB401">
        <v>18.3</v>
      </c>
      <c r="AC401">
        <v>0.129</v>
      </c>
    </row>
    <row r="402" spans="1:29" x14ac:dyDescent="0.35">
      <c r="A402" s="3" t="s">
        <v>378</v>
      </c>
      <c r="B402" s="1" t="s">
        <v>26</v>
      </c>
      <c r="C402" s="1" t="s">
        <v>597</v>
      </c>
      <c r="D402" s="1" t="s">
        <v>33</v>
      </c>
      <c r="E402" s="1" t="s">
        <v>50</v>
      </c>
      <c r="F402" s="4">
        <v>0</v>
      </c>
      <c r="G402">
        <v>25</v>
      </c>
      <c r="H402">
        <v>1</v>
      </c>
      <c r="I402">
        <v>17</v>
      </c>
      <c r="J402">
        <v>7</v>
      </c>
      <c r="K402">
        <v>0.28599999999999998</v>
      </c>
      <c r="L402">
        <v>3</v>
      </c>
      <c r="M402">
        <v>0.33300000000000002</v>
      </c>
      <c r="N402">
        <v>4</v>
      </c>
      <c r="O402">
        <v>0.25</v>
      </c>
      <c r="P402">
        <v>0.35699999999999998</v>
      </c>
      <c r="Q402">
        <v>2</v>
      </c>
      <c r="R402">
        <v>0.5</v>
      </c>
      <c r="S402">
        <v>4</v>
      </c>
      <c r="T402">
        <v>5</v>
      </c>
      <c r="U402">
        <v>1</v>
      </c>
      <c r="V402">
        <v>1</v>
      </c>
      <c r="W402">
        <v>0</v>
      </c>
      <c r="X402">
        <v>3</v>
      </c>
      <c r="Y402">
        <v>6</v>
      </c>
      <c r="Z402">
        <v>2</v>
      </c>
      <c r="AA402">
        <v>4.7</v>
      </c>
      <c r="AB402">
        <v>17.2</v>
      </c>
      <c r="AC402">
        <v>0.11899999999999999</v>
      </c>
    </row>
    <row r="403" spans="1:29" x14ac:dyDescent="0.35">
      <c r="A403" s="3" t="s">
        <v>180</v>
      </c>
      <c r="B403" s="1" t="s">
        <v>18</v>
      </c>
      <c r="C403" s="1" t="s">
        <v>598</v>
      </c>
      <c r="D403" s="1" t="s">
        <v>23</v>
      </c>
      <c r="E403" s="1" t="s">
        <v>50</v>
      </c>
      <c r="F403" s="4">
        <v>0.4</v>
      </c>
      <c r="G403">
        <v>21</v>
      </c>
      <c r="H403">
        <v>72</v>
      </c>
      <c r="I403">
        <v>21.1</v>
      </c>
      <c r="J403">
        <v>7.2</v>
      </c>
      <c r="K403">
        <v>0.502</v>
      </c>
      <c r="L403">
        <v>3.1</v>
      </c>
      <c r="M403">
        <v>0.35</v>
      </c>
      <c r="N403">
        <v>4.0999999999999996</v>
      </c>
      <c r="O403">
        <v>0.61399999999999999</v>
      </c>
      <c r="P403">
        <v>0.57599999999999996</v>
      </c>
      <c r="Q403">
        <v>2</v>
      </c>
      <c r="R403">
        <v>0.65</v>
      </c>
      <c r="S403">
        <v>6.1</v>
      </c>
      <c r="T403">
        <v>1.9</v>
      </c>
      <c r="U403">
        <v>0.7</v>
      </c>
      <c r="V403">
        <v>0.3</v>
      </c>
      <c r="W403">
        <v>1.4</v>
      </c>
      <c r="X403">
        <v>2.4</v>
      </c>
      <c r="Y403">
        <v>9.6</v>
      </c>
      <c r="Z403">
        <v>0</v>
      </c>
      <c r="AA403">
        <v>-1</v>
      </c>
      <c r="AB403">
        <v>14.9</v>
      </c>
      <c r="AC403">
        <v>7.8E-2</v>
      </c>
    </row>
    <row r="404" spans="1:29" x14ac:dyDescent="0.35">
      <c r="A404" s="3" t="s">
        <v>591</v>
      </c>
      <c r="B404" s="1" t="s">
        <v>18</v>
      </c>
      <c r="C404" s="1" t="s">
        <v>597</v>
      </c>
      <c r="D404" s="1" t="s">
        <v>19</v>
      </c>
      <c r="E404" s="1" t="s">
        <v>20</v>
      </c>
      <c r="F404" s="4">
        <v>0.5</v>
      </c>
      <c r="G404">
        <v>29</v>
      </c>
      <c r="H404">
        <v>70</v>
      </c>
      <c r="I404">
        <v>27.1</v>
      </c>
      <c r="J404">
        <v>8</v>
      </c>
      <c r="K404">
        <v>0.501</v>
      </c>
      <c r="L404">
        <v>3.9</v>
      </c>
      <c r="M404">
        <v>0.38</v>
      </c>
      <c r="N404">
        <v>4.0999999999999996</v>
      </c>
      <c r="O404">
        <v>0.61599999999999999</v>
      </c>
      <c r="P404">
        <v>0.59299999999999997</v>
      </c>
      <c r="Q404">
        <v>2</v>
      </c>
      <c r="R404">
        <v>0.72499999999999998</v>
      </c>
      <c r="S404">
        <v>5.6</v>
      </c>
      <c r="T404">
        <v>2.1</v>
      </c>
      <c r="U404">
        <v>0.8</v>
      </c>
      <c r="V404">
        <v>0.3</v>
      </c>
      <c r="W404">
        <v>1.2</v>
      </c>
      <c r="X404">
        <v>2.2999999999999998</v>
      </c>
      <c r="Y404">
        <v>11</v>
      </c>
      <c r="Z404">
        <v>2</v>
      </c>
      <c r="AA404">
        <v>-1</v>
      </c>
      <c r="AB404">
        <v>14.7</v>
      </c>
      <c r="AC404">
        <v>9.9000000000000005E-2</v>
      </c>
    </row>
    <row r="405" spans="1:29" x14ac:dyDescent="0.35">
      <c r="A405" s="3" t="s">
        <v>561</v>
      </c>
      <c r="B405" s="1" t="s">
        <v>26</v>
      </c>
      <c r="C405" s="1" t="s">
        <v>598</v>
      </c>
      <c r="D405" s="1" t="s">
        <v>23</v>
      </c>
      <c r="E405" s="1" t="s">
        <v>20</v>
      </c>
      <c r="F405" s="4">
        <v>0.1</v>
      </c>
      <c r="G405">
        <v>22</v>
      </c>
      <c r="H405">
        <v>68</v>
      </c>
      <c r="I405">
        <v>24.4</v>
      </c>
      <c r="J405">
        <v>6.3</v>
      </c>
      <c r="K405">
        <v>0.47699999999999998</v>
      </c>
      <c r="L405">
        <v>2</v>
      </c>
      <c r="M405">
        <v>0.35299999999999998</v>
      </c>
      <c r="N405">
        <v>4.3</v>
      </c>
      <c r="O405">
        <v>0.53400000000000003</v>
      </c>
      <c r="P405">
        <v>0.53300000000000003</v>
      </c>
      <c r="Q405">
        <v>2</v>
      </c>
      <c r="R405">
        <v>0.69299999999999995</v>
      </c>
      <c r="S405">
        <v>3.4</v>
      </c>
      <c r="T405">
        <v>1.4</v>
      </c>
      <c r="U405">
        <v>0.7</v>
      </c>
      <c r="V405">
        <v>1.4</v>
      </c>
      <c r="W405">
        <v>0.8</v>
      </c>
      <c r="X405">
        <v>1.8</v>
      </c>
      <c r="Y405">
        <v>8.1</v>
      </c>
      <c r="Z405">
        <v>2</v>
      </c>
      <c r="AA405">
        <v>-1.8</v>
      </c>
      <c r="AB405">
        <v>11.4</v>
      </c>
      <c r="AC405">
        <v>7.2999999999999995E-2</v>
      </c>
    </row>
    <row r="406" spans="1:29" x14ac:dyDescent="0.35">
      <c r="A406" s="3" t="s">
        <v>285</v>
      </c>
      <c r="B406" s="1" t="s">
        <v>26</v>
      </c>
      <c r="C406" s="1" t="s">
        <v>598</v>
      </c>
      <c r="D406" s="1" t="s">
        <v>23</v>
      </c>
      <c r="E406" s="1" t="s">
        <v>50</v>
      </c>
      <c r="F406" s="4">
        <v>-0.3</v>
      </c>
      <c r="G406">
        <v>26</v>
      </c>
      <c r="H406">
        <v>20</v>
      </c>
      <c r="I406">
        <v>32.4</v>
      </c>
      <c r="J406">
        <v>8.6</v>
      </c>
      <c r="K406">
        <v>0.436</v>
      </c>
      <c r="L406">
        <v>3.6</v>
      </c>
      <c r="M406">
        <v>0.30599999999999999</v>
      </c>
      <c r="N406">
        <v>5</v>
      </c>
      <c r="O406">
        <v>0.53</v>
      </c>
      <c r="P406">
        <v>0.5</v>
      </c>
      <c r="Q406">
        <v>2</v>
      </c>
      <c r="R406">
        <v>0.82499999999999996</v>
      </c>
      <c r="S406">
        <v>3.9</v>
      </c>
      <c r="T406">
        <v>3.3</v>
      </c>
      <c r="U406">
        <v>1.9</v>
      </c>
      <c r="V406">
        <v>0.5</v>
      </c>
      <c r="W406">
        <v>1.8</v>
      </c>
      <c r="X406">
        <v>3.3</v>
      </c>
      <c r="Y406">
        <v>10.3</v>
      </c>
      <c r="Z406">
        <v>3</v>
      </c>
      <c r="AA406">
        <v>-3.6</v>
      </c>
      <c r="AB406">
        <v>10.4</v>
      </c>
      <c r="AC406">
        <v>3.3000000000000002E-2</v>
      </c>
    </row>
    <row r="407" spans="1:29" x14ac:dyDescent="0.35">
      <c r="A407" s="3" t="s">
        <v>327</v>
      </c>
      <c r="B407" s="1" t="s">
        <v>18</v>
      </c>
      <c r="C407" s="1" t="s">
        <v>598</v>
      </c>
      <c r="D407" s="1" t="s">
        <v>23</v>
      </c>
      <c r="E407" s="1" t="s">
        <v>20</v>
      </c>
      <c r="F407" s="4">
        <v>1.1000000000000001</v>
      </c>
      <c r="G407">
        <v>20</v>
      </c>
      <c r="H407">
        <v>36</v>
      </c>
      <c r="I407">
        <v>23.1</v>
      </c>
      <c r="J407">
        <v>5.3</v>
      </c>
      <c r="K407">
        <v>0.70199999999999996</v>
      </c>
      <c r="L407">
        <v>0</v>
      </c>
      <c r="M407" t="s">
        <v>599</v>
      </c>
      <c r="N407">
        <v>5.3</v>
      </c>
      <c r="O407">
        <v>0.70199999999999996</v>
      </c>
      <c r="P407">
        <v>0.70199999999999996</v>
      </c>
      <c r="Q407">
        <v>2</v>
      </c>
      <c r="R407">
        <v>0.63</v>
      </c>
      <c r="S407">
        <v>7.5</v>
      </c>
      <c r="T407">
        <v>2.4</v>
      </c>
      <c r="U407">
        <v>0.6</v>
      </c>
      <c r="V407">
        <v>1.6</v>
      </c>
      <c r="W407">
        <v>1.1000000000000001</v>
      </c>
      <c r="X407">
        <v>2.8</v>
      </c>
      <c r="Y407">
        <v>8.6999999999999993</v>
      </c>
      <c r="Z407">
        <v>1</v>
      </c>
      <c r="AA407">
        <v>3.3</v>
      </c>
      <c r="AB407">
        <v>20.100000000000001</v>
      </c>
      <c r="AC407">
        <v>0.19900000000000001</v>
      </c>
    </row>
    <row r="408" spans="1:29" x14ac:dyDescent="0.35">
      <c r="A408" s="3" t="s">
        <v>71</v>
      </c>
      <c r="B408" s="1" t="s">
        <v>2</v>
      </c>
      <c r="C408" s="1" t="s">
        <v>598</v>
      </c>
      <c r="D408" s="1" t="s">
        <v>23</v>
      </c>
      <c r="E408" s="1" t="s">
        <v>50</v>
      </c>
      <c r="F408" s="4">
        <v>-0.1</v>
      </c>
      <c r="G408">
        <v>23</v>
      </c>
      <c r="H408">
        <v>42</v>
      </c>
      <c r="I408">
        <v>23.6</v>
      </c>
      <c r="J408">
        <v>9.1</v>
      </c>
      <c r="K408">
        <v>0.436</v>
      </c>
      <c r="L408">
        <v>3.3</v>
      </c>
      <c r="M408">
        <v>0.35</v>
      </c>
      <c r="N408">
        <v>5.7</v>
      </c>
      <c r="O408">
        <v>0.48499999999999999</v>
      </c>
      <c r="P408">
        <v>0.5</v>
      </c>
      <c r="Q408">
        <v>2</v>
      </c>
      <c r="R408">
        <v>0.78800000000000003</v>
      </c>
      <c r="S408">
        <v>3.2</v>
      </c>
      <c r="T408">
        <v>2.2000000000000002</v>
      </c>
      <c r="U408">
        <v>1.3</v>
      </c>
      <c r="V408">
        <v>0.2</v>
      </c>
      <c r="W408">
        <v>1.2</v>
      </c>
      <c r="X408">
        <v>1.7</v>
      </c>
      <c r="Y408">
        <v>10.7</v>
      </c>
      <c r="Z408">
        <v>3</v>
      </c>
      <c r="AA408">
        <v>-2.5</v>
      </c>
      <c r="AB408">
        <v>12.7</v>
      </c>
      <c r="AC408">
        <v>3.3000000000000002E-2</v>
      </c>
    </row>
    <row r="409" spans="1:29" x14ac:dyDescent="0.35">
      <c r="A409" s="3" t="s">
        <v>454</v>
      </c>
      <c r="B409" s="1" t="s">
        <v>26</v>
      </c>
      <c r="C409" s="1" t="s">
        <v>597</v>
      </c>
      <c r="D409" s="1" t="s">
        <v>19</v>
      </c>
      <c r="E409" s="1" t="s">
        <v>20</v>
      </c>
      <c r="F409" s="4">
        <v>-0.7</v>
      </c>
      <c r="G409">
        <v>19</v>
      </c>
      <c r="H409">
        <v>75</v>
      </c>
      <c r="I409">
        <v>24.6</v>
      </c>
      <c r="J409">
        <v>10.4</v>
      </c>
      <c r="K409">
        <v>0.45800000000000002</v>
      </c>
      <c r="L409">
        <v>4.5999999999999996</v>
      </c>
      <c r="M409">
        <v>0.35499999999999998</v>
      </c>
      <c r="N409">
        <v>5.8</v>
      </c>
      <c r="O409">
        <v>0.54</v>
      </c>
      <c r="P409">
        <v>0.53700000000000003</v>
      </c>
      <c r="Q409">
        <v>2</v>
      </c>
      <c r="R409">
        <v>0.71099999999999997</v>
      </c>
      <c r="S409">
        <v>3.6</v>
      </c>
      <c r="T409">
        <v>1.2</v>
      </c>
      <c r="U409">
        <v>0.7</v>
      </c>
      <c r="V409">
        <v>0.5</v>
      </c>
      <c r="W409">
        <v>1.2</v>
      </c>
      <c r="X409">
        <v>2</v>
      </c>
      <c r="Y409">
        <v>12.6</v>
      </c>
      <c r="Z409">
        <v>0</v>
      </c>
      <c r="AA409">
        <v>-3.5</v>
      </c>
      <c r="AB409">
        <v>12.2</v>
      </c>
      <c r="AC409">
        <v>4.5999999999999999E-2</v>
      </c>
    </row>
    <row r="410" spans="1:29" x14ac:dyDescent="0.35">
      <c r="A410" s="3" t="s">
        <v>538</v>
      </c>
      <c r="B410" s="1" t="s">
        <v>18</v>
      </c>
      <c r="C410" s="1" t="s">
        <v>35</v>
      </c>
      <c r="D410" s="1" t="s">
        <v>19</v>
      </c>
      <c r="E410" s="1" t="s">
        <v>20</v>
      </c>
      <c r="F410" s="4">
        <v>1</v>
      </c>
      <c r="G410">
        <v>32</v>
      </c>
      <c r="H410">
        <v>81</v>
      </c>
      <c r="I410">
        <v>18.8</v>
      </c>
      <c r="J410">
        <v>7.7</v>
      </c>
      <c r="K410">
        <v>0.55000000000000004</v>
      </c>
      <c r="L410">
        <v>0.5</v>
      </c>
      <c r="M410">
        <v>0.216</v>
      </c>
      <c r="N410">
        <v>7.3</v>
      </c>
      <c r="O410">
        <v>0.57099999999999995</v>
      </c>
      <c r="P410">
        <v>0.55700000000000005</v>
      </c>
      <c r="Q410">
        <v>2</v>
      </c>
      <c r="R410">
        <v>0.879</v>
      </c>
      <c r="S410">
        <v>7.7</v>
      </c>
      <c r="T410">
        <v>2</v>
      </c>
      <c r="U410">
        <v>0.5</v>
      </c>
      <c r="V410">
        <v>0.6</v>
      </c>
      <c r="W410">
        <v>1.5</v>
      </c>
      <c r="X410">
        <v>2.2000000000000002</v>
      </c>
      <c r="Y410">
        <v>10.4</v>
      </c>
      <c r="Z410">
        <v>12</v>
      </c>
      <c r="AA410">
        <v>0.6</v>
      </c>
      <c r="AB410">
        <v>20.8</v>
      </c>
      <c r="AC410">
        <v>0.13700000000000001</v>
      </c>
    </row>
    <row r="411" spans="1:29" x14ac:dyDescent="0.35">
      <c r="A411" s="3" t="s">
        <v>543</v>
      </c>
      <c r="B411" s="1" t="s">
        <v>18</v>
      </c>
      <c r="C411" s="1" t="s">
        <v>597</v>
      </c>
      <c r="D411" s="1" t="s">
        <v>19</v>
      </c>
      <c r="E411" s="1" t="s">
        <v>20</v>
      </c>
      <c r="F411" s="4">
        <v>2.7</v>
      </c>
      <c r="G411">
        <v>34</v>
      </c>
      <c r="H411">
        <v>73</v>
      </c>
      <c r="I411">
        <v>31.2</v>
      </c>
      <c r="J411">
        <v>14.2</v>
      </c>
      <c r="K411">
        <v>0.53</v>
      </c>
      <c r="L411">
        <v>4.4000000000000004</v>
      </c>
      <c r="M411">
        <v>0.40200000000000002</v>
      </c>
      <c r="N411">
        <v>9.8000000000000007</v>
      </c>
      <c r="O411">
        <v>0.58699999999999997</v>
      </c>
      <c r="P411">
        <v>0.59199999999999997</v>
      </c>
      <c r="Q411">
        <v>2</v>
      </c>
      <c r="R411">
        <v>0.80500000000000005</v>
      </c>
      <c r="S411">
        <v>10.1</v>
      </c>
      <c r="T411">
        <v>3.5</v>
      </c>
      <c r="U411">
        <v>0.8</v>
      </c>
      <c r="V411">
        <v>0.7</v>
      </c>
      <c r="W411">
        <v>1.6</v>
      </c>
      <c r="X411">
        <v>2.2000000000000002</v>
      </c>
      <c r="Y411">
        <v>18.5</v>
      </c>
      <c r="Z411">
        <v>13</v>
      </c>
      <c r="AA411">
        <v>2.6</v>
      </c>
      <c r="AB411">
        <v>20.3</v>
      </c>
      <c r="AC411">
        <v>0.153</v>
      </c>
    </row>
    <row r="412" spans="1:29" x14ac:dyDescent="0.35">
      <c r="A412" s="3" t="s">
        <v>407</v>
      </c>
      <c r="B412" s="1" t="s">
        <v>2</v>
      </c>
      <c r="C412" s="1" t="s">
        <v>35</v>
      </c>
      <c r="D412" s="1" t="s">
        <v>33</v>
      </c>
      <c r="E412" s="1" t="s">
        <v>20</v>
      </c>
      <c r="F412" s="4">
        <v>0.6</v>
      </c>
      <c r="G412">
        <v>26</v>
      </c>
      <c r="H412">
        <v>40</v>
      </c>
      <c r="I412">
        <v>15.6</v>
      </c>
      <c r="J412">
        <v>5.3</v>
      </c>
      <c r="K412">
        <v>0.443</v>
      </c>
      <c r="L412">
        <v>2.2999999999999998</v>
      </c>
      <c r="M412">
        <v>0.34799999999999998</v>
      </c>
      <c r="N412">
        <v>3</v>
      </c>
      <c r="O412">
        <v>0.51700000000000002</v>
      </c>
      <c r="P412">
        <v>0.51900000000000002</v>
      </c>
      <c r="Q412">
        <v>2.1</v>
      </c>
      <c r="R412">
        <v>0.74099999999999999</v>
      </c>
      <c r="S412">
        <v>2.8</v>
      </c>
      <c r="T412">
        <v>0.8</v>
      </c>
      <c r="U412">
        <v>1.2</v>
      </c>
      <c r="V412">
        <v>0.5</v>
      </c>
      <c r="W412">
        <v>0.8</v>
      </c>
      <c r="X412">
        <v>1.2</v>
      </c>
      <c r="Y412">
        <v>7.1</v>
      </c>
      <c r="Z412">
        <v>6</v>
      </c>
      <c r="AA412">
        <v>1.5</v>
      </c>
      <c r="AB412">
        <v>16.3</v>
      </c>
      <c r="AC412">
        <v>0.1</v>
      </c>
    </row>
    <row r="413" spans="1:29" x14ac:dyDescent="0.35">
      <c r="A413" s="3" t="s">
        <v>587</v>
      </c>
      <c r="B413" s="1" t="s">
        <v>26</v>
      </c>
      <c r="C413" s="1" t="s">
        <v>597</v>
      </c>
      <c r="D413" s="1" t="s">
        <v>23</v>
      </c>
      <c r="E413" s="1" t="s">
        <v>50</v>
      </c>
      <c r="F413" s="4">
        <v>-1</v>
      </c>
      <c r="G413">
        <v>24</v>
      </c>
      <c r="H413">
        <v>79</v>
      </c>
      <c r="I413">
        <v>25.7</v>
      </c>
      <c r="J413">
        <v>7.8</v>
      </c>
      <c r="K413">
        <v>0.39700000000000002</v>
      </c>
      <c r="L413">
        <v>4.5999999999999996</v>
      </c>
      <c r="M413">
        <v>0.33700000000000002</v>
      </c>
      <c r="N413">
        <v>3.3</v>
      </c>
      <c r="O413">
        <v>0.48099999999999998</v>
      </c>
      <c r="P413">
        <v>0.495</v>
      </c>
      <c r="Q413">
        <v>2.1</v>
      </c>
      <c r="R413">
        <v>0.81799999999999995</v>
      </c>
      <c r="S413">
        <v>3.4</v>
      </c>
      <c r="T413">
        <v>1.8</v>
      </c>
      <c r="U413">
        <v>0.5</v>
      </c>
      <c r="V413">
        <v>0.1</v>
      </c>
      <c r="W413">
        <v>1</v>
      </c>
      <c r="X413">
        <v>2.1</v>
      </c>
      <c r="Y413">
        <v>9.5</v>
      </c>
      <c r="Z413">
        <v>1</v>
      </c>
      <c r="AA413">
        <v>-3.9</v>
      </c>
      <c r="AB413">
        <v>9.5</v>
      </c>
      <c r="AC413">
        <v>4.5999999999999999E-2</v>
      </c>
    </row>
    <row r="414" spans="1:29" x14ac:dyDescent="0.35">
      <c r="A414" s="3" t="s">
        <v>130</v>
      </c>
      <c r="B414" s="1" t="s">
        <v>26</v>
      </c>
      <c r="C414" s="1" t="s">
        <v>597</v>
      </c>
      <c r="D414" s="1" t="s">
        <v>23</v>
      </c>
      <c r="E414" s="1" t="s">
        <v>28</v>
      </c>
      <c r="F414" s="4">
        <v>-0.7</v>
      </c>
      <c r="G414">
        <v>23</v>
      </c>
      <c r="H414">
        <v>73</v>
      </c>
      <c r="I414">
        <v>17.100000000000001</v>
      </c>
      <c r="J414">
        <v>6.3</v>
      </c>
      <c r="K414">
        <v>0.38200000000000001</v>
      </c>
      <c r="L414">
        <v>2.9</v>
      </c>
      <c r="M414">
        <v>0.25800000000000001</v>
      </c>
      <c r="N414">
        <v>3.4</v>
      </c>
      <c r="O414">
        <v>0.48799999999999999</v>
      </c>
      <c r="P414">
        <v>0.442</v>
      </c>
      <c r="Q414">
        <v>2.1</v>
      </c>
      <c r="R414">
        <v>0.80400000000000005</v>
      </c>
      <c r="S414">
        <v>2.9</v>
      </c>
      <c r="T414">
        <v>1.3</v>
      </c>
      <c r="U414">
        <v>0.4</v>
      </c>
      <c r="V414">
        <v>0.2</v>
      </c>
      <c r="W414">
        <v>0.7</v>
      </c>
      <c r="X414">
        <v>0.9</v>
      </c>
      <c r="Y414">
        <v>7.3</v>
      </c>
      <c r="Z414">
        <v>1</v>
      </c>
      <c r="AA414">
        <v>-4.3</v>
      </c>
      <c r="AB414">
        <v>11.6</v>
      </c>
      <c r="AC414">
        <v>2.3E-2</v>
      </c>
    </row>
    <row r="415" spans="1:29" x14ac:dyDescent="0.35">
      <c r="A415" s="3" t="s">
        <v>492</v>
      </c>
      <c r="B415" s="1" t="s">
        <v>2</v>
      </c>
      <c r="C415" s="1" t="s">
        <v>35</v>
      </c>
      <c r="D415" s="1" t="s">
        <v>23</v>
      </c>
      <c r="E415" s="1" t="s">
        <v>20</v>
      </c>
      <c r="F415" s="4">
        <v>0.1</v>
      </c>
      <c r="G415">
        <v>30</v>
      </c>
      <c r="H415">
        <v>34</v>
      </c>
      <c r="I415">
        <v>20</v>
      </c>
      <c r="J415">
        <v>7.6</v>
      </c>
      <c r="K415">
        <v>0.39300000000000002</v>
      </c>
      <c r="L415">
        <v>4.0999999999999996</v>
      </c>
      <c r="M415">
        <v>0.34799999999999998</v>
      </c>
      <c r="N415">
        <v>3.4</v>
      </c>
      <c r="O415">
        <v>0.44800000000000001</v>
      </c>
      <c r="P415">
        <v>0.48799999999999999</v>
      </c>
      <c r="Q415">
        <v>2.1</v>
      </c>
      <c r="R415">
        <v>0.76100000000000001</v>
      </c>
      <c r="S415">
        <v>2.1</v>
      </c>
      <c r="T415">
        <v>3.2</v>
      </c>
      <c r="U415">
        <v>1.1000000000000001</v>
      </c>
      <c r="V415">
        <v>0.3</v>
      </c>
      <c r="W415">
        <v>1.6</v>
      </c>
      <c r="X415">
        <v>1.6</v>
      </c>
      <c r="Y415">
        <v>9</v>
      </c>
      <c r="Z415">
        <v>10</v>
      </c>
      <c r="AA415">
        <v>-1.5</v>
      </c>
      <c r="AB415">
        <v>12.4</v>
      </c>
      <c r="AC415">
        <v>5.0999999999999997E-2</v>
      </c>
    </row>
    <row r="416" spans="1:29" x14ac:dyDescent="0.35">
      <c r="A416" s="3" t="s">
        <v>568</v>
      </c>
      <c r="B416" s="1" t="s">
        <v>2</v>
      </c>
      <c r="C416" s="1" t="s">
        <v>597</v>
      </c>
      <c r="D416" s="1" t="s">
        <v>23</v>
      </c>
      <c r="E416" s="1" t="s">
        <v>20</v>
      </c>
      <c r="F416" s="4">
        <v>3.6</v>
      </c>
      <c r="G416">
        <v>30</v>
      </c>
      <c r="H416">
        <v>76</v>
      </c>
      <c r="I416">
        <v>33.9</v>
      </c>
      <c r="J416">
        <v>12.6</v>
      </c>
      <c r="K416">
        <v>0.442</v>
      </c>
      <c r="L416">
        <v>9.1</v>
      </c>
      <c r="M416">
        <v>0.38400000000000001</v>
      </c>
      <c r="N416">
        <v>3.5</v>
      </c>
      <c r="O416">
        <v>0.59299999999999997</v>
      </c>
      <c r="P416">
        <v>0.57999999999999996</v>
      </c>
      <c r="Q416">
        <v>2.1</v>
      </c>
      <c r="R416">
        <v>0.83899999999999997</v>
      </c>
      <c r="S416">
        <v>4.5</v>
      </c>
      <c r="T416">
        <v>4.8</v>
      </c>
      <c r="U416">
        <v>0.9</v>
      </c>
      <c r="V416">
        <v>1.1000000000000001</v>
      </c>
      <c r="W416">
        <v>1.7</v>
      </c>
      <c r="X416">
        <v>1.8</v>
      </c>
      <c r="Y416">
        <v>16.399999999999999</v>
      </c>
      <c r="Z416">
        <v>7</v>
      </c>
      <c r="AA416">
        <v>3.5</v>
      </c>
      <c r="AB416">
        <v>16.600000000000001</v>
      </c>
      <c r="AC416">
        <v>0.158</v>
      </c>
    </row>
    <row r="417" spans="1:29" x14ac:dyDescent="0.35">
      <c r="A417" s="3" t="s">
        <v>83</v>
      </c>
      <c r="B417" s="1" t="s">
        <v>26</v>
      </c>
      <c r="C417" s="1" t="s">
        <v>598</v>
      </c>
      <c r="D417" s="1" t="s">
        <v>23</v>
      </c>
      <c r="E417" s="1" t="s">
        <v>28</v>
      </c>
      <c r="F417" s="4">
        <v>-0.1</v>
      </c>
      <c r="G417">
        <v>24</v>
      </c>
      <c r="H417">
        <v>14</v>
      </c>
      <c r="I417">
        <v>23.7</v>
      </c>
      <c r="J417">
        <v>7.8</v>
      </c>
      <c r="K417">
        <v>0.48599999999999999</v>
      </c>
      <c r="L417">
        <v>3.1</v>
      </c>
      <c r="M417">
        <v>0.32600000000000001</v>
      </c>
      <c r="N417">
        <v>4.7</v>
      </c>
      <c r="O417">
        <v>0.59099999999999997</v>
      </c>
      <c r="P417">
        <v>0.55000000000000004</v>
      </c>
      <c r="Q417">
        <v>2.1</v>
      </c>
      <c r="R417">
        <v>0.73299999999999998</v>
      </c>
      <c r="S417">
        <v>4.0999999999999996</v>
      </c>
      <c r="T417">
        <v>0.9</v>
      </c>
      <c r="U417">
        <v>0.7</v>
      </c>
      <c r="V417">
        <v>0.7</v>
      </c>
      <c r="W417">
        <v>0.9</v>
      </c>
      <c r="X417">
        <v>2.1</v>
      </c>
      <c r="Y417">
        <v>10.1</v>
      </c>
      <c r="Z417">
        <v>0</v>
      </c>
      <c r="AA417">
        <v>-3.5</v>
      </c>
      <c r="AB417">
        <v>12.8</v>
      </c>
      <c r="AC417">
        <v>5.7000000000000002E-2</v>
      </c>
    </row>
    <row r="418" spans="1:29" x14ac:dyDescent="0.35">
      <c r="A418" s="3" t="s">
        <v>272</v>
      </c>
      <c r="B418" s="1" t="s">
        <v>2</v>
      </c>
      <c r="C418" s="1" t="s">
        <v>597</v>
      </c>
      <c r="D418" s="1" t="s">
        <v>23</v>
      </c>
      <c r="E418" s="1" t="s">
        <v>20</v>
      </c>
      <c r="F418" s="4">
        <v>2.2000000000000002</v>
      </c>
      <c r="G418">
        <v>27</v>
      </c>
      <c r="H418">
        <v>70</v>
      </c>
      <c r="I418">
        <v>19.899999999999999</v>
      </c>
      <c r="J418">
        <v>8.8000000000000007</v>
      </c>
      <c r="K418">
        <v>0.51600000000000001</v>
      </c>
      <c r="L418">
        <v>3.6</v>
      </c>
      <c r="M418">
        <v>0.439</v>
      </c>
      <c r="N418">
        <v>5.2</v>
      </c>
      <c r="O418">
        <v>0.56999999999999995</v>
      </c>
      <c r="P418">
        <v>0.60599999999999998</v>
      </c>
      <c r="Q418">
        <v>2.1</v>
      </c>
      <c r="R418">
        <v>0.872</v>
      </c>
      <c r="S418">
        <v>2.5</v>
      </c>
      <c r="T418">
        <v>3.4</v>
      </c>
      <c r="U418">
        <v>1.1000000000000001</v>
      </c>
      <c r="V418">
        <v>0</v>
      </c>
      <c r="W418">
        <v>1.3</v>
      </c>
      <c r="X418">
        <v>1.5</v>
      </c>
      <c r="Y418">
        <v>12.5</v>
      </c>
      <c r="Z418">
        <v>5</v>
      </c>
      <c r="AA418">
        <v>4.3</v>
      </c>
      <c r="AB418">
        <v>21</v>
      </c>
      <c r="AC418">
        <v>0.20399999999999999</v>
      </c>
    </row>
    <row r="419" spans="1:29" x14ac:dyDescent="0.35">
      <c r="A419" s="3" t="s">
        <v>395</v>
      </c>
      <c r="B419" s="1" t="s">
        <v>2</v>
      </c>
      <c r="C419" s="1" t="s">
        <v>597</v>
      </c>
      <c r="D419" s="1" t="s">
        <v>19</v>
      </c>
      <c r="E419" s="1" t="s">
        <v>50</v>
      </c>
      <c r="F419" s="4">
        <v>-0.1</v>
      </c>
      <c r="G419">
        <v>25</v>
      </c>
      <c r="H419">
        <v>65</v>
      </c>
      <c r="I419">
        <v>28.9</v>
      </c>
      <c r="J419">
        <v>8.3000000000000007</v>
      </c>
      <c r="K419">
        <v>0.45800000000000002</v>
      </c>
      <c r="L419">
        <v>2.7</v>
      </c>
      <c r="M419">
        <v>0.29099999999999998</v>
      </c>
      <c r="N419">
        <v>5.6</v>
      </c>
      <c r="O419">
        <v>0.53800000000000003</v>
      </c>
      <c r="P419">
        <v>0.50600000000000001</v>
      </c>
      <c r="Q419">
        <v>2.1</v>
      </c>
      <c r="R419">
        <v>0.79400000000000004</v>
      </c>
      <c r="S419">
        <v>3.3</v>
      </c>
      <c r="T419">
        <v>5</v>
      </c>
      <c r="U419">
        <v>1.2</v>
      </c>
      <c r="V419">
        <v>0.2</v>
      </c>
      <c r="W419">
        <v>1.7</v>
      </c>
      <c r="X419">
        <v>2.2999999999999998</v>
      </c>
      <c r="Y419">
        <v>10</v>
      </c>
      <c r="Z419">
        <v>2</v>
      </c>
      <c r="AA419">
        <v>-2.2999999999999998</v>
      </c>
      <c r="AB419">
        <v>11.7</v>
      </c>
      <c r="AC419">
        <v>7.0999999999999994E-2</v>
      </c>
    </row>
    <row r="420" spans="1:29" x14ac:dyDescent="0.35">
      <c r="A420" s="3" t="s">
        <v>227</v>
      </c>
      <c r="B420" s="1" t="s">
        <v>18</v>
      </c>
      <c r="C420" s="1" t="s">
        <v>598</v>
      </c>
      <c r="D420" s="1" t="s">
        <v>33</v>
      </c>
      <c r="E420" s="1" t="s">
        <v>50</v>
      </c>
      <c r="F420" s="4">
        <v>2.1</v>
      </c>
      <c r="G420">
        <v>26</v>
      </c>
      <c r="H420">
        <v>57</v>
      </c>
      <c r="I420">
        <v>27.9</v>
      </c>
      <c r="J420">
        <v>8.4</v>
      </c>
      <c r="K420">
        <v>0.58099999999999996</v>
      </c>
      <c r="L420">
        <v>0.3</v>
      </c>
      <c r="M420">
        <v>0</v>
      </c>
      <c r="N420">
        <v>8.1</v>
      </c>
      <c r="O420">
        <v>0.60499999999999998</v>
      </c>
      <c r="P420">
        <v>0.58099999999999996</v>
      </c>
      <c r="Q420">
        <v>2.1</v>
      </c>
      <c r="R420">
        <v>0.67500000000000004</v>
      </c>
      <c r="S420">
        <v>10.7</v>
      </c>
      <c r="T420">
        <v>3.8</v>
      </c>
      <c r="U420">
        <v>0.8</v>
      </c>
      <c r="V420">
        <v>1.1000000000000001</v>
      </c>
      <c r="W420">
        <v>1.7</v>
      </c>
      <c r="X420">
        <v>3</v>
      </c>
      <c r="Y420">
        <v>11.2</v>
      </c>
      <c r="Z420">
        <v>6</v>
      </c>
      <c r="AA420">
        <v>3.2</v>
      </c>
      <c r="AB420">
        <v>18.899999999999999</v>
      </c>
      <c r="AC420">
        <v>0.20499999999999999</v>
      </c>
    </row>
    <row r="421" spans="1:29" x14ac:dyDescent="0.35">
      <c r="A421" s="3" t="s">
        <v>209</v>
      </c>
      <c r="B421" s="1" t="s">
        <v>26</v>
      </c>
      <c r="C421" s="1" t="s">
        <v>598</v>
      </c>
      <c r="D421" s="1" t="s">
        <v>23</v>
      </c>
      <c r="E421" s="1" t="s">
        <v>50</v>
      </c>
      <c r="F421" s="4">
        <v>1.3</v>
      </c>
      <c r="G421">
        <v>34</v>
      </c>
      <c r="H421">
        <v>68</v>
      </c>
      <c r="I421">
        <v>29.2</v>
      </c>
      <c r="J421">
        <v>7.5</v>
      </c>
      <c r="K421">
        <v>0.42399999999999999</v>
      </c>
      <c r="L421">
        <v>3.6</v>
      </c>
      <c r="M421">
        <v>0.32500000000000001</v>
      </c>
      <c r="N421">
        <v>3.9</v>
      </c>
      <c r="O421">
        <v>0.51700000000000002</v>
      </c>
      <c r="P421">
        <v>0.503</v>
      </c>
      <c r="Q421">
        <v>2.2000000000000002</v>
      </c>
      <c r="R421">
        <v>0.68700000000000006</v>
      </c>
      <c r="S421">
        <v>6.1</v>
      </c>
      <c r="T421">
        <v>5.6</v>
      </c>
      <c r="U421">
        <v>1.5</v>
      </c>
      <c r="V421">
        <v>1</v>
      </c>
      <c r="W421">
        <v>2.6</v>
      </c>
      <c r="X421">
        <v>3.2</v>
      </c>
      <c r="Y421">
        <v>9</v>
      </c>
      <c r="Z421">
        <v>12</v>
      </c>
      <c r="AA421">
        <v>0.5</v>
      </c>
      <c r="AB421">
        <v>12.4</v>
      </c>
      <c r="AC421">
        <v>8.7999999999999995E-2</v>
      </c>
    </row>
    <row r="422" spans="1:29" x14ac:dyDescent="0.35">
      <c r="A422" s="3" t="s">
        <v>525</v>
      </c>
      <c r="B422" s="1" t="s">
        <v>26</v>
      </c>
      <c r="C422" s="1" t="s">
        <v>597</v>
      </c>
      <c r="D422" s="1" t="s">
        <v>23</v>
      </c>
      <c r="E422" s="1" t="s">
        <v>28</v>
      </c>
      <c r="F422" s="4">
        <v>-0.1</v>
      </c>
      <c r="G422">
        <v>24</v>
      </c>
      <c r="H422">
        <v>5</v>
      </c>
      <c r="I422">
        <v>12.6</v>
      </c>
      <c r="J422">
        <v>6.4</v>
      </c>
      <c r="K422">
        <v>0.40600000000000003</v>
      </c>
      <c r="L422">
        <v>2</v>
      </c>
      <c r="M422">
        <v>0.2</v>
      </c>
      <c r="N422">
        <v>4.4000000000000004</v>
      </c>
      <c r="O422">
        <v>0.5</v>
      </c>
      <c r="P422">
        <v>0.438</v>
      </c>
      <c r="Q422">
        <v>2.2000000000000002</v>
      </c>
      <c r="R422">
        <v>0.72699999999999998</v>
      </c>
      <c r="S422">
        <v>4.2</v>
      </c>
      <c r="T422">
        <v>0.4</v>
      </c>
      <c r="U422">
        <v>0</v>
      </c>
      <c r="V422">
        <v>0.2</v>
      </c>
      <c r="W422">
        <v>0.4</v>
      </c>
      <c r="X422">
        <v>1.8</v>
      </c>
      <c r="Y422">
        <v>7.2</v>
      </c>
      <c r="Z422">
        <v>0</v>
      </c>
      <c r="AA422">
        <v>-5.5</v>
      </c>
      <c r="AB422">
        <v>14.4</v>
      </c>
      <c r="AC422">
        <v>9.2999999999999999E-2</v>
      </c>
    </row>
    <row r="423" spans="1:29" x14ac:dyDescent="0.35">
      <c r="A423" s="3" t="s">
        <v>339</v>
      </c>
      <c r="B423" s="1" t="s">
        <v>26</v>
      </c>
      <c r="C423" s="1" t="s">
        <v>35</v>
      </c>
      <c r="D423" s="1" t="s">
        <v>23</v>
      </c>
      <c r="E423" s="1" t="s">
        <v>28</v>
      </c>
      <c r="F423" s="4">
        <v>-0.4</v>
      </c>
      <c r="G423">
        <v>29</v>
      </c>
      <c r="H423">
        <v>45</v>
      </c>
      <c r="I423">
        <v>27.1</v>
      </c>
      <c r="J423">
        <v>6.8</v>
      </c>
      <c r="K423">
        <v>0.42399999999999999</v>
      </c>
      <c r="L423">
        <v>2.2999999999999998</v>
      </c>
      <c r="M423">
        <v>0.35899999999999999</v>
      </c>
      <c r="N423">
        <v>4.5</v>
      </c>
      <c r="O423">
        <v>0.45800000000000002</v>
      </c>
      <c r="P423">
        <v>0.48499999999999999</v>
      </c>
      <c r="Q423">
        <v>2.2000000000000002</v>
      </c>
      <c r="R423">
        <v>0.622</v>
      </c>
      <c r="S423">
        <v>3.9</v>
      </c>
      <c r="T423">
        <v>2.1</v>
      </c>
      <c r="U423">
        <v>1</v>
      </c>
      <c r="V423">
        <v>0.5</v>
      </c>
      <c r="W423">
        <v>1.2</v>
      </c>
      <c r="X423">
        <v>1.9</v>
      </c>
      <c r="Y423">
        <v>7.9</v>
      </c>
      <c r="Z423">
        <v>5</v>
      </c>
      <c r="AA423">
        <v>-3.2</v>
      </c>
      <c r="AB423">
        <v>9.6</v>
      </c>
      <c r="AC423">
        <v>2.5000000000000001E-2</v>
      </c>
    </row>
    <row r="424" spans="1:29" x14ac:dyDescent="0.35">
      <c r="A424" s="3" t="s">
        <v>420</v>
      </c>
      <c r="B424" s="1" t="s">
        <v>2</v>
      </c>
      <c r="C424" s="1" t="s">
        <v>598</v>
      </c>
      <c r="D424" s="1" t="s">
        <v>23</v>
      </c>
      <c r="E424" s="1" t="s">
        <v>28</v>
      </c>
      <c r="F424" s="4">
        <v>1.7</v>
      </c>
      <c r="G424">
        <v>24</v>
      </c>
      <c r="H424">
        <v>79</v>
      </c>
      <c r="I424">
        <v>21.3</v>
      </c>
      <c r="J424">
        <v>7.5</v>
      </c>
      <c r="K424">
        <v>0.48</v>
      </c>
      <c r="L424">
        <v>2.8</v>
      </c>
      <c r="M424">
        <v>0.39700000000000002</v>
      </c>
      <c r="N424">
        <v>4.7</v>
      </c>
      <c r="O424">
        <v>0.52800000000000002</v>
      </c>
      <c r="P424">
        <v>0.55300000000000005</v>
      </c>
      <c r="Q424">
        <v>2.2000000000000002</v>
      </c>
      <c r="R424">
        <v>0.71299999999999997</v>
      </c>
      <c r="S424">
        <v>3.3</v>
      </c>
      <c r="T424">
        <v>4.4000000000000004</v>
      </c>
      <c r="U424">
        <v>1.3</v>
      </c>
      <c r="V424">
        <v>0.4</v>
      </c>
      <c r="W424">
        <v>1.7</v>
      </c>
      <c r="X424">
        <v>2.6</v>
      </c>
      <c r="Y424">
        <v>9.9</v>
      </c>
      <c r="Z424">
        <v>2</v>
      </c>
      <c r="AA424">
        <v>1.9</v>
      </c>
      <c r="AB424">
        <v>15.8</v>
      </c>
      <c r="AC424">
        <v>0.13300000000000001</v>
      </c>
    </row>
    <row r="425" spans="1:29" x14ac:dyDescent="0.35">
      <c r="A425" s="3" t="s">
        <v>532</v>
      </c>
      <c r="B425" s="1" t="s">
        <v>18</v>
      </c>
      <c r="C425" s="1" t="s">
        <v>598</v>
      </c>
      <c r="D425" s="1" t="s">
        <v>19</v>
      </c>
      <c r="E425" s="1" t="s">
        <v>28</v>
      </c>
      <c r="F425" s="4">
        <v>0</v>
      </c>
      <c r="G425">
        <v>25</v>
      </c>
      <c r="H425">
        <v>14</v>
      </c>
      <c r="I425">
        <v>18.2</v>
      </c>
      <c r="J425">
        <v>5</v>
      </c>
      <c r="K425">
        <v>0.6</v>
      </c>
      <c r="L425">
        <v>0</v>
      </c>
      <c r="M425" t="s">
        <v>599</v>
      </c>
      <c r="N425">
        <v>5</v>
      </c>
      <c r="O425">
        <v>0.6</v>
      </c>
      <c r="P425">
        <v>0.6</v>
      </c>
      <c r="Q425">
        <v>2.2000000000000002</v>
      </c>
      <c r="R425">
        <v>0.74199999999999999</v>
      </c>
      <c r="S425">
        <v>8.6999999999999993</v>
      </c>
      <c r="T425">
        <v>0.6</v>
      </c>
      <c r="U425">
        <v>0.9</v>
      </c>
      <c r="V425">
        <v>0.1</v>
      </c>
      <c r="W425">
        <v>0.7</v>
      </c>
      <c r="X425">
        <v>1.7</v>
      </c>
      <c r="Y425">
        <v>7.6</v>
      </c>
      <c r="Z425">
        <v>1</v>
      </c>
      <c r="AA425">
        <v>-1.4</v>
      </c>
      <c r="AB425">
        <v>21</v>
      </c>
      <c r="AC425">
        <v>0.182</v>
      </c>
    </row>
    <row r="426" spans="1:29" x14ac:dyDescent="0.35">
      <c r="A426" s="3" t="s">
        <v>494</v>
      </c>
      <c r="B426" s="1" t="s">
        <v>26</v>
      </c>
      <c r="C426" s="1" t="s">
        <v>598</v>
      </c>
      <c r="D426" s="1" t="s">
        <v>23</v>
      </c>
      <c r="E426" s="1" t="s">
        <v>20</v>
      </c>
      <c r="F426" s="4">
        <v>0.6</v>
      </c>
      <c r="G426">
        <v>21</v>
      </c>
      <c r="H426">
        <v>57</v>
      </c>
      <c r="I426">
        <v>30.1</v>
      </c>
      <c r="J426">
        <v>9.9</v>
      </c>
      <c r="K426">
        <v>0.438</v>
      </c>
      <c r="L426">
        <v>4.9000000000000004</v>
      </c>
      <c r="M426">
        <v>0.35399999999999998</v>
      </c>
      <c r="N426">
        <v>5.0999999999999996</v>
      </c>
      <c r="O426">
        <v>0.51900000000000002</v>
      </c>
      <c r="P426">
        <v>0.52500000000000002</v>
      </c>
      <c r="Q426">
        <v>2.2000000000000002</v>
      </c>
      <c r="R426">
        <v>0.82499999999999996</v>
      </c>
      <c r="S426">
        <v>7</v>
      </c>
      <c r="T426">
        <v>1.1000000000000001</v>
      </c>
      <c r="U426">
        <v>0.4</v>
      </c>
      <c r="V426">
        <v>0.7</v>
      </c>
      <c r="W426">
        <v>1.1000000000000001</v>
      </c>
      <c r="X426">
        <v>2.2000000000000002</v>
      </c>
      <c r="Y426">
        <v>12.2</v>
      </c>
      <c r="Z426">
        <v>2</v>
      </c>
      <c r="AA426">
        <v>-0.7</v>
      </c>
      <c r="AB426">
        <v>12.6</v>
      </c>
      <c r="AC426">
        <v>0.11700000000000001</v>
      </c>
    </row>
    <row r="427" spans="1:29" x14ac:dyDescent="0.35">
      <c r="A427" s="3" t="s">
        <v>268</v>
      </c>
      <c r="B427" s="1" t="s">
        <v>26</v>
      </c>
      <c r="C427" s="1" t="s">
        <v>597</v>
      </c>
      <c r="D427" s="1" t="s">
        <v>33</v>
      </c>
      <c r="E427" s="1" t="s">
        <v>20</v>
      </c>
      <c r="F427" s="4">
        <v>0.4</v>
      </c>
      <c r="G427">
        <v>23</v>
      </c>
      <c r="H427">
        <v>66</v>
      </c>
      <c r="I427">
        <v>20.7</v>
      </c>
      <c r="J427">
        <v>7</v>
      </c>
      <c r="K427">
        <v>0.46100000000000002</v>
      </c>
      <c r="L427">
        <v>1.8</v>
      </c>
      <c r="M427">
        <v>0.311</v>
      </c>
      <c r="N427">
        <v>5.2</v>
      </c>
      <c r="O427">
        <v>0.51300000000000001</v>
      </c>
      <c r="P427">
        <v>0.501</v>
      </c>
      <c r="Q427">
        <v>2.2000000000000002</v>
      </c>
      <c r="R427">
        <v>0.754</v>
      </c>
      <c r="S427">
        <v>4.4000000000000004</v>
      </c>
      <c r="T427">
        <v>2.5</v>
      </c>
      <c r="U427">
        <v>0.9</v>
      </c>
      <c r="V427">
        <v>0.2</v>
      </c>
      <c r="W427">
        <v>1.5</v>
      </c>
      <c r="X427">
        <v>1.2</v>
      </c>
      <c r="Y427">
        <v>8.6</v>
      </c>
      <c r="Z427">
        <v>1</v>
      </c>
      <c r="AA427">
        <v>-0.9</v>
      </c>
      <c r="AB427">
        <v>14.3</v>
      </c>
      <c r="AC427">
        <v>8.1000000000000003E-2</v>
      </c>
    </row>
    <row r="428" spans="1:29" x14ac:dyDescent="0.35">
      <c r="A428" s="3" t="s">
        <v>123</v>
      </c>
      <c r="B428" s="1" t="s">
        <v>2</v>
      </c>
      <c r="C428" s="1" t="s">
        <v>598</v>
      </c>
      <c r="D428" s="1" t="s">
        <v>23</v>
      </c>
      <c r="E428" s="1" t="s">
        <v>20</v>
      </c>
      <c r="F428" s="4">
        <v>-1.6</v>
      </c>
      <c r="G428">
        <v>20</v>
      </c>
      <c r="H428">
        <v>71</v>
      </c>
      <c r="I428">
        <v>25.9</v>
      </c>
      <c r="J428">
        <v>7.8</v>
      </c>
      <c r="K428">
        <v>0.42199999999999999</v>
      </c>
      <c r="L428">
        <v>2.4</v>
      </c>
      <c r="M428">
        <v>0.249</v>
      </c>
      <c r="N428">
        <v>5.4</v>
      </c>
      <c r="O428">
        <v>0.497</v>
      </c>
      <c r="P428">
        <v>0.45900000000000002</v>
      </c>
      <c r="Q428">
        <v>2.2000000000000002</v>
      </c>
      <c r="R428">
        <v>0.68200000000000005</v>
      </c>
      <c r="S428">
        <v>3.3</v>
      </c>
      <c r="T428">
        <v>6.3</v>
      </c>
      <c r="U428">
        <v>0.9</v>
      </c>
      <c r="V428">
        <v>0.2</v>
      </c>
      <c r="W428">
        <v>2.9</v>
      </c>
      <c r="X428">
        <v>2.1</v>
      </c>
      <c r="Y428">
        <v>8.6999999999999993</v>
      </c>
      <c r="Z428">
        <v>0</v>
      </c>
      <c r="AA428">
        <v>-5.3</v>
      </c>
      <c r="AB428">
        <v>9.6999999999999993</v>
      </c>
      <c r="AC428">
        <v>-2.1000000000000001E-2</v>
      </c>
    </row>
    <row r="429" spans="1:29" x14ac:dyDescent="0.35">
      <c r="A429" s="3" t="s">
        <v>119</v>
      </c>
      <c r="B429" s="1" t="s">
        <v>18</v>
      </c>
      <c r="C429" s="1" t="s">
        <v>597</v>
      </c>
      <c r="D429" s="1" t="s">
        <v>33</v>
      </c>
      <c r="E429" s="1" t="s">
        <v>50</v>
      </c>
      <c r="F429" s="4">
        <v>1.1000000000000001</v>
      </c>
      <c r="G429">
        <v>25</v>
      </c>
      <c r="H429">
        <v>70</v>
      </c>
      <c r="I429">
        <v>26.9</v>
      </c>
      <c r="J429">
        <v>8.1</v>
      </c>
      <c r="K429">
        <v>0.56299999999999994</v>
      </c>
      <c r="L429">
        <v>0.3</v>
      </c>
      <c r="M429">
        <v>0.23799999999999999</v>
      </c>
      <c r="N429">
        <v>7.8</v>
      </c>
      <c r="O429">
        <v>0.57599999999999996</v>
      </c>
      <c r="P429">
        <v>0.56799999999999995</v>
      </c>
      <c r="Q429">
        <v>2.2000000000000002</v>
      </c>
      <c r="R429">
        <v>0.51300000000000001</v>
      </c>
      <c r="S429">
        <v>7.4</v>
      </c>
      <c r="T429">
        <v>2.2000000000000002</v>
      </c>
      <c r="U429">
        <v>0.9</v>
      </c>
      <c r="V429">
        <v>1.4</v>
      </c>
      <c r="W429">
        <v>1.2</v>
      </c>
      <c r="X429">
        <v>2.1</v>
      </c>
      <c r="Y429">
        <v>10.3</v>
      </c>
      <c r="Z429">
        <v>5</v>
      </c>
      <c r="AA429">
        <v>0.4</v>
      </c>
      <c r="AB429">
        <v>16.5</v>
      </c>
      <c r="AC429">
        <v>0.11</v>
      </c>
    </row>
    <row r="430" spans="1:29" x14ac:dyDescent="0.35">
      <c r="A430" s="3" t="s">
        <v>576</v>
      </c>
      <c r="B430" s="1" t="s">
        <v>26</v>
      </c>
      <c r="C430" s="1" t="s">
        <v>597</v>
      </c>
      <c r="D430" s="1" t="s">
        <v>23</v>
      </c>
      <c r="E430" s="1" t="s">
        <v>20</v>
      </c>
      <c r="F430" s="4">
        <v>0.1</v>
      </c>
      <c r="G430">
        <v>26</v>
      </c>
      <c r="H430">
        <v>16</v>
      </c>
      <c r="I430">
        <v>29.9</v>
      </c>
      <c r="J430">
        <v>7.7</v>
      </c>
      <c r="K430">
        <v>0.439</v>
      </c>
      <c r="L430">
        <v>4.5999999999999996</v>
      </c>
      <c r="M430">
        <v>0.36499999999999999</v>
      </c>
      <c r="N430">
        <v>3.1</v>
      </c>
      <c r="O430">
        <v>0.55100000000000005</v>
      </c>
      <c r="P430">
        <v>0.54900000000000004</v>
      </c>
      <c r="Q430">
        <v>2.2999999999999998</v>
      </c>
      <c r="R430">
        <v>0.83799999999999997</v>
      </c>
      <c r="S430">
        <v>5.0999999999999996</v>
      </c>
      <c r="T430">
        <v>2.2999999999999998</v>
      </c>
      <c r="U430">
        <v>1.1000000000000001</v>
      </c>
      <c r="V430">
        <v>0.8</v>
      </c>
      <c r="W430">
        <v>1.8</v>
      </c>
      <c r="X430">
        <v>2.9</v>
      </c>
      <c r="Y430">
        <v>10.4</v>
      </c>
      <c r="Z430">
        <v>5</v>
      </c>
      <c r="AA430">
        <v>-1.6</v>
      </c>
      <c r="AB430">
        <v>11.5</v>
      </c>
      <c r="AC430">
        <v>7.0999999999999994E-2</v>
      </c>
    </row>
    <row r="431" spans="1:29" x14ac:dyDescent="0.35">
      <c r="A431" s="3" t="s">
        <v>80</v>
      </c>
      <c r="B431" s="1" t="s">
        <v>26</v>
      </c>
      <c r="C431" s="1" t="s">
        <v>597</v>
      </c>
      <c r="D431" s="1" t="s">
        <v>19</v>
      </c>
      <c r="E431" s="1" t="s">
        <v>28</v>
      </c>
      <c r="F431" s="4">
        <v>-0.1</v>
      </c>
      <c r="G431">
        <v>26</v>
      </c>
      <c r="H431">
        <v>6</v>
      </c>
      <c r="I431">
        <v>23.7</v>
      </c>
      <c r="J431">
        <v>6.5</v>
      </c>
      <c r="K431">
        <v>0.48699999999999999</v>
      </c>
      <c r="L431">
        <v>3</v>
      </c>
      <c r="M431">
        <v>0.33300000000000002</v>
      </c>
      <c r="N431">
        <v>3.5</v>
      </c>
      <c r="O431">
        <v>0.61899999999999999</v>
      </c>
      <c r="P431">
        <v>0.56399999999999995</v>
      </c>
      <c r="Q431">
        <v>2.2999999999999998</v>
      </c>
      <c r="R431">
        <v>0.57099999999999995</v>
      </c>
      <c r="S431">
        <v>3.7</v>
      </c>
      <c r="T431">
        <v>0.7</v>
      </c>
      <c r="U431">
        <v>0.7</v>
      </c>
      <c r="V431">
        <v>0.5</v>
      </c>
      <c r="W431">
        <v>1.3</v>
      </c>
      <c r="X431">
        <v>2.2999999999999998</v>
      </c>
      <c r="Y431">
        <v>8.6999999999999993</v>
      </c>
      <c r="Z431">
        <v>5</v>
      </c>
      <c r="AA431">
        <v>-6.3</v>
      </c>
      <c r="AB431">
        <v>9.8000000000000007</v>
      </c>
      <c r="AC431">
        <v>1.9E-2</v>
      </c>
    </row>
    <row r="432" spans="1:29" x14ac:dyDescent="0.35">
      <c r="A432" s="3" t="s">
        <v>540</v>
      </c>
      <c r="B432" s="1" t="s">
        <v>2</v>
      </c>
      <c r="C432" s="1" t="s">
        <v>598</v>
      </c>
      <c r="D432" s="1" t="s">
        <v>23</v>
      </c>
      <c r="E432" s="1" t="s">
        <v>28</v>
      </c>
      <c r="F432" s="4">
        <v>1.5</v>
      </c>
      <c r="G432">
        <v>30</v>
      </c>
      <c r="H432">
        <v>60</v>
      </c>
      <c r="I432">
        <v>35.200000000000003</v>
      </c>
      <c r="J432">
        <v>12.7</v>
      </c>
      <c r="K432">
        <v>0.378</v>
      </c>
      <c r="L432">
        <v>7.7</v>
      </c>
      <c r="M432">
        <v>0.34499999999999997</v>
      </c>
      <c r="N432">
        <v>5</v>
      </c>
      <c r="O432">
        <v>0.43</v>
      </c>
      <c r="P432">
        <v>0.48299999999999998</v>
      </c>
      <c r="Q432">
        <v>2.2999999999999998</v>
      </c>
      <c r="R432">
        <v>0.81</v>
      </c>
      <c r="S432">
        <v>3.7</v>
      </c>
      <c r="T432">
        <v>5.6</v>
      </c>
      <c r="U432">
        <v>1.6</v>
      </c>
      <c r="V432">
        <v>0.4</v>
      </c>
      <c r="W432">
        <v>1.5</v>
      </c>
      <c r="X432">
        <v>2.2999999999999998</v>
      </c>
      <c r="Y432">
        <v>14.1</v>
      </c>
      <c r="Z432">
        <v>8</v>
      </c>
      <c r="AA432">
        <v>0.9</v>
      </c>
      <c r="AB432">
        <v>12.8</v>
      </c>
      <c r="AC432">
        <v>0.11899999999999999</v>
      </c>
    </row>
    <row r="433" spans="1:29" x14ac:dyDescent="0.35">
      <c r="A433" s="3" t="s">
        <v>159</v>
      </c>
      <c r="B433" s="1" t="s">
        <v>18</v>
      </c>
      <c r="C433" s="1" t="s">
        <v>597</v>
      </c>
      <c r="D433" s="1" t="s">
        <v>23</v>
      </c>
      <c r="E433" s="1" t="s">
        <v>20</v>
      </c>
      <c r="F433" s="4">
        <v>-0.2</v>
      </c>
      <c r="G433">
        <v>31</v>
      </c>
      <c r="H433">
        <v>40</v>
      </c>
      <c r="I433">
        <v>18.8</v>
      </c>
      <c r="J433">
        <v>5.9</v>
      </c>
      <c r="K433">
        <v>0.5</v>
      </c>
      <c r="L433">
        <v>0.5</v>
      </c>
      <c r="M433">
        <v>0.15</v>
      </c>
      <c r="N433">
        <v>5.4</v>
      </c>
      <c r="O433">
        <v>0.53300000000000003</v>
      </c>
      <c r="P433">
        <v>0.50600000000000001</v>
      </c>
      <c r="Q433">
        <v>2.2999999999999998</v>
      </c>
      <c r="R433">
        <v>0.622</v>
      </c>
      <c r="S433">
        <v>7.8</v>
      </c>
      <c r="T433">
        <v>0.9</v>
      </c>
      <c r="U433">
        <v>1</v>
      </c>
      <c r="V433">
        <v>0.5</v>
      </c>
      <c r="W433">
        <v>1.4</v>
      </c>
      <c r="X433">
        <v>2.4</v>
      </c>
      <c r="Y433">
        <v>7.3</v>
      </c>
      <c r="Z433">
        <v>12</v>
      </c>
      <c r="AA433">
        <v>-3.2</v>
      </c>
      <c r="AB433">
        <v>16</v>
      </c>
      <c r="AC433">
        <v>7.8E-2</v>
      </c>
    </row>
    <row r="434" spans="1:29" x14ac:dyDescent="0.35">
      <c r="A434" s="3" t="s">
        <v>363</v>
      </c>
      <c r="B434" s="1" t="s">
        <v>26</v>
      </c>
      <c r="C434" s="1" t="s">
        <v>35</v>
      </c>
      <c r="D434" s="1" t="s">
        <v>23</v>
      </c>
      <c r="E434" s="1" t="s">
        <v>50</v>
      </c>
      <c r="F434" s="4">
        <v>0.6</v>
      </c>
      <c r="G434">
        <v>33</v>
      </c>
      <c r="H434">
        <v>37</v>
      </c>
      <c r="I434">
        <v>22.8</v>
      </c>
      <c r="J434">
        <v>9.1</v>
      </c>
      <c r="K434">
        <v>0.47499999999999998</v>
      </c>
      <c r="L434">
        <v>3.6</v>
      </c>
      <c r="M434">
        <v>0.36099999999999999</v>
      </c>
      <c r="N434">
        <v>5.5</v>
      </c>
      <c r="O434">
        <v>0.54900000000000004</v>
      </c>
      <c r="P434">
        <v>0.54600000000000004</v>
      </c>
      <c r="Q434">
        <v>2.2999999999999998</v>
      </c>
      <c r="R434">
        <v>0.85699999999999998</v>
      </c>
      <c r="S434">
        <v>3.7</v>
      </c>
      <c r="T434">
        <v>4.0999999999999996</v>
      </c>
      <c r="U434">
        <v>0.9</v>
      </c>
      <c r="V434">
        <v>0.2</v>
      </c>
      <c r="W434">
        <v>1.5</v>
      </c>
      <c r="X434">
        <v>2</v>
      </c>
      <c r="Y434">
        <v>11.9</v>
      </c>
      <c r="Z434">
        <v>12</v>
      </c>
      <c r="AA434">
        <v>0.7</v>
      </c>
      <c r="AB434">
        <v>16.7</v>
      </c>
      <c r="AC434">
        <v>0.11600000000000001</v>
      </c>
    </row>
    <row r="435" spans="1:29" x14ac:dyDescent="0.35">
      <c r="A435" s="3" t="s">
        <v>427</v>
      </c>
      <c r="B435" s="1" t="s">
        <v>2</v>
      </c>
      <c r="C435" s="1" t="s">
        <v>35</v>
      </c>
      <c r="D435" s="1" t="s">
        <v>23</v>
      </c>
      <c r="E435" s="1" t="s">
        <v>20</v>
      </c>
      <c r="F435" s="4">
        <v>0.5</v>
      </c>
      <c r="G435">
        <v>24</v>
      </c>
      <c r="H435">
        <v>75</v>
      </c>
      <c r="I435">
        <v>19.8</v>
      </c>
      <c r="J435">
        <v>8.6999999999999993</v>
      </c>
      <c r="K435">
        <v>0.44900000000000001</v>
      </c>
      <c r="L435">
        <v>2.4</v>
      </c>
      <c r="M435">
        <v>0.311</v>
      </c>
      <c r="N435">
        <v>6.3</v>
      </c>
      <c r="O435">
        <v>0.501</v>
      </c>
      <c r="P435">
        <v>0.49199999999999999</v>
      </c>
      <c r="Q435">
        <v>2.2999999999999998</v>
      </c>
      <c r="R435">
        <v>0.76900000000000002</v>
      </c>
      <c r="S435">
        <v>3.7</v>
      </c>
      <c r="T435">
        <v>3.4</v>
      </c>
      <c r="U435">
        <v>1.1000000000000001</v>
      </c>
      <c r="V435">
        <v>0.2</v>
      </c>
      <c r="W435">
        <v>1.8</v>
      </c>
      <c r="X435">
        <v>1.6</v>
      </c>
      <c r="Y435">
        <v>10.3</v>
      </c>
      <c r="Z435">
        <v>4</v>
      </c>
      <c r="AA435">
        <v>-0.6</v>
      </c>
      <c r="AB435">
        <v>15.4</v>
      </c>
      <c r="AC435">
        <v>7.1999999999999995E-2</v>
      </c>
    </row>
    <row r="436" spans="1:29" x14ac:dyDescent="0.35">
      <c r="A436" s="3" t="s">
        <v>499</v>
      </c>
      <c r="B436" s="1" t="s">
        <v>26</v>
      </c>
      <c r="C436" s="1" t="s">
        <v>598</v>
      </c>
      <c r="D436" s="1" t="s">
        <v>33</v>
      </c>
      <c r="E436" s="1" t="s">
        <v>20</v>
      </c>
      <c r="F436" s="4">
        <v>0.3</v>
      </c>
      <c r="G436">
        <v>21</v>
      </c>
      <c r="H436">
        <v>54</v>
      </c>
      <c r="I436">
        <v>25.3</v>
      </c>
      <c r="J436">
        <v>8.6999999999999993</v>
      </c>
      <c r="K436">
        <v>0.53500000000000003</v>
      </c>
      <c r="L436">
        <v>1.7</v>
      </c>
      <c r="M436">
        <v>0.308</v>
      </c>
      <c r="N436">
        <v>7</v>
      </c>
      <c r="O436">
        <v>0.59</v>
      </c>
      <c r="P436">
        <v>0.56499999999999995</v>
      </c>
      <c r="Q436">
        <v>2.2999999999999998</v>
      </c>
      <c r="R436">
        <v>0.69599999999999995</v>
      </c>
      <c r="S436">
        <v>6.5</v>
      </c>
      <c r="T436">
        <v>2.4</v>
      </c>
      <c r="U436">
        <v>0.8</v>
      </c>
      <c r="V436">
        <v>0.5</v>
      </c>
      <c r="W436">
        <v>1.6</v>
      </c>
      <c r="X436">
        <v>2.4</v>
      </c>
      <c r="Y436">
        <v>11.4</v>
      </c>
      <c r="Z436">
        <v>2</v>
      </c>
      <c r="AA436">
        <v>-1.2</v>
      </c>
      <c r="AB436">
        <v>15.9</v>
      </c>
      <c r="AC436">
        <v>9.6000000000000002E-2</v>
      </c>
    </row>
    <row r="437" spans="1:29" x14ac:dyDescent="0.35">
      <c r="A437" s="3" t="s">
        <v>338</v>
      </c>
      <c r="B437" s="1" t="s">
        <v>26</v>
      </c>
      <c r="C437" s="1" t="s">
        <v>598</v>
      </c>
      <c r="D437" s="1" t="s">
        <v>23</v>
      </c>
      <c r="E437" s="1" t="s">
        <v>28</v>
      </c>
      <c r="F437" s="4">
        <v>0.6</v>
      </c>
      <c r="G437">
        <v>27</v>
      </c>
      <c r="H437">
        <v>69</v>
      </c>
      <c r="I437">
        <v>27.8</v>
      </c>
      <c r="J437">
        <v>10.3</v>
      </c>
      <c r="K437">
        <v>0.50800000000000001</v>
      </c>
      <c r="L437">
        <v>3.2</v>
      </c>
      <c r="M437">
        <v>0.27500000000000002</v>
      </c>
      <c r="N437">
        <v>7.2</v>
      </c>
      <c r="O437">
        <v>0.61099999999999999</v>
      </c>
      <c r="P437">
        <v>0.55100000000000005</v>
      </c>
      <c r="Q437">
        <v>2.2999999999999998</v>
      </c>
      <c r="R437">
        <v>0.81299999999999994</v>
      </c>
      <c r="S437">
        <v>4.8</v>
      </c>
      <c r="T437">
        <v>3</v>
      </c>
      <c r="U437">
        <v>1</v>
      </c>
      <c r="V437">
        <v>0.2</v>
      </c>
      <c r="W437">
        <v>1.6</v>
      </c>
      <c r="X437">
        <v>1.6</v>
      </c>
      <c r="Y437">
        <v>13.2</v>
      </c>
      <c r="Z437">
        <v>4</v>
      </c>
      <c r="AA437">
        <v>-0.8</v>
      </c>
      <c r="AB437">
        <v>15.1</v>
      </c>
      <c r="AC437">
        <v>8.6999999999999994E-2</v>
      </c>
    </row>
    <row r="438" spans="1:29" x14ac:dyDescent="0.35">
      <c r="A438" s="3" t="s">
        <v>225</v>
      </c>
      <c r="B438" s="1" t="s">
        <v>26</v>
      </c>
      <c r="C438" s="1" t="s">
        <v>597</v>
      </c>
      <c r="D438" s="1" t="s">
        <v>23</v>
      </c>
      <c r="E438" s="1" t="s">
        <v>20</v>
      </c>
      <c r="F438" s="4">
        <v>1.2</v>
      </c>
      <c r="G438">
        <v>32</v>
      </c>
      <c r="H438">
        <v>73</v>
      </c>
      <c r="I438">
        <v>31.6</v>
      </c>
      <c r="J438">
        <v>11</v>
      </c>
      <c r="K438">
        <v>0.47699999999999998</v>
      </c>
      <c r="L438">
        <v>3.6</v>
      </c>
      <c r="M438">
        <v>0.34499999999999997</v>
      </c>
      <c r="N438">
        <v>7.4</v>
      </c>
      <c r="O438">
        <v>0.54200000000000004</v>
      </c>
      <c r="P438">
        <v>0.53400000000000003</v>
      </c>
      <c r="Q438">
        <v>2.2999999999999998</v>
      </c>
      <c r="R438">
        <v>0.86099999999999999</v>
      </c>
      <c r="S438">
        <v>5.9</v>
      </c>
      <c r="T438">
        <v>2.2000000000000002</v>
      </c>
      <c r="U438">
        <v>1</v>
      </c>
      <c r="V438">
        <v>0.8</v>
      </c>
      <c r="W438">
        <v>1.2</v>
      </c>
      <c r="X438">
        <v>1.9</v>
      </c>
      <c r="Y438">
        <v>13.7</v>
      </c>
      <c r="Z438">
        <v>13</v>
      </c>
      <c r="AA438">
        <v>0.1</v>
      </c>
      <c r="AB438">
        <v>13.9</v>
      </c>
      <c r="AC438">
        <v>0.108</v>
      </c>
    </row>
    <row r="439" spans="1:29" x14ac:dyDescent="0.35">
      <c r="A439" s="3" t="s">
        <v>318</v>
      </c>
      <c r="B439" s="1" t="s">
        <v>2</v>
      </c>
      <c r="C439" s="1" t="s">
        <v>597</v>
      </c>
      <c r="D439" s="1" t="s">
        <v>19</v>
      </c>
      <c r="E439" s="1" t="s">
        <v>28</v>
      </c>
      <c r="F439" s="4">
        <v>-0.1</v>
      </c>
      <c r="G439">
        <v>24</v>
      </c>
      <c r="H439">
        <v>26</v>
      </c>
      <c r="I439">
        <v>18.7</v>
      </c>
      <c r="J439">
        <v>7.3</v>
      </c>
      <c r="K439">
        <v>0.42099999999999999</v>
      </c>
      <c r="L439">
        <v>3.9</v>
      </c>
      <c r="M439">
        <v>0.32700000000000001</v>
      </c>
      <c r="N439">
        <v>3.4</v>
      </c>
      <c r="O439">
        <v>0.52800000000000002</v>
      </c>
      <c r="P439">
        <v>0.50800000000000001</v>
      </c>
      <c r="Q439">
        <v>2.4</v>
      </c>
      <c r="R439">
        <v>0.68300000000000005</v>
      </c>
      <c r="S439">
        <v>3.3</v>
      </c>
      <c r="T439">
        <v>1.2</v>
      </c>
      <c r="U439">
        <v>0.5</v>
      </c>
      <c r="V439">
        <v>0.2</v>
      </c>
      <c r="W439">
        <v>0.6</v>
      </c>
      <c r="X439">
        <v>1.7</v>
      </c>
      <c r="Y439">
        <v>9.1</v>
      </c>
      <c r="Z439">
        <v>2</v>
      </c>
      <c r="AA439">
        <v>-2.5</v>
      </c>
      <c r="AB439">
        <v>12.7</v>
      </c>
      <c r="AC439">
        <v>8.1000000000000003E-2</v>
      </c>
    </row>
    <row r="440" spans="1:29" x14ac:dyDescent="0.35">
      <c r="A440" s="3" t="s">
        <v>52</v>
      </c>
      <c r="B440" s="1" t="s">
        <v>26</v>
      </c>
      <c r="C440" s="1" t="s">
        <v>598</v>
      </c>
      <c r="D440" s="1" t="s">
        <v>23</v>
      </c>
      <c r="E440" s="1" t="s">
        <v>20</v>
      </c>
      <c r="F440" s="4">
        <v>1.2</v>
      </c>
      <c r="G440">
        <v>32</v>
      </c>
      <c r="H440">
        <v>82</v>
      </c>
      <c r="I440">
        <v>27.2</v>
      </c>
      <c r="J440">
        <v>8.3000000000000007</v>
      </c>
      <c r="K440">
        <v>0.50800000000000001</v>
      </c>
      <c r="L440">
        <v>4.4000000000000004</v>
      </c>
      <c r="M440">
        <v>0.433</v>
      </c>
      <c r="N440">
        <v>3.9</v>
      </c>
      <c r="O440">
        <v>0.59099999999999997</v>
      </c>
      <c r="P440">
        <v>0.622</v>
      </c>
      <c r="Q440">
        <v>2.4</v>
      </c>
      <c r="R440">
        <v>0.80900000000000005</v>
      </c>
      <c r="S440">
        <v>3.8</v>
      </c>
      <c r="T440">
        <v>1.7</v>
      </c>
      <c r="U440">
        <v>0.5</v>
      </c>
      <c r="V440">
        <v>0.2</v>
      </c>
      <c r="W440">
        <v>0.6</v>
      </c>
      <c r="X440">
        <v>0.9</v>
      </c>
      <c r="Y440">
        <v>12.3</v>
      </c>
      <c r="Z440">
        <v>12</v>
      </c>
      <c r="AA440">
        <v>0</v>
      </c>
      <c r="AB440">
        <v>14.9</v>
      </c>
      <c r="AC440">
        <v>0.12</v>
      </c>
    </row>
    <row r="441" spans="1:29" x14ac:dyDescent="0.35">
      <c r="A441" s="3" t="s">
        <v>323</v>
      </c>
      <c r="B441" s="1" t="s">
        <v>2</v>
      </c>
      <c r="C441" s="1" t="s">
        <v>35</v>
      </c>
      <c r="D441" s="1" t="s">
        <v>23</v>
      </c>
      <c r="E441" s="1" t="s">
        <v>20</v>
      </c>
      <c r="F441" s="4">
        <v>1.2</v>
      </c>
      <c r="G441">
        <v>30</v>
      </c>
      <c r="H441">
        <v>64</v>
      </c>
      <c r="I441">
        <v>24.9</v>
      </c>
      <c r="J441">
        <v>9.4</v>
      </c>
      <c r="K441">
        <v>0.46700000000000003</v>
      </c>
      <c r="L441">
        <v>4.4000000000000004</v>
      </c>
      <c r="M441">
        <v>0.373</v>
      </c>
      <c r="N441">
        <v>4.9000000000000004</v>
      </c>
      <c r="O441">
        <v>0.55200000000000005</v>
      </c>
      <c r="P441">
        <v>0.55600000000000005</v>
      </c>
      <c r="Q441">
        <v>2.4</v>
      </c>
      <c r="R441">
        <v>0.71</v>
      </c>
      <c r="S441">
        <v>3.2</v>
      </c>
      <c r="T441">
        <v>3.4</v>
      </c>
      <c r="U441">
        <v>0.9</v>
      </c>
      <c r="V441">
        <v>0.5</v>
      </c>
      <c r="W441">
        <v>1.2</v>
      </c>
      <c r="X441">
        <v>1.5</v>
      </c>
      <c r="Y441">
        <v>12.1</v>
      </c>
      <c r="Z441">
        <v>8</v>
      </c>
      <c r="AA441">
        <v>0.9</v>
      </c>
      <c r="AB441">
        <v>15.2</v>
      </c>
      <c r="AC441">
        <v>0.11899999999999999</v>
      </c>
    </row>
    <row r="442" spans="1:29" x14ac:dyDescent="0.35">
      <c r="A442" s="3" t="s">
        <v>349</v>
      </c>
      <c r="B442" s="1" t="s">
        <v>2</v>
      </c>
      <c r="C442" s="1" t="s">
        <v>597</v>
      </c>
      <c r="D442" s="1" t="s">
        <v>23</v>
      </c>
      <c r="E442" s="1" t="s">
        <v>20</v>
      </c>
      <c r="F442" s="4">
        <v>0.3</v>
      </c>
      <c r="G442">
        <v>20</v>
      </c>
      <c r="H442">
        <v>23</v>
      </c>
      <c r="I442">
        <v>25.7</v>
      </c>
      <c r="J442">
        <v>11.9</v>
      </c>
      <c r="K442">
        <v>0.46</v>
      </c>
      <c r="L442">
        <v>5.8</v>
      </c>
      <c r="M442">
        <v>0.38300000000000001</v>
      </c>
      <c r="N442">
        <v>6.1</v>
      </c>
      <c r="O442">
        <v>0.53200000000000003</v>
      </c>
      <c r="P442">
        <v>0.55300000000000005</v>
      </c>
      <c r="Q442">
        <v>2.4</v>
      </c>
      <c r="R442">
        <v>0.875</v>
      </c>
      <c r="S442">
        <v>2.4</v>
      </c>
      <c r="T442">
        <v>2.6</v>
      </c>
      <c r="U442">
        <v>0.7</v>
      </c>
      <c r="V442">
        <v>0</v>
      </c>
      <c r="W442">
        <v>1.6</v>
      </c>
      <c r="X442">
        <v>1.6</v>
      </c>
      <c r="Y442">
        <v>15.3</v>
      </c>
      <c r="Z442">
        <v>0</v>
      </c>
      <c r="AA442">
        <v>0.2</v>
      </c>
      <c r="AB442">
        <v>15.2</v>
      </c>
      <c r="AC442">
        <v>5.7000000000000002E-2</v>
      </c>
    </row>
    <row r="443" spans="1:29" x14ac:dyDescent="0.35">
      <c r="A443" s="3" t="s">
        <v>518</v>
      </c>
      <c r="B443" s="1" t="s">
        <v>26</v>
      </c>
      <c r="C443" s="1" t="s">
        <v>597</v>
      </c>
      <c r="D443" s="1" t="s">
        <v>23</v>
      </c>
      <c r="E443" s="1" t="s">
        <v>20</v>
      </c>
      <c r="F443" s="4">
        <v>1.2</v>
      </c>
      <c r="G443">
        <v>22</v>
      </c>
      <c r="H443">
        <v>59</v>
      </c>
      <c r="I443">
        <v>22.5</v>
      </c>
      <c r="J443">
        <v>7.8</v>
      </c>
      <c r="K443">
        <v>0.53500000000000003</v>
      </c>
      <c r="L443">
        <v>0.8</v>
      </c>
      <c r="M443">
        <v>0.224</v>
      </c>
      <c r="N443">
        <v>7</v>
      </c>
      <c r="O443">
        <v>0.57199999999999995</v>
      </c>
      <c r="P443">
        <v>0.54700000000000004</v>
      </c>
      <c r="Q443">
        <v>2.4</v>
      </c>
      <c r="R443">
        <v>0.64100000000000001</v>
      </c>
      <c r="S443">
        <v>5.0999999999999996</v>
      </c>
      <c r="T443">
        <v>2.2999999999999998</v>
      </c>
      <c r="U443">
        <v>1.7</v>
      </c>
      <c r="V443">
        <v>0.7</v>
      </c>
      <c r="W443">
        <v>1.4</v>
      </c>
      <c r="X443">
        <v>2.8</v>
      </c>
      <c r="Y443">
        <v>10.1</v>
      </c>
      <c r="Z443">
        <v>1</v>
      </c>
      <c r="AA443">
        <v>1.7</v>
      </c>
      <c r="AB443">
        <v>17.2</v>
      </c>
      <c r="AC443">
        <v>0.13800000000000001</v>
      </c>
    </row>
    <row r="444" spans="1:29" x14ac:dyDescent="0.35">
      <c r="A444" s="3" t="s">
        <v>196</v>
      </c>
      <c r="B444" s="1" t="s">
        <v>26</v>
      </c>
      <c r="C444" s="1" t="s">
        <v>597</v>
      </c>
      <c r="D444" s="1" t="s">
        <v>23</v>
      </c>
      <c r="E444" s="1" t="s">
        <v>20</v>
      </c>
      <c r="F444" s="4">
        <v>0.5</v>
      </c>
      <c r="G444">
        <v>34</v>
      </c>
      <c r="H444">
        <v>41</v>
      </c>
      <c r="I444">
        <v>32.5</v>
      </c>
      <c r="J444">
        <v>13.9</v>
      </c>
      <c r="K444">
        <v>0.43</v>
      </c>
      <c r="L444">
        <v>6.5</v>
      </c>
      <c r="M444">
        <v>0.35799999999999998</v>
      </c>
      <c r="N444">
        <v>7.4</v>
      </c>
      <c r="O444">
        <v>0.49299999999999999</v>
      </c>
      <c r="P444">
        <v>0.51400000000000001</v>
      </c>
      <c r="Q444">
        <v>2.4</v>
      </c>
      <c r="R444">
        <v>0.81399999999999995</v>
      </c>
      <c r="S444">
        <v>5.3</v>
      </c>
      <c r="T444">
        <v>4.3</v>
      </c>
      <c r="U444">
        <v>1.8</v>
      </c>
      <c r="V444">
        <v>0.5</v>
      </c>
      <c r="W444">
        <v>2.6</v>
      </c>
      <c r="X444">
        <v>2.5</v>
      </c>
      <c r="Y444">
        <v>16.2</v>
      </c>
      <c r="Z444">
        <v>14</v>
      </c>
      <c r="AA444">
        <v>-0.4</v>
      </c>
      <c r="AB444">
        <v>14.5</v>
      </c>
      <c r="AC444">
        <v>3.5999999999999997E-2</v>
      </c>
    </row>
    <row r="445" spans="1:29" x14ac:dyDescent="0.35">
      <c r="A445" s="3" t="s">
        <v>490</v>
      </c>
      <c r="B445" s="1" t="s">
        <v>2</v>
      </c>
      <c r="C445" s="1" t="s">
        <v>597</v>
      </c>
      <c r="D445" s="1" t="s">
        <v>23</v>
      </c>
      <c r="E445" s="1" t="s">
        <v>28</v>
      </c>
      <c r="F445" s="4">
        <v>-0.1</v>
      </c>
      <c r="G445">
        <v>26</v>
      </c>
      <c r="H445">
        <v>6</v>
      </c>
      <c r="I445">
        <v>18.7</v>
      </c>
      <c r="J445">
        <v>4.7</v>
      </c>
      <c r="K445">
        <v>0.42899999999999999</v>
      </c>
      <c r="L445">
        <v>2.5</v>
      </c>
      <c r="M445">
        <v>0.4</v>
      </c>
      <c r="N445">
        <v>2.2000000000000002</v>
      </c>
      <c r="O445">
        <v>0.46200000000000002</v>
      </c>
      <c r="P445">
        <v>0.53600000000000003</v>
      </c>
      <c r="Q445">
        <v>2.5</v>
      </c>
      <c r="R445">
        <v>0.8</v>
      </c>
      <c r="S445">
        <v>1</v>
      </c>
      <c r="T445">
        <v>2</v>
      </c>
      <c r="U445">
        <v>0.5</v>
      </c>
      <c r="V445">
        <v>0.2</v>
      </c>
      <c r="W445">
        <v>1.3</v>
      </c>
      <c r="X445">
        <v>1.7</v>
      </c>
      <c r="Y445">
        <v>7</v>
      </c>
      <c r="Z445">
        <v>0</v>
      </c>
      <c r="AA445">
        <v>-4.0999999999999996</v>
      </c>
      <c r="AB445">
        <v>9.8000000000000007</v>
      </c>
      <c r="AC445">
        <v>4.8000000000000001E-2</v>
      </c>
    </row>
    <row r="446" spans="1:29" x14ac:dyDescent="0.35">
      <c r="A446" s="3" t="s">
        <v>411</v>
      </c>
      <c r="B446" s="1" t="s">
        <v>18</v>
      </c>
      <c r="C446" s="1" t="s">
        <v>35</v>
      </c>
      <c r="D446" s="1" t="s">
        <v>19</v>
      </c>
      <c r="E446" s="1" t="s">
        <v>20</v>
      </c>
      <c r="F446" s="4">
        <v>0.3</v>
      </c>
      <c r="G446">
        <v>33</v>
      </c>
      <c r="H446">
        <v>44</v>
      </c>
      <c r="I446">
        <v>20.3</v>
      </c>
      <c r="J446">
        <v>6.1</v>
      </c>
      <c r="K446">
        <v>0.5</v>
      </c>
      <c r="L446">
        <v>1.8</v>
      </c>
      <c r="M446">
        <v>0.41799999999999998</v>
      </c>
      <c r="N446">
        <v>4.3</v>
      </c>
      <c r="O446">
        <v>0.53400000000000003</v>
      </c>
      <c r="P446">
        <v>0.56200000000000006</v>
      </c>
      <c r="Q446">
        <v>2.5</v>
      </c>
      <c r="R446">
        <v>0.76900000000000002</v>
      </c>
      <c r="S446">
        <v>4.7</v>
      </c>
      <c r="T446">
        <v>2.9</v>
      </c>
      <c r="U446">
        <v>0.8</v>
      </c>
      <c r="V446">
        <v>0.4</v>
      </c>
      <c r="W446">
        <v>1.7</v>
      </c>
      <c r="X446">
        <v>2.8</v>
      </c>
      <c r="Y446">
        <v>8.6999999999999993</v>
      </c>
      <c r="Z446">
        <v>11</v>
      </c>
      <c r="AA446">
        <v>-0.7</v>
      </c>
      <c r="AB446">
        <v>14.9</v>
      </c>
      <c r="AC446">
        <v>9.1999999999999998E-2</v>
      </c>
    </row>
    <row r="447" spans="1:29" x14ac:dyDescent="0.35">
      <c r="A447" s="3" t="s">
        <v>403</v>
      </c>
      <c r="B447" s="1" t="s">
        <v>18</v>
      </c>
      <c r="C447" s="1" t="s">
        <v>35</v>
      </c>
      <c r="D447" s="1" t="s">
        <v>19</v>
      </c>
      <c r="E447" s="1" t="s">
        <v>20</v>
      </c>
      <c r="F447" s="4">
        <v>0.2</v>
      </c>
      <c r="G447">
        <v>30</v>
      </c>
      <c r="H447">
        <v>51</v>
      </c>
      <c r="I447">
        <v>20.8</v>
      </c>
      <c r="J447">
        <v>6.9</v>
      </c>
      <c r="K447">
        <v>0.47699999999999998</v>
      </c>
      <c r="L447">
        <v>2.1</v>
      </c>
      <c r="M447">
        <v>0.30499999999999999</v>
      </c>
      <c r="N447">
        <v>4.8</v>
      </c>
      <c r="O447">
        <v>0.55100000000000005</v>
      </c>
      <c r="P447">
        <v>0.52300000000000002</v>
      </c>
      <c r="Q447">
        <v>2.5</v>
      </c>
      <c r="R447">
        <v>0.66400000000000003</v>
      </c>
      <c r="S447">
        <v>7.8</v>
      </c>
      <c r="T447">
        <v>2.2999999999999998</v>
      </c>
      <c r="U447">
        <v>0.8</v>
      </c>
      <c r="V447">
        <v>0.7</v>
      </c>
      <c r="W447">
        <v>1.9</v>
      </c>
      <c r="X447">
        <v>2.5</v>
      </c>
      <c r="Y447">
        <v>8.9</v>
      </c>
      <c r="Z447">
        <v>10</v>
      </c>
      <c r="AA447">
        <v>-1.3</v>
      </c>
      <c r="AB447">
        <v>15.2</v>
      </c>
      <c r="AC447">
        <v>6.6000000000000003E-2</v>
      </c>
    </row>
    <row r="448" spans="1:29" x14ac:dyDescent="0.35">
      <c r="A448" s="3" t="s">
        <v>465</v>
      </c>
      <c r="B448" s="1" t="s">
        <v>2</v>
      </c>
      <c r="C448" s="1" t="s">
        <v>35</v>
      </c>
      <c r="D448" s="1" t="s">
        <v>23</v>
      </c>
      <c r="E448" s="1" t="s">
        <v>20</v>
      </c>
      <c r="F448" s="4">
        <v>0.6</v>
      </c>
      <c r="G448">
        <v>28</v>
      </c>
      <c r="H448">
        <v>58</v>
      </c>
      <c r="I448">
        <v>25.5</v>
      </c>
      <c r="J448">
        <v>11</v>
      </c>
      <c r="K448">
        <v>0.39</v>
      </c>
      <c r="L448">
        <v>6.2</v>
      </c>
      <c r="M448">
        <v>0.314</v>
      </c>
      <c r="N448">
        <v>4.8</v>
      </c>
      <c r="O448">
        <v>0.48899999999999999</v>
      </c>
      <c r="P448">
        <v>0.47899999999999998</v>
      </c>
      <c r="Q448">
        <v>2.5</v>
      </c>
      <c r="R448">
        <v>0.83399999999999996</v>
      </c>
      <c r="S448">
        <v>2.8</v>
      </c>
      <c r="T448">
        <v>5.0999999999999996</v>
      </c>
      <c r="U448">
        <v>1</v>
      </c>
      <c r="V448">
        <v>0.4</v>
      </c>
      <c r="W448">
        <v>1.9</v>
      </c>
      <c r="X448">
        <v>2</v>
      </c>
      <c r="Y448">
        <v>12.6</v>
      </c>
      <c r="Z448">
        <v>9</v>
      </c>
      <c r="AA448">
        <v>-0.4</v>
      </c>
      <c r="AB448">
        <v>14</v>
      </c>
      <c r="AC448">
        <v>6.3E-2</v>
      </c>
    </row>
    <row r="449" spans="1:29" x14ac:dyDescent="0.35">
      <c r="A449" s="3" t="s">
        <v>66</v>
      </c>
      <c r="B449" s="1" t="s">
        <v>2</v>
      </c>
      <c r="C449" s="1" t="s">
        <v>597</v>
      </c>
      <c r="D449" s="1" t="s">
        <v>23</v>
      </c>
      <c r="E449" s="1" t="s">
        <v>20</v>
      </c>
      <c r="F449" s="4">
        <v>0</v>
      </c>
      <c r="G449">
        <v>21</v>
      </c>
      <c r="H449">
        <v>78</v>
      </c>
      <c r="I449">
        <v>24.2</v>
      </c>
      <c r="J449">
        <v>7.9</v>
      </c>
      <c r="K449">
        <v>0.42299999999999999</v>
      </c>
      <c r="L449">
        <v>2.5</v>
      </c>
      <c r="M449">
        <v>0.318</v>
      </c>
      <c r="N449">
        <v>5.4</v>
      </c>
      <c r="O449">
        <v>0.47099999999999997</v>
      </c>
      <c r="P449">
        <v>0.47299999999999998</v>
      </c>
      <c r="Q449">
        <v>2.5</v>
      </c>
      <c r="R449">
        <v>0.76100000000000001</v>
      </c>
      <c r="S449">
        <v>2.9</v>
      </c>
      <c r="T449">
        <v>3.1</v>
      </c>
      <c r="U449">
        <v>1.1000000000000001</v>
      </c>
      <c r="V449">
        <v>0.6</v>
      </c>
      <c r="W449">
        <v>1.8</v>
      </c>
      <c r="X449">
        <v>2.1</v>
      </c>
      <c r="Y449">
        <v>9.4</v>
      </c>
      <c r="Z449">
        <v>1</v>
      </c>
      <c r="AA449">
        <v>-1.9</v>
      </c>
      <c r="AB449">
        <v>11.6</v>
      </c>
      <c r="AC449">
        <v>6.0999999999999999E-2</v>
      </c>
    </row>
    <row r="450" spans="1:29" x14ac:dyDescent="0.35">
      <c r="A450" s="3" t="s">
        <v>278</v>
      </c>
      <c r="B450" s="1" t="s">
        <v>26</v>
      </c>
      <c r="C450" s="1" t="s">
        <v>598</v>
      </c>
      <c r="D450" s="1" t="s">
        <v>23</v>
      </c>
      <c r="E450" s="1" t="s">
        <v>20</v>
      </c>
      <c r="F450" s="4">
        <v>0.2</v>
      </c>
      <c r="G450">
        <v>25</v>
      </c>
      <c r="H450">
        <v>77</v>
      </c>
      <c r="I450">
        <v>23.9</v>
      </c>
      <c r="J450">
        <v>10</v>
      </c>
      <c r="K450">
        <v>0.48199999999999998</v>
      </c>
      <c r="L450">
        <v>3.6</v>
      </c>
      <c r="M450">
        <v>0.318</v>
      </c>
      <c r="N450">
        <v>6.4</v>
      </c>
      <c r="O450">
        <v>0.57299999999999995</v>
      </c>
      <c r="P450">
        <v>0.53800000000000003</v>
      </c>
      <c r="Q450">
        <v>2.5</v>
      </c>
      <c r="R450">
        <v>0.77300000000000002</v>
      </c>
      <c r="S450">
        <v>4.8</v>
      </c>
      <c r="T450">
        <v>1.6</v>
      </c>
      <c r="U450">
        <v>0.6</v>
      </c>
      <c r="V450">
        <v>0.3</v>
      </c>
      <c r="W450">
        <v>1</v>
      </c>
      <c r="X450">
        <v>1.5</v>
      </c>
      <c r="Y450">
        <v>12.7</v>
      </c>
      <c r="Z450">
        <v>5</v>
      </c>
      <c r="AA450">
        <v>-1.6</v>
      </c>
      <c r="AB450">
        <v>15.6</v>
      </c>
      <c r="AC450">
        <v>8.3000000000000004E-2</v>
      </c>
    </row>
    <row r="451" spans="1:29" x14ac:dyDescent="0.35">
      <c r="A451" s="3" t="s">
        <v>472</v>
      </c>
      <c r="B451" s="1" t="s">
        <v>18</v>
      </c>
      <c r="C451" s="1" t="s">
        <v>597</v>
      </c>
      <c r="D451" s="1" t="s">
        <v>19</v>
      </c>
      <c r="E451" s="1" t="s">
        <v>20</v>
      </c>
      <c r="F451" s="4">
        <v>-0.6</v>
      </c>
      <c r="G451">
        <v>19</v>
      </c>
      <c r="H451">
        <v>67</v>
      </c>
      <c r="I451">
        <v>27.1</v>
      </c>
      <c r="J451">
        <v>12.4</v>
      </c>
      <c r="K451">
        <v>0.39400000000000002</v>
      </c>
      <c r="L451">
        <v>5.0999999999999996</v>
      </c>
      <c r="M451">
        <v>0.308</v>
      </c>
      <c r="N451">
        <v>7.3</v>
      </c>
      <c r="O451">
        <v>0.45400000000000001</v>
      </c>
      <c r="P451">
        <v>0.45700000000000002</v>
      </c>
      <c r="Q451">
        <v>2.5</v>
      </c>
      <c r="R451">
        <v>0.67900000000000005</v>
      </c>
      <c r="S451">
        <v>6.5</v>
      </c>
      <c r="T451">
        <v>2.4</v>
      </c>
      <c r="U451">
        <v>0.7</v>
      </c>
      <c r="V451">
        <v>1.5</v>
      </c>
      <c r="W451">
        <v>1.7</v>
      </c>
      <c r="X451">
        <v>2.2000000000000002</v>
      </c>
      <c r="Y451">
        <v>13</v>
      </c>
      <c r="Z451">
        <v>0</v>
      </c>
      <c r="AA451">
        <v>-3.3</v>
      </c>
      <c r="AB451">
        <v>12.9</v>
      </c>
      <c r="AC451">
        <v>-7.0000000000000001E-3</v>
      </c>
    </row>
    <row r="452" spans="1:29" x14ac:dyDescent="0.35">
      <c r="A452" s="3" t="s">
        <v>428</v>
      </c>
      <c r="B452" s="1" t="s">
        <v>26</v>
      </c>
      <c r="C452" s="1" t="s">
        <v>598</v>
      </c>
      <c r="D452" s="1" t="s">
        <v>23</v>
      </c>
      <c r="E452" s="1" t="s">
        <v>20</v>
      </c>
      <c r="F452" s="4">
        <v>1.2</v>
      </c>
      <c r="G452">
        <v>26</v>
      </c>
      <c r="H452">
        <v>77</v>
      </c>
      <c r="I452">
        <v>33.700000000000003</v>
      </c>
      <c r="J452">
        <v>13.6</v>
      </c>
      <c r="K452">
        <v>0.504</v>
      </c>
      <c r="L452">
        <v>6.4</v>
      </c>
      <c r="M452">
        <v>0.39500000000000002</v>
      </c>
      <c r="N452">
        <v>7.3</v>
      </c>
      <c r="O452">
        <v>0.59899999999999998</v>
      </c>
      <c r="P452">
        <v>0.59599999999999997</v>
      </c>
      <c r="Q452">
        <v>2.5</v>
      </c>
      <c r="R452">
        <v>0.76800000000000002</v>
      </c>
      <c r="S452">
        <v>7</v>
      </c>
      <c r="T452">
        <v>2.1</v>
      </c>
      <c r="U452">
        <v>0.6</v>
      </c>
      <c r="V452">
        <v>0.5</v>
      </c>
      <c r="W452">
        <v>1.4</v>
      </c>
      <c r="X452">
        <v>2</v>
      </c>
      <c r="Y452">
        <v>18.2</v>
      </c>
      <c r="Z452">
        <v>6</v>
      </c>
      <c r="AA452">
        <v>-0.1</v>
      </c>
      <c r="AB452">
        <v>16.2</v>
      </c>
      <c r="AC452">
        <v>0.11799999999999999</v>
      </c>
    </row>
    <row r="453" spans="1:29" x14ac:dyDescent="0.35">
      <c r="A453" s="3" t="s">
        <v>424</v>
      </c>
      <c r="B453" s="1" t="s">
        <v>18</v>
      </c>
      <c r="C453" s="1" t="s">
        <v>597</v>
      </c>
      <c r="D453" s="1" t="s">
        <v>19</v>
      </c>
      <c r="E453" s="1" t="s">
        <v>20</v>
      </c>
      <c r="F453" s="4">
        <v>1.7</v>
      </c>
      <c r="G453">
        <v>29</v>
      </c>
      <c r="H453">
        <v>57</v>
      </c>
      <c r="I453">
        <v>29.6</v>
      </c>
      <c r="J453">
        <v>10.199999999999999</v>
      </c>
      <c r="K453">
        <v>0.627</v>
      </c>
      <c r="L453">
        <v>0.1</v>
      </c>
      <c r="M453">
        <v>0.33300000000000002</v>
      </c>
      <c r="N453">
        <v>10.1</v>
      </c>
      <c r="O453">
        <v>0.628</v>
      </c>
      <c r="P453">
        <v>0.628</v>
      </c>
      <c r="Q453">
        <v>2.5</v>
      </c>
      <c r="R453">
        <v>0.67400000000000004</v>
      </c>
      <c r="S453">
        <v>9.6</v>
      </c>
      <c r="T453">
        <v>2.8</v>
      </c>
      <c r="U453">
        <v>1.2</v>
      </c>
      <c r="V453">
        <v>1.2</v>
      </c>
      <c r="W453">
        <v>1.9</v>
      </c>
      <c r="X453">
        <v>3.1</v>
      </c>
      <c r="Y453">
        <v>14.5</v>
      </c>
      <c r="Z453">
        <v>8</v>
      </c>
      <c r="AA453">
        <v>2</v>
      </c>
      <c r="AB453">
        <v>20</v>
      </c>
      <c r="AC453">
        <v>0.158</v>
      </c>
    </row>
    <row r="454" spans="1:29" x14ac:dyDescent="0.35">
      <c r="A454" s="3" t="s">
        <v>104</v>
      </c>
      <c r="B454" s="1" t="s">
        <v>18</v>
      </c>
      <c r="C454" s="1" t="s">
        <v>597</v>
      </c>
      <c r="D454" s="1" t="s">
        <v>23</v>
      </c>
      <c r="E454" s="1" t="s">
        <v>20</v>
      </c>
      <c r="F454" s="4">
        <v>0.3</v>
      </c>
      <c r="G454">
        <v>25</v>
      </c>
      <c r="H454">
        <v>68</v>
      </c>
      <c r="I454">
        <v>25.9</v>
      </c>
      <c r="J454">
        <v>7.2</v>
      </c>
      <c r="K454">
        <v>0.46</v>
      </c>
      <c r="L454">
        <v>2.2999999999999998</v>
      </c>
      <c r="M454">
        <v>0.23400000000000001</v>
      </c>
      <c r="N454">
        <v>4.9000000000000004</v>
      </c>
      <c r="O454">
        <v>0.56799999999999995</v>
      </c>
      <c r="P454">
        <v>0.498</v>
      </c>
      <c r="Q454">
        <v>2.6</v>
      </c>
      <c r="R454">
        <v>0.73699999999999999</v>
      </c>
      <c r="S454">
        <v>7.2</v>
      </c>
      <c r="T454">
        <v>2</v>
      </c>
      <c r="U454">
        <v>0.8</v>
      </c>
      <c r="V454">
        <v>0.6</v>
      </c>
      <c r="W454">
        <v>1.1000000000000001</v>
      </c>
      <c r="X454">
        <v>2.9</v>
      </c>
      <c r="Y454">
        <v>9.1</v>
      </c>
      <c r="Z454">
        <v>6</v>
      </c>
      <c r="AA454">
        <v>-1.2</v>
      </c>
      <c r="AB454">
        <v>13.7</v>
      </c>
      <c r="AC454">
        <v>0.125</v>
      </c>
    </row>
    <row r="455" spans="1:29" x14ac:dyDescent="0.35">
      <c r="A455" s="3" t="s">
        <v>177</v>
      </c>
      <c r="B455" s="1" t="s">
        <v>26</v>
      </c>
      <c r="C455" s="1" t="s">
        <v>597</v>
      </c>
      <c r="D455" s="1" t="s">
        <v>19</v>
      </c>
      <c r="E455" s="1" t="s">
        <v>28</v>
      </c>
      <c r="F455" s="4">
        <v>-0.2</v>
      </c>
      <c r="G455">
        <v>23</v>
      </c>
      <c r="H455">
        <v>28</v>
      </c>
      <c r="I455">
        <v>23.8</v>
      </c>
      <c r="J455">
        <v>7.9</v>
      </c>
      <c r="K455">
        <v>0.42699999999999999</v>
      </c>
      <c r="L455">
        <v>2.8</v>
      </c>
      <c r="M455">
        <v>0.312</v>
      </c>
      <c r="N455">
        <v>5.0999999999999996</v>
      </c>
      <c r="O455">
        <v>0.49</v>
      </c>
      <c r="P455">
        <v>0.48199999999999998</v>
      </c>
      <c r="Q455">
        <v>2.6</v>
      </c>
      <c r="R455">
        <v>0.753</v>
      </c>
      <c r="S455">
        <v>4.3</v>
      </c>
      <c r="T455">
        <v>2</v>
      </c>
      <c r="U455">
        <v>0.9</v>
      </c>
      <c r="V455">
        <v>0.4</v>
      </c>
      <c r="W455">
        <v>1.4</v>
      </c>
      <c r="X455">
        <v>2</v>
      </c>
      <c r="Y455">
        <v>9.5</v>
      </c>
      <c r="Z455">
        <v>1</v>
      </c>
      <c r="AA455">
        <v>-3.2</v>
      </c>
      <c r="AB455">
        <v>11.6</v>
      </c>
      <c r="AC455">
        <v>4.3999999999999997E-2</v>
      </c>
    </row>
    <row r="456" spans="1:29" x14ac:dyDescent="0.35">
      <c r="A456" s="3" t="s">
        <v>299</v>
      </c>
      <c r="B456" s="1" t="s">
        <v>18</v>
      </c>
      <c r="C456" s="1" t="s">
        <v>598</v>
      </c>
      <c r="D456" s="1" t="s">
        <v>23</v>
      </c>
      <c r="E456" s="1" t="s">
        <v>20</v>
      </c>
      <c r="F456" s="4">
        <v>1.7</v>
      </c>
      <c r="G456">
        <v>23</v>
      </c>
      <c r="H456">
        <v>58</v>
      </c>
      <c r="I456">
        <v>30</v>
      </c>
      <c r="J456">
        <v>7.2</v>
      </c>
      <c r="K456">
        <v>0.66300000000000003</v>
      </c>
      <c r="L456">
        <v>0.6</v>
      </c>
      <c r="M456">
        <v>0.17599999999999999</v>
      </c>
      <c r="N456">
        <v>6.6</v>
      </c>
      <c r="O456">
        <v>0.70599999999999996</v>
      </c>
      <c r="P456">
        <v>0.67100000000000004</v>
      </c>
      <c r="Q456">
        <v>2.6</v>
      </c>
      <c r="R456">
        <v>0.52</v>
      </c>
      <c r="S456">
        <v>12.2</v>
      </c>
      <c r="T456">
        <v>1.7</v>
      </c>
      <c r="U456">
        <v>0.6</v>
      </c>
      <c r="V456">
        <v>2.4</v>
      </c>
      <c r="W456">
        <v>1.5</v>
      </c>
      <c r="X456">
        <v>2.2000000000000002</v>
      </c>
      <c r="Y456">
        <v>11.1</v>
      </c>
      <c r="Z456">
        <v>2</v>
      </c>
      <c r="AA456">
        <v>1.8</v>
      </c>
      <c r="AB456">
        <v>20</v>
      </c>
      <c r="AC456">
        <v>0.14899999999999999</v>
      </c>
    </row>
    <row r="457" spans="1:29" x14ac:dyDescent="0.35">
      <c r="A457" s="3" t="s">
        <v>60</v>
      </c>
      <c r="B457" s="1" t="s">
        <v>2</v>
      </c>
      <c r="C457" s="1" t="s">
        <v>598</v>
      </c>
      <c r="D457" s="1" t="s">
        <v>23</v>
      </c>
      <c r="E457" s="1" t="s">
        <v>20</v>
      </c>
      <c r="F457" s="4">
        <v>0.4</v>
      </c>
      <c r="G457">
        <v>31</v>
      </c>
      <c r="H457">
        <v>53</v>
      </c>
      <c r="I457">
        <v>32.1</v>
      </c>
      <c r="J457">
        <v>13.1</v>
      </c>
      <c r="K457">
        <v>0.497</v>
      </c>
      <c r="L457">
        <v>5</v>
      </c>
      <c r="M457">
        <v>0.38600000000000001</v>
      </c>
      <c r="N457">
        <v>8.1</v>
      </c>
      <c r="O457">
        <v>0.56499999999999995</v>
      </c>
      <c r="P457">
        <v>0.57099999999999995</v>
      </c>
      <c r="Q457">
        <v>2.6</v>
      </c>
      <c r="R457">
        <v>0.80300000000000005</v>
      </c>
      <c r="S457">
        <v>3.3</v>
      </c>
      <c r="T457">
        <v>3.7</v>
      </c>
      <c r="U457">
        <v>1.1000000000000001</v>
      </c>
      <c r="V457">
        <v>0.5</v>
      </c>
      <c r="W457">
        <v>1.9</v>
      </c>
      <c r="X457">
        <v>2.6</v>
      </c>
      <c r="Y457">
        <v>17</v>
      </c>
      <c r="Z457">
        <v>12</v>
      </c>
      <c r="AA457">
        <v>-1.1000000000000001</v>
      </c>
      <c r="AB457">
        <v>15.2</v>
      </c>
      <c r="AC457">
        <v>6.8000000000000005E-2</v>
      </c>
    </row>
    <row r="458" spans="1:29" x14ac:dyDescent="0.35">
      <c r="A458" s="3" t="s">
        <v>226</v>
      </c>
      <c r="B458" s="1" t="s">
        <v>2</v>
      </c>
      <c r="C458" s="1" t="s">
        <v>597</v>
      </c>
      <c r="D458" s="1" t="s">
        <v>23</v>
      </c>
      <c r="E458" s="1" t="s">
        <v>20</v>
      </c>
      <c r="F458" s="4">
        <v>3.6</v>
      </c>
      <c r="G458">
        <v>29</v>
      </c>
      <c r="H458">
        <v>77</v>
      </c>
      <c r="I458">
        <v>37.6</v>
      </c>
      <c r="J458">
        <v>10</v>
      </c>
      <c r="K458">
        <v>0.52500000000000002</v>
      </c>
      <c r="L458">
        <v>3.3</v>
      </c>
      <c r="M458">
        <v>0.33300000000000002</v>
      </c>
      <c r="N458">
        <v>6.7</v>
      </c>
      <c r="O458">
        <v>0.61799999999999999</v>
      </c>
      <c r="P458">
        <v>0.57899999999999996</v>
      </c>
      <c r="Q458">
        <v>2.7</v>
      </c>
      <c r="R458">
        <v>0.77600000000000002</v>
      </c>
      <c r="S458">
        <v>9.6</v>
      </c>
      <c r="T458">
        <v>5.9</v>
      </c>
      <c r="U458">
        <v>1.5</v>
      </c>
      <c r="V458">
        <v>0.4</v>
      </c>
      <c r="W458">
        <v>2.1</v>
      </c>
      <c r="X458">
        <v>2.6</v>
      </c>
      <c r="Y458">
        <v>13.6</v>
      </c>
      <c r="Z458">
        <v>7</v>
      </c>
      <c r="AA458">
        <v>2.8</v>
      </c>
      <c r="AB458">
        <v>16.5</v>
      </c>
      <c r="AC458">
        <v>0.153</v>
      </c>
    </row>
    <row r="459" spans="1:29" x14ac:dyDescent="0.35">
      <c r="A459" s="3" t="s">
        <v>76</v>
      </c>
      <c r="B459" s="1" t="s">
        <v>2</v>
      </c>
      <c r="C459" s="1" t="s">
        <v>598</v>
      </c>
      <c r="D459" s="1" t="s">
        <v>23</v>
      </c>
      <c r="E459" s="1" t="s">
        <v>20</v>
      </c>
      <c r="F459" s="4">
        <v>1.6</v>
      </c>
      <c r="G459">
        <v>23</v>
      </c>
      <c r="H459">
        <v>79</v>
      </c>
      <c r="I459">
        <v>33.9</v>
      </c>
      <c r="J459">
        <v>10.4</v>
      </c>
      <c r="K459">
        <v>0.57999999999999996</v>
      </c>
      <c r="L459">
        <v>2.8</v>
      </c>
      <c r="M459">
        <v>0.39700000000000002</v>
      </c>
      <c r="N459">
        <v>7.6</v>
      </c>
      <c r="O459">
        <v>0.64800000000000002</v>
      </c>
      <c r="P459">
        <v>0.63400000000000001</v>
      </c>
      <c r="Q459">
        <v>2.7</v>
      </c>
      <c r="R459">
        <v>0.82699999999999996</v>
      </c>
      <c r="S459">
        <v>5.2</v>
      </c>
      <c r="T459">
        <v>2.6</v>
      </c>
      <c r="U459">
        <v>1.1000000000000001</v>
      </c>
      <c r="V459">
        <v>0.5</v>
      </c>
      <c r="W459">
        <v>1</v>
      </c>
      <c r="X459">
        <v>2.2000000000000002</v>
      </c>
      <c r="Y459">
        <v>15.4</v>
      </c>
      <c r="Z459">
        <v>2</v>
      </c>
      <c r="AA459">
        <v>0.3</v>
      </c>
      <c r="AB459">
        <v>16</v>
      </c>
      <c r="AC459">
        <v>0.14399999999999999</v>
      </c>
    </row>
    <row r="460" spans="1:29" x14ac:dyDescent="0.35">
      <c r="A460" s="3" t="s">
        <v>380</v>
      </c>
      <c r="B460" s="1" t="s">
        <v>2</v>
      </c>
      <c r="C460" s="1" t="s">
        <v>598</v>
      </c>
      <c r="D460" s="1" t="s">
        <v>23</v>
      </c>
      <c r="E460" s="1" t="s">
        <v>20</v>
      </c>
      <c r="F460" s="4">
        <v>0.6</v>
      </c>
      <c r="G460">
        <v>26</v>
      </c>
      <c r="H460">
        <v>65</v>
      </c>
      <c r="I460">
        <v>31.6</v>
      </c>
      <c r="J460">
        <v>14.4</v>
      </c>
      <c r="K460">
        <v>0.439</v>
      </c>
      <c r="L460">
        <v>6.6</v>
      </c>
      <c r="M460">
        <v>0.32500000000000001</v>
      </c>
      <c r="N460">
        <v>7.9</v>
      </c>
      <c r="O460">
        <v>0.53400000000000003</v>
      </c>
      <c r="P460">
        <v>0.51300000000000001</v>
      </c>
      <c r="Q460">
        <v>2.7</v>
      </c>
      <c r="R460">
        <v>0.86499999999999999</v>
      </c>
      <c r="S460">
        <v>3.8</v>
      </c>
      <c r="T460">
        <v>5.6</v>
      </c>
      <c r="U460">
        <v>0.9</v>
      </c>
      <c r="V460">
        <v>0.6</v>
      </c>
      <c r="W460">
        <v>2.4</v>
      </c>
      <c r="X460">
        <v>2.4</v>
      </c>
      <c r="Y460">
        <v>17.2</v>
      </c>
      <c r="Z460">
        <v>7</v>
      </c>
      <c r="AA460">
        <v>-0.8</v>
      </c>
      <c r="AB460">
        <v>15</v>
      </c>
      <c r="AC460">
        <v>6.5000000000000002E-2</v>
      </c>
    </row>
    <row r="461" spans="1:29" x14ac:dyDescent="0.35">
      <c r="A461" s="3" t="s">
        <v>261</v>
      </c>
      <c r="B461" s="1" t="s">
        <v>18</v>
      </c>
      <c r="C461" s="1" t="s">
        <v>597</v>
      </c>
      <c r="D461" s="1" t="s">
        <v>23</v>
      </c>
      <c r="E461" s="1" t="s">
        <v>20</v>
      </c>
      <c r="F461" s="4">
        <v>0.1</v>
      </c>
      <c r="G461">
        <v>23</v>
      </c>
      <c r="H461">
        <v>5</v>
      </c>
      <c r="I461">
        <v>16.8</v>
      </c>
      <c r="J461">
        <v>4.5999999999999996</v>
      </c>
      <c r="K461">
        <v>0.60899999999999999</v>
      </c>
      <c r="L461">
        <v>0</v>
      </c>
      <c r="M461" t="s">
        <v>599</v>
      </c>
      <c r="N461">
        <v>4.5999999999999996</v>
      </c>
      <c r="O461">
        <v>0.60899999999999999</v>
      </c>
      <c r="P461">
        <v>0.60899999999999999</v>
      </c>
      <c r="Q461">
        <v>2.8</v>
      </c>
      <c r="R461">
        <v>0.5</v>
      </c>
      <c r="S461">
        <v>5.6</v>
      </c>
      <c r="T461">
        <v>1</v>
      </c>
      <c r="U461">
        <v>0.6</v>
      </c>
      <c r="V461">
        <v>1.6</v>
      </c>
      <c r="W461">
        <v>1</v>
      </c>
      <c r="X461">
        <v>2.8</v>
      </c>
      <c r="Y461">
        <v>7</v>
      </c>
      <c r="Z461">
        <v>3</v>
      </c>
      <c r="AA461">
        <v>0.8</v>
      </c>
      <c r="AB461">
        <v>18.2</v>
      </c>
      <c r="AC461">
        <v>0.153</v>
      </c>
    </row>
    <row r="462" spans="1:29" x14ac:dyDescent="0.35">
      <c r="A462" s="3" t="s">
        <v>559</v>
      </c>
      <c r="B462" s="1" t="s">
        <v>26</v>
      </c>
      <c r="C462" s="1" t="s">
        <v>597</v>
      </c>
      <c r="D462" s="1" t="s">
        <v>23</v>
      </c>
      <c r="E462" s="1" t="s">
        <v>28</v>
      </c>
      <c r="F462" s="4">
        <v>-0.3</v>
      </c>
      <c r="G462">
        <v>24</v>
      </c>
      <c r="H462">
        <v>44</v>
      </c>
      <c r="I462">
        <v>20.8</v>
      </c>
      <c r="J462">
        <v>8</v>
      </c>
      <c r="K462">
        <v>0.46899999999999997</v>
      </c>
      <c r="L462">
        <v>2</v>
      </c>
      <c r="M462">
        <v>0.33</v>
      </c>
      <c r="N462">
        <v>6</v>
      </c>
      <c r="O462">
        <v>0.51500000000000001</v>
      </c>
      <c r="P462">
        <v>0.51</v>
      </c>
      <c r="Q462">
        <v>2.8</v>
      </c>
      <c r="R462">
        <v>0.76200000000000001</v>
      </c>
      <c r="S462">
        <v>3.6</v>
      </c>
      <c r="T462">
        <v>2.6</v>
      </c>
      <c r="U462">
        <v>0.6</v>
      </c>
      <c r="V462">
        <v>0.3</v>
      </c>
      <c r="W462">
        <v>1.9</v>
      </c>
      <c r="X462">
        <v>2.2000000000000002</v>
      </c>
      <c r="Y462">
        <v>10.199999999999999</v>
      </c>
      <c r="Z462">
        <v>3</v>
      </c>
      <c r="AA462">
        <v>-3.1</v>
      </c>
      <c r="AB462">
        <v>13</v>
      </c>
      <c r="AC462">
        <v>3.7999999999999999E-2</v>
      </c>
    </row>
    <row r="463" spans="1:29" x14ac:dyDescent="0.35">
      <c r="A463" s="3" t="s">
        <v>452</v>
      </c>
      <c r="B463" s="1" t="s">
        <v>18</v>
      </c>
      <c r="C463" s="1" t="s">
        <v>35</v>
      </c>
      <c r="D463" s="1" t="s">
        <v>19</v>
      </c>
      <c r="E463" s="1" t="s">
        <v>50</v>
      </c>
      <c r="F463" s="4">
        <v>-0.4</v>
      </c>
      <c r="G463">
        <v>27</v>
      </c>
      <c r="H463">
        <v>57</v>
      </c>
      <c r="I463">
        <v>22</v>
      </c>
      <c r="J463">
        <v>6.1</v>
      </c>
      <c r="K463">
        <v>0.59099999999999997</v>
      </c>
      <c r="L463">
        <v>0</v>
      </c>
      <c r="M463">
        <v>0</v>
      </c>
      <c r="N463">
        <v>6.1</v>
      </c>
      <c r="O463">
        <v>0.59399999999999997</v>
      </c>
      <c r="P463">
        <v>0.59099999999999997</v>
      </c>
      <c r="Q463">
        <v>2.8</v>
      </c>
      <c r="R463">
        <v>0.74399999999999999</v>
      </c>
      <c r="S463">
        <v>8.1999999999999993</v>
      </c>
      <c r="T463">
        <v>0.9</v>
      </c>
      <c r="U463">
        <v>0.2</v>
      </c>
      <c r="V463">
        <v>1</v>
      </c>
      <c r="W463">
        <v>1.4</v>
      </c>
      <c r="X463">
        <v>2.5</v>
      </c>
      <c r="Y463">
        <v>9.3000000000000007</v>
      </c>
      <c r="Z463">
        <v>4</v>
      </c>
      <c r="AA463">
        <v>-3.3</v>
      </c>
      <c r="AB463">
        <v>16.600000000000001</v>
      </c>
      <c r="AC463">
        <v>0.114</v>
      </c>
    </row>
    <row r="464" spans="1:29" x14ac:dyDescent="0.35">
      <c r="A464" s="3" t="s">
        <v>373</v>
      </c>
      <c r="B464" s="1" t="s">
        <v>18</v>
      </c>
      <c r="C464" s="1" t="s">
        <v>598</v>
      </c>
      <c r="D464" s="1" t="s">
        <v>19</v>
      </c>
      <c r="E464" s="1" t="s">
        <v>20</v>
      </c>
      <c r="F464" s="4">
        <v>-0.5</v>
      </c>
      <c r="G464">
        <v>20</v>
      </c>
      <c r="H464">
        <v>73</v>
      </c>
      <c r="I464">
        <v>26.8</v>
      </c>
      <c r="J464">
        <v>6.7</v>
      </c>
      <c r="K464">
        <v>0.54700000000000004</v>
      </c>
      <c r="L464">
        <v>0</v>
      </c>
      <c r="M464">
        <v>0</v>
      </c>
      <c r="N464">
        <v>6.7</v>
      </c>
      <c r="O464">
        <v>0.54800000000000004</v>
      </c>
      <c r="P464">
        <v>0.54700000000000004</v>
      </c>
      <c r="Q464">
        <v>2.8</v>
      </c>
      <c r="R464">
        <v>0.623</v>
      </c>
      <c r="S464">
        <v>8.1999999999999993</v>
      </c>
      <c r="T464">
        <v>1.4</v>
      </c>
      <c r="U464">
        <v>0.5</v>
      </c>
      <c r="V464">
        <v>1.3</v>
      </c>
      <c r="W464">
        <v>1.1000000000000001</v>
      </c>
      <c r="X464">
        <v>2</v>
      </c>
      <c r="Y464">
        <v>9.1</v>
      </c>
      <c r="Z464">
        <v>0</v>
      </c>
      <c r="AA464">
        <v>-3</v>
      </c>
      <c r="AB464">
        <v>15.4</v>
      </c>
      <c r="AC464">
        <v>8.8999999999999996E-2</v>
      </c>
    </row>
    <row r="465" spans="1:29" x14ac:dyDescent="0.35">
      <c r="A465" s="3" t="s">
        <v>488</v>
      </c>
      <c r="B465" s="1" t="s">
        <v>2</v>
      </c>
      <c r="C465" s="1" t="s">
        <v>598</v>
      </c>
      <c r="D465" s="1" t="s">
        <v>23</v>
      </c>
      <c r="E465" s="1" t="s">
        <v>20</v>
      </c>
      <c r="F465" s="4">
        <v>1.1000000000000001</v>
      </c>
      <c r="G465">
        <v>25</v>
      </c>
      <c r="H465">
        <v>70</v>
      </c>
      <c r="I465">
        <v>32.700000000000003</v>
      </c>
      <c r="J465">
        <v>16.100000000000001</v>
      </c>
      <c r="K465">
        <v>0.42599999999999999</v>
      </c>
      <c r="L465">
        <v>8.5</v>
      </c>
      <c r="M465">
        <v>0.36299999999999999</v>
      </c>
      <c r="N465">
        <v>7.6</v>
      </c>
      <c r="O465">
        <v>0.496</v>
      </c>
      <c r="P465">
        <v>0.52100000000000002</v>
      </c>
      <c r="Q465">
        <v>2.8</v>
      </c>
      <c r="R465">
        <v>0.90200000000000002</v>
      </c>
      <c r="S465">
        <v>2.7</v>
      </c>
      <c r="T465">
        <v>4.8</v>
      </c>
      <c r="U465">
        <v>0.9</v>
      </c>
      <c r="V465">
        <v>0.1</v>
      </c>
      <c r="W465">
        <v>2</v>
      </c>
      <c r="X465">
        <v>1.7</v>
      </c>
      <c r="Y465">
        <v>19.3</v>
      </c>
      <c r="Z465">
        <v>6</v>
      </c>
      <c r="AA465">
        <v>-0.1</v>
      </c>
      <c r="AB465">
        <v>14.9</v>
      </c>
      <c r="AC465">
        <v>8.6999999999999994E-2</v>
      </c>
    </row>
    <row r="466" spans="1:29" x14ac:dyDescent="0.35">
      <c r="A466" s="3" t="s">
        <v>214</v>
      </c>
      <c r="B466" s="1" t="s">
        <v>2</v>
      </c>
      <c r="C466" s="1" t="s">
        <v>35</v>
      </c>
      <c r="D466" s="1" t="s">
        <v>23</v>
      </c>
      <c r="E466" s="1" t="s">
        <v>20</v>
      </c>
      <c r="F466" s="4">
        <v>1.2</v>
      </c>
      <c r="G466">
        <v>24</v>
      </c>
      <c r="H466">
        <v>75</v>
      </c>
      <c r="I466">
        <v>26.8</v>
      </c>
      <c r="J466">
        <v>11</v>
      </c>
      <c r="K466">
        <v>0.46700000000000003</v>
      </c>
      <c r="L466">
        <v>5.6</v>
      </c>
      <c r="M466">
        <v>0.38500000000000001</v>
      </c>
      <c r="N466">
        <v>5.4</v>
      </c>
      <c r="O466">
        <v>0.55200000000000005</v>
      </c>
      <c r="P466">
        <v>0.56499999999999995</v>
      </c>
      <c r="Q466">
        <v>2.9</v>
      </c>
      <c r="R466">
        <v>0.75700000000000001</v>
      </c>
      <c r="S466">
        <v>4.3</v>
      </c>
      <c r="T466">
        <v>3</v>
      </c>
      <c r="U466">
        <v>1</v>
      </c>
      <c r="V466">
        <v>0.3</v>
      </c>
      <c r="W466">
        <v>1.9</v>
      </c>
      <c r="X466">
        <v>1.8</v>
      </c>
      <c r="Y466">
        <v>14.6</v>
      </c>
      <c r="Z466">
        <v>3</v>
      </c>
      <c r="AA466">
        <v>0.4</v>
      </c>
      <c r="AB466">
        <v>15.9</v>
      </c>
      <c r="AC466">
        <v>8.1000000000000003E-2</v>
      </c>
    </row>
    <row r="467" spans="1:29" x14ac:dyDescent="0.35">
      <c r="A467" s="3" t="s">
        <v>149</v>
      </c>
      <c r="B467" s="1" t="s">
        <v>2</v>
      </c>
      <c r="C467" s="1" t="s">
        <v>597</v>
      </c>
      <c r="D467" s="1" t="s">
        <v>23</v>
      </c>
      <c r="E467" s="1" t="s">
        <v>20</v>
      </c>
      <c r="F467" s="4">
        <v>-0.5</v>
      </c>
      <c r="G467">
        <v>21</v>
      </c>
      <c r="H467">
        <v>54</v>
      </c>
      <c r="I467">
        <v>29.4</v>
      </c>
      <c r="J467">
        <v>12</v>
      </c>
      <c r="K467">
        <v>0.41</v>
      </c>
      <c r="L467">
        <v>6</v>
      </c>
      <c r="M467">
        <v>0.35</v>
      </c>
      <c r="N467">
        <v>5.9</v>
      </c>
      <c r="O467">
        <v>0.47</v>
      </c>
      <c r="P467">
        <v>0.498</v>
      </c>
      <c r="Q467">
        <v>2.9</v>
      </c>
      <c r="R467">
        <v>0.85799999999999998</v>
      </c>
      <c r="S467">
        <v>3.6</v>
      </c>
      <c r="T467">
        <v>1.8</v>
      </c>
      <c r="U467">
        <v>0.9</v>
      </c>
      <c r="V467">
        <v>0.2</v>
      </c>
      <c r="W467">
        <v>1.5</v>
      </c>
      <c r="X467">
        <v>2.2000000000000002</v>
      </c>
      <c r="Y467">
        <v>14.4</v>
      </c>
      <c r="Z467">
        <v>1</v>
      </c>
      <c r="AA467">
        <v>-3.2</v>
      </c>
      <c r="AB467">
        <v>10.9</v>
      </c>
      <c r="AC467">
        <v>4.2000000000000003E-2</v>
      </c>
    </row>
    <row r="468" spans="1:29" x14ac:dyDescent="0.35">
      <c r="A468" s="3" t="s">
        <v>475</v>
      </c>
      <c r="B468" s="1" t="s">
        <v>2</v>
      </c>
      <c r="C468" s="1" t="s">
        <v>35</v>
      </c>
      <c r="D468" s="1" t="s">
        <v>19</v>
      </c>
      <c r="E468" s="1" t="s">
        <v>20</v>
      </c>
      <c r="F468" s="4">
        <v>-0.1</v>
      </c>
      <c r="G468">
        <v>31</v>
      </c>
      <c r="H468">
        <v>75</v>
      </c>
      <c r="I468">
        <v>28.1</v>
      </c>
      <c r="J468">
        <v>11</v>
      </c>
      <c r="K468">
        <v>0.40600000000000003</v>
      </c>
      <c r="L468">
        <v>4.9000000000000004</v>
      </c>
      <c r="M468">
        <v>0.34200000000000003</v>
      </c>
      <c r="N468">
        <v>6.1</v>
      </c>
      <c r="O468">
        <v>0.45800000000000002</v>
      </c>
      <c r="P468">
        <v>0.48299999999999998</v>
      </c>
      <c r="Q468">
        <v>2.9</v>
      </c>
      <c r="R468">
        <v>0.83799999999999997</v>
      </c>
      <c r="S468">
        <v>2.6</v>
      </c>
      <c r="T468">
        <v>5.4</v>
      </c>
      <c r="U468">
        <v>0.9</v>
      </c>
      <c r="V468">
        <v>0.2</v>
      </c>
      <c r="W468">
        <v>1.9</v>
      </c>
      <c r="X468">
        <v>2.4</v>
      </c>
      <c r="Y468">
        <v>13.1</v>
      </c>
      <c r="Z468">
        <v>11</v>
      </c>
      <c r="AA468">
        <v>-2.2000000000000002</v>
      </c>
      <c r="AB468">
        <v>12.7</v>
      </c>
      <c r="AC468">
        <v>7.2999999999999995E-2</v>
      </c>
    </row>
    <row r="469" spans="1:29" x14ac:dyDescent="0.35">
      <c r="A469" s="3" t="s">
        <v>408</v>
      </c>
      <c r="B469" s="1" t="s">
        <v>18</v>
      </c>
      <c r="C469" s="1" t="s">
        <v>597</v>
      </c>
      <c r="D469" s="1" t="s">
        <v>23</v>
      </c>
      <c r="E469" s="1" t="s">
        <v>20</v>
      </c>
      <c r="F469" s="4">
        <v>1.7</v>
      </c>
      <c r="G469">
        <v>24</v>
      </c>
      <c r="H469">
        <v>74</v>
      </c>
      <c r="I469">
        <v>27.9</v>
      </c>
      <c r="J469">
        <v>9.1999999999999993</v>
      </c>
      <c r="K469">
        <v>0.56699999999999995</v>
      </c>
      <c r="L469">
        <v>2</v>
      </c>
      <c r="M469">
        <v>0.32400000000000001</v>
      </c>
      <c r="N469">
        <v>7.2</v>
      </c>
      <c r="O469">
        <v>0.63400000000000001</v>
      </c>
      <c r="P469">
        <v>0.60199999999999998</v>
      </c>
      <c r="Q469">
        <v>2.9</v>
      </c>
      <c r="R469">
        <v>0.75900000000000001</v>
      </c>
      <c r="S469">
        <v>8.9</v>
      </c>
      <c r="T469">
        <v>2.2999999999999998</v>
      </c>
      <c r="U469">
        <v>0.9</v>
      </c>
      <c r="V469">
        <v>0.9</v>
      </c>
      <c r="W469">
        <v>1.2</v>
      </c>
      <c r="X469">
        <v>2.6</v>
      </c>
      <c r="Y469">
        <v>13.4</v>
      </c>
      <c r="Z469">
        <v>4</v>
      </c>
      <c r="AA469">
        <v>1.3</v>
      </c>
      <c r="AB469">
        <v>19</v>
      </c>
      <c r="AC469">
        <v>0.16800000000000001</v>
      </c>
    </row>
    <row r="470" spans="1:29" x14ac:dyDescent="0.35">
      <c r="A470" s="3" t="s">
        <v>364</v>
      </c>
      <c r="B470" s="1" t="s">
        <v>26</v>
      </c>
      <c r="C470" s="1" t="s">
        <v>597</v>
      </c>
      <c r="D470" s="1" t="s">
        <v>23</v>
      </c>
      <c r="E470" s="1" t="s">
        <v>20</v>
      </c>
      <c r="F470" s="4">
        <v>0.4</v>
      </c>
      <c r="G470">
        <v>22</v>
      </c>
      <c r="H470">
        <v>27</v>
      </c>
      <c r="I470">
        <v>34.200000000000003</v>
      </c>
      <c r="J470">
        <v>18.2</v>
      </c>
      <c r="K470">
        <v>0.40300000000000002</v>
      </c>
      <c r="L470">
        <v>10.9</v>
      </c>
      <c r="M470">
        <v>0.35499999999999998</v>
      </c>
      <c r="N470">
        <v>7.3</v>
      </c>
      <c r="O470">
        <v>0.47499999999999998</v>
      </c>
      <c r="P470">
        <v>0.50900000000000001</v>
      </c>
      <c r="Q470">
        <v>2.9</v>
      </c>
      <c r="R470">
        <v>0.86099999999999999</v>
      </c>
      <c r="S470">
        <v>4.9000000000000004</v>
      </c>
      <c r="T470">
        <v>3.6</v>
      </c>
      <c r="U470">
        <v>1.1000000000000001</v>
      </c>
      <c r="V470">
        <v>0.7</v>
      </c>
      <c r="W470">
        <v>2.8</v>
      </c>
      <c r="X470">
        <v>2.7</v>
      </c>
      <c r="Y470">
        <v>21</v>
      </c>
      <c r="Z470">
        <v>1</v>
      </c>
      <c r="AA470">
        <v>0</v>
      </c>
      <c r="AB470">
        <v>14</v>
      </c>
      <c r="AC470">
        <v>2.3E-2</v>
      </c>
    </row>
    <row r="471" spans="1:29" x14ac:dyDescent="0.35">
      <c r="A471" s="3" t="s">
        <v>48</v>
      </c>
      <c r="B471" s="1" t="s">
        <v>2</v>
      </c>
      <c r="C471" s="1" t="s">
        <v>598</v>
      </c>
      <c r="D471" s="1" t="s">
        <v>23</v>
      </c>
      <c r="E471" s="1" t="s">
        <v>20</v>
      </c>
      <c r="F471" s="4">
        <v>2.9</v>
      </c>
      <c r="G471">
        <v>26</v>
      </c>
      <c r="H471">
        <v>69</v>
      </c>
      <c r="I471">
        <v>32</v>
      </c>
      <c r="J471">
        <v>14.8</v>
      </c>
      <c r="K471">
        <v>0.48399999999999999</v>
      </c>
      <c r="L471">
        <v>6.1</v>
      </c>
      <c r="M471">
        <v>0.39200000000000002</v>
      </c>
      <c r="N471">
        <v>8.6999999999999993</v>
      </c>
      <c r="O471">
        <v>0.54800000000000004</v>
      </c>
      <c r="P471">
        <v>0.56499999999999995</v>
      </c>
      <c r="Q471">
        <v>2.9</v>
      </c>
      <c r="R471">
        <v>0.89400000000000002</v>
      </c>
      <c r="S471">
        <v>6.1</v>
      </c>
      <c r="T471">
        <v>5.3</v>
      </c>
      <c r="U471">
        <v>1.2</v>
      </c>
      <c r="V471">
        <v>0.4</v>
      </c>
      <c r="W471">
        <v>2.4</v>
      </c>
      <c r="X471">
        <v>2.4</v>
      </c>
      <c r="Y471">
        <v>19.2</v>
      </c>
      <c r="Z471">
        <v>4</v>
      </c>
      <c r="AA471">
        <v>3.2</v>
      </c>
      <c r="AB471">
        <v>17.899999999999999</v>
      </c>
      <c r="AC471">
        <v>0.14199999999999999</v>
      </c>
    </row>
    <row r="472" spans="1:29" x14ac:dyDescent="0.35">
      <c r="A472" s="3" t="s">
        <v>217</v>
      </c>
      <c r="B472" s="1" t="s">
        <v>2</v>
      </c>
      <c r="C472" s="1" t="s">
        <v>597</v>
      </c>
      <c r="D472" s="1" t="s">
        <v>23</v>
      </c>
      <c r="E472" s="1" t="s">
        <v>20</v>
      </c>
      <c r="F472" s="4">
        <v>4.9000000000000004</v>
      </c>
      <c r="G472">
        <v>24</v>
      </c>
      <c r="H472">
        <v>73</v>
      </c>
      <c r="I472">
        <v>33.6</v>
      </c>
      <c r="J472">
        <v>13.8</v>
      </c>
      <c r="K472">
        <v>0.47299999999999998</v>
      </c>
      <c r="L472">
        <v>7.7</v>
      </c>
      <c r="M472">
        <v>0.38800000000000001</v>
      </c>
      <c r="N472">
        <v>6.1</v>
      </c>
      <c r="O472">
        <v>0.58099999999999996</v>
      </c>
      <c r="P472">
        <v>0.58199999999999996</v>
      </c>
      <c r="Q472">
        <v>3</v>
      </c>
      <c r="R472">
        <v>0.85099999999999998</v>
      </c>
      <c r="S472">
        <v>3.5</v>
      </c>
      <c r="T472">
        <v>9.1999999999999993</v>
      </c>
      <c r="U472">
        <v>1.4</v>
      </c>
      <c r="V472">
        <v>0.7</v>
      </c>
      <c r="W472">
        <v>1.6</v>
      </c>
      <c r="X472">
        <v>1.3</v>
      </c>
      <c r="Y472">
        <v>18.600000000000001</v>
      </c>
      <c r="Z472">
        <v>4</v>
      </c>
      <c r="AA472">
        <v>5.8</v>
      </c>
      <c r="AB472">
        <v>21.8</v>
      </c>
      <c r="AC472">
        <v>0.20399999999999999</v>
      </c>
    </row>
    <row r="473" spans="1:29" x14ac:dyDescent="0.35">
      <c r="A473" s="3" t="s">
        <v>497</v>
      </c>
      <c r="B473" s="1" t="s">
        <v>26</v>
      </c>
      <c r="C473" s="1" t="s">
        <v>597</v>
      </c>
      <c r="D473" s="1" t="s">
        <v>23</v>
      </c>
      <c r="E473" s="1" t="s">
        <v>28</v>
      </c>
      <c r="F473" s="4">
        <v>0</v>
      </c>
      <c r="G473">
        <v>24</v>
      </c>
      <c r="H473">
        <v>1</v>
      </c>
      <c r="I473">
        <v>22</v>
      </c>
      <c r="J473">
        <v>9</v>
      </c>
      <c r="K473">
        <v>0.66700000000000004</v>
      </c>
      <c r="L473">
        <v>0</v>
      </c>
      <c r="M473" t="s">
        <v>599</v>
      </c>
      <c r="N473">
        <v>9</v>
      </c>
      <c r="O473">
        <v>0.66700000000000004</v>
      </c>
      <c r="P473">
        <v>0.66700000000000004</v>
      </c>
      <c r="Q473">
        <v>3</v>
      </c>
      <c r="R473">
        <v>0.66700000000000004</v>
      </c>
      <c r="S473">
        <v>8</v>
      </c>
      <c r="T473">
        <v>0</v>
      </c>
      <c r="U473">
        <v>0</v>
      </c>
      <c r="V473">
        <v>0</v>
      </c>
      <c r="W473">
        <v>2</v>
      </c>
      <c r="X473">
        <v>3</v>
      </c>
      <c r="Y473">
        <v>14</v>
      </c>
      <c r="Z473">
        <v>0</v>
      </c>
      <c r="AA473">
        <v>-8.9</v>
      </c>
      <c r="AB473">
        <v>19.5</v>
      </c>
      <c r="AC473">
        <v>0.128</v>
      </c>
    </row>
    <row r="474" spans="1:29" x14ac:dyDescent="0.35">
      <c r="A474" s="3" t="s">
        <v>594</v>
      </c>
      <c r="B474" s="1" t="s">
        <v>18</v>
      </c>
      <c r="C474" s="1" t="s">
        <v>598</v>
      </c>
      <c r="D474" s="1" t="s">
        <v>19</v>
      </c>
      <c r="E474" s="1" t="s">
        <v>50</v>
      </c>
      <c r="F474" s="4">
        <v>3.4</v>
      </c>
      <c r="G474">
        <v>27</v>
      </c>
      <c r="H474">
        <v>80</v>
      </c>
      <c r="I474">
        <v>32.799999999999997</v>
      </c>
      <c r="J474">
        <v>11.8</v>
      </c>
      <c r="K474">
        <v>0.628</v>
      </c>
      <c r="L474">
        <v>0</v>
      </c>
      <c r="M474" t="s">
        <v>599</v>
      </c>
      <c r="N474">
        <v>11.8</v>
      </c>
      <c r="O474">
        <v>0.628</v>
      </c>
      <c r="P474">
        <v>0.628</v>
      </c>
      <c r="Q474">
        <v>3</v>
      </c>
      <c r="R474">
        <v>0.66100000000000003</v>
      </c>
      <c r="S474">
        <v>12.6</v>
      </c>
      <c r="T474">
        <v>2.7</v>
      </c>
      <c r="U474">
        <v>0.7</v>
      </c>
      <c r="V474">
        <v>1.1000000000000001</v>
      </c>
      <c r="W474">
        <v>1.6</v>
      </c>
      <c r="X474">
        <v>2.1</v>
      </c>
      <c r="Y474">
        <v>16.8</v>
      </c>
      <c r="Z474">
        <v>8</v>
      </c>
      <c r="AA474">
        <v>3.1</v>
      </c>
      <c r="AB474">
        <v>22.3</v>
      </c>
      <c r="AC474">
        <v>0.215</v>
      </c>
    </row>
    <row r="475" spans="1:29" x14ac:dyDescent="0.35">
      <c r="A475" s="3" t="s">
        <v>152</v>
      </c>
      <c r="B475" s="1" t="s">
        <v>2</v>
      </c>
      <c r="C475" s="1" t="s">
        <v>598</v>
      </c>
      <c r="D475" s="1" t="s">
        <v>23</v>
      </c>
      <c r="E475" s="1" t="s">
        <v>50</v>
      </c>
      <c r="F475" s="4">
        <v>0.2</v>
      </c>
      <c r="G475">
        <v>31</v>
      </c>
      <c r="H475">
        <v>79</v>
      </c>
      <c r="I475">
        <v>27</v>
      </c>
      <c r="J475">
        <v>8.6</v>
      </c>
      <c r="K475">
        <v>0.41599999999999998</v>
      </c>
      <c r="L475">
        <v>4.0999999999999996</v>
      </c>
      <c r="M475">
        <v>0.33400000000000002</v>
      </c>
      <c r="N475">
        <v>4.5</v>
      </c>
      <c r="O475">
        <v>0.49199999999999999</v>
      </c>
      <c r="P475">
        <v>0.496</v>
      </c>
      <c r="Q475">
        <v>3.1</v>
      </c>
      <c r="R475">
        <v>0.80200000000000005</v>
      </c>
      <c r="S475">
        <v>2.6</v>
      </c>
      <c r="T475">
        <v>4.4000000000000004</v>
      </c>
      <c r="U475">
        <v>0.9</v>
      </c>
      <c r="V475">
        <v>0.2</v>
      </c>
      <c r="W475">
        <v>1.3</v>
      </c>
      <c r="X475">
        <v>1.5</v>
      </c>
      <c r="Y475">
        <v>11</v>
      </c>
      <c r="Z475">
        <v>10</v>
      </c>
      <c r="AA475">
        <v>-1.6</v>
      </c>
      <c r="AB475">
        <v>13</v>
      </c>
      <c r="AC475">
        <v>8.2000000000000003E-2</v>
      </c>
    </row>
    <row r="476" spans="1:29" x14ac:dyDescent="0.35">
      <c r="A476" s="3" t="s">
        <v>232</v>
      </c>
      <c r="B476" s="1" t="s">
        <v>2</v>
      </c>
      <c r="C476" s="1" t="s">
        <v>598</v>
      </c>
      <c r="D476" s="1" t="s">
        <v>23</v>
      </c>
      <c r="E476" s="1" t="s">
        <v>20</v>
      </c>
      <c r="F476" s="4">
        <v>-0.1</v>
      </c>
      <c r="G476">
        <v>20</v>
      </c>
      <c r="H476">
        <v>66</v>
      </c>
      <c r="I476">
        <v>26.7</v>
      </c>
      <c r="J476">
        <v>10.4</v>
      </c>
      <c r="K476">
        <v>0.41899999999999998</v>
      </c>
      <c r="L476">
        <v>4.5</v>
      </c>
      <c r="M476">
        <v>0.35399999999999998</v>
      </c>
      <c r="N476">
        <v>5.9</v>
      </c>
      <c r="O476">
        <v>0.46899999999999997</v>
      </c>
      <c r="P476">
        <v>0.496</v>
      </c>
      <c r="Q476">
        <v>3.1</v>
      </c>
      <c r="R476">
        <v>0.76700000000000002</v>
      </c>
      <c r="S476">
        <v>3</v>
      </c>
      <c r="T476">
        <v>5.0999999999999996</v>
      </c>
      <c r="U476">
        <v>1</v>
      </c>
      <c r="V476">
        <v>0.2</v>
      </c>
      <c r="W476">
        <v>2.7</v>
      </c>
      <c r="X476">
        <v>2.7</v>
      </c>
      <c r="Y476">
        <v>12.7</v>
      </c>
      <c r="Z476">
        <v>1</v>
      </c>
      <c r="AA476">
        <v>-2.2000000000000002</v>
      </c>
      <c r="AB476">
        <v>12.5</v>
      </c>
      <c r="AC476">
        <v>4.9000000000000002E-2</v>
      </c>
    </row>
    <row r="477" spans="1:29" x14ac:dyDescent="0.35">
      <c r="A477" s="3" t="s">
        <v>129</v>
      </c>
      <c r="B477" s="1" t="s">
        <v>26</v>
      </c>
      <c r="C477" s="1" t="s">
        <v>597</v>
      </c>
      <c r="D477" s="1" t="s">
        <v>19</v>
      </c>
      <c r="E477" s="1" t="s">
        <v>20</v>
      </c>
      <c r="F477" s="4">
        <v>-0.8</v>
      </c>
      <c r="G477">
        <v>20</v>
      </c>
      <c r="H477">
        <v>59</v>
      </c>
      <c r="I477">
        <v>33</v>
      </c>
      <c r="J477">
        <v>10.6</v>
      </c>
      <c r="K477">
        <v>0.42099999999999999</v>
      </c>
      <c r="L477">
        <v>3.8</v>
      </c>
      <c r="M477">
        <v>0.28100000000000003</v>
      </c>
      <c r="N477">
        <v>6.8</v>
      </c>
      <c r="O477">
        <v>0.5</v>
      </c>
      <c r="P477">
        <v>0.47199999999999998</v>
      </c>
      <c r="Q477">
        <v>3.1</v>
      </c>
      <c r="R477">
        <v>0.746</v>
      </c>
      <c r="S477">
        <v>5</v>
      </c>
      <c r="T477">
        <v>3.4</v>
      </c>
      <c r="U477">
        <v>1.3</v>
      </c>
      <c r="V477">
        <v>0.7</v>
      </c>
      <c r="W477">
        <v>2.1</v>
      </c>
      <c r="X477">
        <v>2.4</v>
      </c>
      <c r="Y477">
        <v>12.3</v>
      </c>
      <c r="Z477">
        <v>1</v>
      </c>
      <c r="AA477">
        <v>-3.7</v>
      </c>
      <c r="AB477">
        <v>10.8</v>
      </c>
      <c r="AC477">
        <v>8.0000000000000002E-3</v>
      </c>
    </row>
    <row r="478" spans="1:29" x14ac:dyDescent="0.35">
      <c r="A478" s="3" t="s">
        <v>508</v>
      </c>
      <c r="B478" s="1" t="s">
        <v>2</v>
      </c>
      <c r="C478" s="1" t="s">
        <v>597</v>
      </c>
      <c r="D478" s="1" t="s">
        <v>23</v>
      </c>
      <c r="E478" s="1" t="s">
        <v>20</v>
      </c>
      <c r="F478" s="4">
        <v>0.6</v>
      </c>
      <c r="G478">
        <v>23</v>
      </c>
      <c r="H478">
        <v>35</v>
      </c>
      <c r="I478">
        <v>28.6</v>
      </c>
      <c r="J478">
        <v>13.7</v>
      </c>
      <c r="K478">
        <v>0.41</v>
      </c>
      <c r="L478">
        <v>6.9</v>
      </c>
      <c r="M478">
        <v>0.314</v>
      </c>
      <c r="N478">
        <v>6.8</v>
      </c>
      <c r="O478">
        <v>0.50600000000000001</v>
      </c>
      <c r="P478">
        <v>0.48899999999999999</v>
      </c>
      <c r="Q478">
        <v>3.1</v>
      </c>
      <c r="R478">
        <v>0.88200000000000001</v>
      </c>
      <c r="S478">
        <v>4</v>
      </c>
      <c r="T478">
        <v>3.7</v>
      </c>
      <c r="U478">
        <v>1.5</v>
      </c>
      <c r="V478">
        <v>0.9</v>
      </c>
      <c r="W478">
        <v>2.9</v>
      </c>
      <c r="X478">
        <v>2.8</v>
      </c>
      <c r="Y478">
        <v>16.2</v>
      </c>
      <c r="Z478">
        <v>3</v>
      </c>
      <c r="AA478">
        <v>0.4</v>
      </c>
      <c r="AB478">
        <v>14.4</v>
      </c>
      <c r="AC478">
        <v>5.1999999999999998E-2</v>
      </c>
    </row>
    <row r="479" spans="1:29" x14ac:dyDescent="0.35">
      <c r="A479" s="3" t="s">
        <v>166</v>
      </c>
      <c r="B479" s="1" t="s">
        <v>18</v>
      </c>
      <c r="C479" s="1" t="s">
        <v>597</v>
      </c>
      <c r="D479" s="1" t="s">
        <v>23</v>
      </c>
      <c r="E479" s="1" t="s">
        <v>20</v>
      </c>
      <c r="F479" s="4">
        <v>2.7</v>
      </c>
      <c r="G479">
        <v>21</v>
      </c>
      <c r="H479">
        <v>78</v>
      </c>
      <c r="I479">
        <v>26.1</v>
      </c>
      <c r="J479">
        <v>7</v>
      </c>
      <c r="K479">
        <v>0.69199999999999995</v>
      </c>
      <c r="L479">
        <v>0</v>
      </c>
      <c r="M479" t="s">
        <v>599</v>
      </c>
      <c r="N479">
        <v>7</v>
      </c>
      <c r="O479">
        <v>0.69199999999999995</v>
      </c>
      <c r="P479">
        <v>0.69199999999999995</v>
      </c>
      <c r="Q479">
        <v>3.1</v>
      </c>
      <c r="R479">
        <v>0.66900000000000004</v>
      </c>
      <c r="S479">
        <v>10.3</v>
      </c>
      <c r="T479">
        <v>2.7</v>
      </c>
      <c r="U479">
        <v>0.7</v>
      </c>
      <c r="V479">
        <v>1.1000000000000001</v>
      </c>
      <c r="W479">
        <v>1.7</v>
      </c>
      <c r="X479">
        <v>3.2</v>
      </c>
      <c r="Y479">
        <v>11.8</v>
      </c>
      <c r="Z479">
        <v>2</v>
      </c>
      <c r="AA479">
        <v>3.1</v>
      </c>
      <c r="AB479">
        <v>21.4</v>
      </c>
      <c r="AC479">
        <v>0.218</v>
      </c>
    </row>
    <row r="480" spans="1:29" x14ac:dyDescent="0.35">
      <c r="A480" s="3" t="s">
        <v>565</v>
      </c>
      <c r="B480" s="1" t="s">
        <v>2</v>
      </c>
      <c r="C480" s="1" t="s">
        <v>598</v>
      </c>
      <c r="D480" s="1" t="s">
        <v>23</v>
      </c>
      <c r="E480" s="1" t="s">
        <v>20</v>
      </c>
      <c r="F480" s="4">
        <v>0.5</v>
      </c>
      <c r="G480">
        <v>36</v>
      </c>
      <c r="H480">
        <v>75</v>
      </c>
      <c r="I480">
        <v>27.9</v>
      </c>
      <c r="J480">
        <v>11.1</v>
      </c>
      <c r="K480">
        <v>0.44900000000000001</v>
      </c>
      <c r="L480">
        <v>3.9</v>
      </c>
      <c r="M480">
        <v>0.32300000000000001</v>
      </c>
      <c r="N480">
        <v>7.2</v>
      </c>
      <c r="O480">
        <v>0.51700000000000002</v>
      </c>
      <c r="P480">
        <v>0.505</v>
      </c>
      <c r="Q480">
        <v>3.1</v>
      </c>
      <c r="R480">
        <v>0.66100000000000003</v>
      </c>
      <c r="S480">
        <v>4.9000000000000004</v>
      </c>
      <c r="T480">
        <v>6.1</v>
      </c>
      <c r="U480">
        <v>1.4</v>
      </c>
      <c r="V480">
        <v>0.5</v>
      </c>
      <c r="W480">
        <v>3.2</v>
      </c>
      <c r="X480">
        <v>2.5</v>
      </c>
      <c r="Y480">
        <v>13.3</v>
      </c>
      <c r="Z480">
        <v>16</v>
      </c>
      <c r="AA480">
        <v>-1.1000000000000001</v>
      </c>
      <c r="AB480">
        <v>14.3</v>
      </c>
      <c r="AC480">
        <v>4.4999999999999998E-2</v>
      </c>
    </row>
    <row r="481" spans="1:29" x14ac:dyDescent="0.35">
      <c r="A481" s="3" t="s">
        <v>38</v>
      </c>
      <c r="B481" s="1" t="s">
        <v>26</v>
      </c>
      <c r="C481" s="1" t="s">
        <v>597</v>
      </c>
      <c r="D481" s="1" t="s">
        <v>33</v>
      </c>
      <c r="E481" s="1" t="s">
        <v>20</v>
      </c>
      <c r="F481" s="4">
        <v>1.9</v>
      </c>
      <c r="G481">
        <v>27</v>
      </c>
      <c r="H481">
        <v>74</v>
      </c>
      <c r="I481">
        <v>36.6</v>
      </c>
      <c r="J481">
        <v>13.9</v>
      </c>
      <c r="K481">
        <v>0.47599999999999998</v>
      </c>
      <c r="L481">
        <v>6.2</v>
      </c>
      <c r="M481">
        <v>0.372</v>
      </c>
      <c r="N481">
        <v>7.7</v>
      </c>
      <c r="O481">
        <v>0.56100000000000005</v>
      </c>
      <c r="P481">
        <v>0.55900000000000005</v>
      </c>
      <c r="Q481">
        <v>3.1</v>
      </c>
      <c r="R481">
        <v>0.81</v>
      </c>
      <c r="S481">
        <v>4.8</v>
      </c>
      <c r="T481">
        <v>2.2000000000000002</v>
      </c>
      <c r="U481">
        <v>1.5</v>
      </c>
      <c r="V481">
        <v>0.9</v>
      </c>
      <c r="W481">
        <v>1.4</v>
      </c>
      <c r="X481">
        <v>2.2999999999999998</v>
      </c>
      <c r="Y481">
        <v>18</v>
      </c>
      <c r="Z481">
        <v>7</v>
      </c>
      <c r="AA481">
        <v>0.7</v>
      </c>
      <c r="AB481">
        <v>15.4</v>
      </c>
      <c r="AC481">
        <v>0.11600000000000001</v>
      </c>
    </row>
    <row r="482" spans="1:29" x14ac:dyDescent="0.35">
      <c r="A482" s="3" t="s">
        <v>312</v>
      </c>
      <c r="B482" s="1" t="s">
        <v>26</v>
      </c>
      <c r="C482" s="1" t="s">
        <v>35</v>
      </c>
      <c r="D482" s="1" t="s">
        <v>23</v>
      </c>
      <c r="E482" s="1" t="s">
        <v>20</v>
      </c>
      <c r="F482" s="4">
        <v>-1.4</v>
      </c>
      <c r="G482">
        <v>29</v>
      </c>
      <c r="H482">
        <v>65</v>
      </c>
      <c r="I482">
        <v>29.8</v>
      </c>
      <c r="J482">
        <v>13</v>
      </c>
      <c r="K482">
        <v>0.436</v>
      </c>
      <c r="L482">
        <v>4.8</v>
      </c>
      <c r="M482">
        <v>0.307</v>
      </c>
      <c r="N482">
        <v>8.1999999999999993</v>
      </c>
      <c r="O482">
        <v>0.51200000000000001</v>
      </c>
      <c r="P482">
        <v>0.49299999999999999</v>
      </c>
      <c r="Q482">
        <v>3.1</v>
      </c>
      <c r="R482">
        <v>0.63400000000000001</v>
      </c>
      <c r="S482">
        <v>5.7</v>
      </c>
      <c r="T482">
        <v>2.2999999999999998</v>
      </c>
      <c r="U482">
        <v>0.6</v>
      </c>
      <c r="V482">
        <v>0.3</v>
      </c>
      <c r="W482">
        <v>2.2000000000000002</v>
      </c>
      <c r="X482">
        <v>1.8</v>
      </c>
      <c r="Y482">
        <v>14.8</v>
      </c>
      <c r="Z482">
        <v>7</v>
      </c>
      <c r="AA482">
        <v>-4.9000000000000004</v>
      </c>
      <c r="AB482">
        <v>10.6</v>
      </c>
      <c r="AC482">
        <v>-2.4E-2</v>
      </c>
    </row>
    <row r="483" spans="1:29" x14ac:dyDescent="0.35">
      <c r="A483" s="3" t="s">
        <v>412</v>
      </c>
      <c r="B483" s="1" t="s">
        <v>26</v>
      </c>
      <c r="C483" s="1" t="s">
        <v>597</v>
      </c>
      <c r="D483" s="1" t="s">
        <v>23</v>
      </c>
      <c r="E483" s="1" t="s">
        <v>20</v>
      </c>
      <c r="F483" s="4">
        <v>-0.1</v>
      </c>
      <c r="G483">
        <v>29</v>
      </c>
      <c r="H483">
        <v>60</v>
      </c>
      <c r="I483">
        <v>34.6</v>
      </c>
      <c r="J483">
        <v>12.4</v>
      </c>
      <c r="K483">
        <v>0.47</v>
      </c>
      <c r="L483">
        <v>4</v>
      </c>
      <c r="M483">
        <v>0.29299999999999998</v>
      </c>
      <c r="N483">
        <v>8.3000000000000007</v>
      </c>
      <c r="O483">
        <v>0.55500000000000005</v>
      </c>
      <c r="P483">
        <v>0.51800000000000002</v>
      </c>
      <c r="Q483">
        <v>3.1</v>
      </c>
      <c r="R483">
        <v>0.751</v>
      </c>
      <c r="S483">
        <v>6.1</v>
      </c>
      <c r="T483">
        <v>1.8</v>
      </c>
      <c r="U483">
        <v>1.5</v>
      </c>
      <c r="V483">
        <v>0.5</v>
      </c>
      <c r="W483">
        <v>1.3</v>
      </c>
      <c r="X483">
        <v>3</v>
      </c>
      <c r="Y483">
        <v>15.1</v>
      </c>
      <c r="Z483">
        <v>9</v>
      </c>
      <c r="AA483">
        <v>-2.2999999999999998</v>
      </c>
      <c r="AB483">
        <v>13.5</v>
      </c>
      <c r="AC483">
        <v>6.0999999999999999E-2</v>
      </c>
    </row>
    <row r="484" spans="1:29" x14ac:dyDescent="0.35">
      <c r="A484" s="3" t="s">
        <v>351</v>
      </c>
      <c r="B484" s="1" t="s">
        <v>2</v>
      </c>
      <c r="C484" s="1" t="s">
        <v>598</v>
      </c>
      <c r="D484" s="1" t="s">
        <v>23</v>
      </c>
      <c r="E484" s="1" t="s">
        <v>20</v>
      </c>
      <c r="F484" s="4">
        <v>0.3</v>
      </c>
      <c r="G484">
        <v>33</v>
      </c>
      <c r="H484">
        <v>56</v>
      </c>
      <c r="I484">
        <v>32.700000000000003</v>
      </c>
      <c r="J484">
        <v>17.899999999999999</v>
      </c>
      <c r="K484">
        <v>0.44400000000000001</v>
      </c>
      <c r="L484">
        <v>8.1999999999999993</v>
      </c>
      <c r="M484">
        <v>0.373</v>
      </c>
      <c r="N484">
        <v>9.6999999999999993</v>
      </c>
      <c r="O484">
        <v>0.505</v>
      </c>
      <c r="P484">
        <v>0.53</v>
      </c>
      <c r="Q484">
        <v>3.1</v>
      </c>
      <c r="R484">
        <v>0.71699999999999997</v>
      </c>
      <c r="S484">
        <v>3.8</v>
      </c>
      <c r="T484">
        <v>4.0999999999999996</v>
      </c>
      <c r="U484">
        <v>0.8</v>
      </c>
      <c r="V484">
        <v>0.4</v>
      </c>
      <c r="W484">
        <v>1.9</v>
      </c>
      <c r="X484">
        <v>2.2000000000000002</v>
      </c>
      <c r="Y484">
        <v>21.1</v>
      </c>
      <c r="Z484">
        <v>11</v>
      </c>
      <c r="AA484">
        <v>-1.4</v>
      </c>
      <c r="AB484">
        <v>15.8</v>
      </c>
      <c r="AC484">
        <v>3.7999999999999999E-2</v>
      </c>
    </row>
    <row r="485" spans="1:29" x14ac:dyDescent="0.35">
      <c r="A485" s="3" t="s">
        <v>254</v>
      </c>
      <c r="B485" s="1" t="s">
        <v>26</v>
      </c>
      <c r="C485" s="1" t="s">
        <v>598</v>
      </c>
      <c r="D485" s="1" t="s">
        <v>23</v>
      </c>
      <c r="E485" s="1" t="s">
        <v>20</v>
      </c>
      <c r="F485" s="4">
        <v>0.3</v>
      </c>
      <c r="G485">
        <v>27</v>
      </c>
      <c r="H485">
        <v>18</v>
      </c>
      <c r="I485">
        <v>33.1</v>
      </c>
      <c r="J485">
        <v>18.5</v>
      </c>
      <c r="K485">
        <v>0.46500000000000002</v>
      </c>
      <c r="L485">
        <v>6.4</v>
      </c>
      <c r="M485">
        <v>0.374</v>
      </c>
      <c r="N485">
        <v>12.1</v>
      </c>
      <c r="O485">
        <v>0.51400000000000001</v>
      </c>
      <c r="P485">
        <v>0.53</v>
      </c>
      <c r="Q485">
        <v>3.1</v>
      </c>
      <c r="R485">
        <v>0.85499999999999998</v>
      </c>
      <c r="S485">
        <v>5.6</v>
      </c>
      <c r="T485">
        <v>5.2</v>
      </c>
      <c r="U485">
        <v>0.9</v>
      </c>
      <c r="V485">
        <v>0.6</v>
      </c>
      <c r="W485">
        <v>3.8</v>
      </c>
      <c r="X485">
        <v>2.5</v>
      </c>
      <c r="Y485">
        <v>22.2</v>
      </c>
      <c r="Z485">
        <v>8</v>
      </c>
      <c r="AA485">
        <v>-0.3</v>
      </c>
      <c r="AB485">
        <v>16</v>
      </c>
      <c r="AC485">
        <v>1E-3</v>
      </c>
    </row>
    <row r="486" spans="1:29" x14ac:dyDescent="0.35">
      <c r="A486" s="3" t="s">
        <v>198</v>
      </c>
      <c r="B486" s="1" t="s">
        <v>2</v>
      </c>
      <c r="C486" s="1" t="s">
        <v>597</v>
      </c>
      <c r="D486" s="1" t="s">
        <v>19</v>
      </c>
      <c r="E486" s="1" t="s">
        <v>20</v>
      </c>
      <c r="F486" s="4">
        <v>2.7</v>
      </c>
      <c r="G486">
        <v>22</v>
      </c>
      <c r="H486">
        <v>70</v>
      </c>
      <c r="I486">
        <v>30.2</v>
      </c>
      <c r="J486">
        <v>11.4</v>
      </c>
      <c r="K486">
        <v>0.46500000000000002</v>
      </c>
      <c r="L486">
        <v>4</v>
      </c>
      <c r="M486">
        <v>0.378</v>
      </c>
      <c r="N486">
        <v>7.4</v>
      </c>
      <c r="O486">
        <v>0.51200000000000001</v>
      </c>
      <c r="P486">
        <v>0.53100000000000003</v>
      </c>
      <c r="Q486">
        <v>3.2</v>
      </c>
      <c r="R486">
        <v>0.78100000000000003</v>
      </c>
      <c r="S486">
        <v>8.1</v>
      </c>
      <c r="T486">
        <v>7.2</v>
      </c>
      <c r="U486">
        <v>1.2</v>
      </c>
      <c r="V486">
        <v>0.6</v>
      </c>
      <c r="W486">
        <v>2.9</v>
      </c>
      <c r="X486">
        <v>1.7</v>
      </c>
      <c r="Y486">
        <v>14.6</v>
      </c>
      <c r="Z486">
        <v>3</v>
      </c>
      <c r="AA486">
        <v>3</v>
      </c>
      <c r="AB486">
        <v>18.100000000000001</v>
      </c>
      <c r="AC486">
        <v>0.121</v>
      </c>
    </row>
    <row r="487" spans="1:29" x14ac:dyDescent="0.35">
      <c r="A487" s="3" t="s">
        <v>534</v>
      </c>
      <c r="B487" s="1" t="s">
        <v>18</v>
      </c>
      <c r="C487" s="1" t="s">
        <v>597</v>
      </c>
      <c r="D487" s="1" t="s">
        <v>23</v>
      </c>
      <c r="E487" s="1" t="s">
        <v>20</v>
      </c>
      <c r="F487" s="4">
        <v>1.3</v>
      </c>
      <c r="G487">
        <v>28</v>
      </c>
      <c r="H487">
        <v>72</v>
      </c>
      <c r="I487">
        <v>30.2</v>
      </c>
      <c r="J487">
        <v>11.3</v>
      </c>
      <c r="K487">
        <v>0.48099999999999998</v>
      </c>
      <c r="L487">
        <v>5.5</v>
      </c>
      <c r="M487">
        <v>0.39600000000000002</v>
      </c>
      <c r="N487">
        <v>5.8</v>
      </c>
      <c r="O487">
        <v>0.56100000000000005</v>
      </c>
      <c r="P487">
        <v>0.57699999999999996</v>
      </c>
      <c r="Q487">
        <v>3.3</v>
      </c>
      <c r="R487">
        <v>0.77300000000000002</v>
      </c>
      <c r="S487">
        <v>6.5</v>
      </c>
      <c r="T487">
        <v>1.5</v>
      </c>
      <c r="U487">
        <v>0.8</v>
      </c>
      <c r="V487">
        <v>2</v>
      </c>
      <c r="W487">
        <v>1.7</v>
      </c>
      <c r="X487">
        <v>2.5</v>
      </c>
      <c r="Y487">
        <v>15.6</v>
      </c>
      <c r="Z487">
        <v>9</v>
      </c>
      <c r="AA487">
        <v>0.4</v>
      </c>
      <c r="AB487">
        <v>16.100000000000001</v>
      </c>
      <c r="AC487">
        <v>0.104</v>
      </c>
    </row>
    <row r="488" spans="1:29" x14ac:dyDescent="0.35">
      <c r="A488" s="3" t="s">
        <v>321</v>
      </c>
      <c r="B488" s="1" t="s">
        <v>26</v>
      </c>
      <c r="C488" s="1" t="s">
        <v>598</v>
      </c>
      <c r="D488" s="1" t="s">
        <v>23</v>
      </c>
      <c r="E488" s="1" t="s">
        <v>20</v>
      </c>
      <c r="F488" s="4">
        <v>1.5</v>
      </c>
      <c r="G488">
        <v>33</v>
      </c>
      <c r="H488">
        <v>37</v>
      </c>
      <c r="I488">
        <v>31.9</v>
      </c>
      <c r="J488">
        <v>16.8</v>
      </c>
      <c r="K488">
        <v>0.498</v>
      </c>
      <c r="L488">
        <v>5.0999999999999996</v>
      </c>
      <c r="M488">
        <v>0.41099999999999998</v>
      </c>
      <c r="N488">
        <v>11.7</v>
      </c>
      <c r="O488">
        <v>0.53600000000000003</v>
      </c>
      <c r="P488">
        <v>0.56000000000000005</v>
      </c>
      <c r="Q488">
        <v>3.3</v>
      </c>
      <c r="R488">
        <v>0.81</v>
      </c>
      <c r="S488">
        <v>5.9</v>
      </c>
      <c r="T488">
        <v>3.1</v>
      </c>
      <c r="U488">
        <v>1.6</v>
      </c>
      <c r="V488">
        <v>0.5</v>
      </c>
      <c r="W488">
        <v>1.9</v>
      </c>
      <c r="X488">
        <v>1.5</v>
      </c>
      <c r="Y488">
        <v>21.5</v>
      </c>
      <c r="Z488">
        <v>13</v>
      </c>
      <c r="AA488">
        <v>3.1</v>
      </c>
      <c r="AB488">
        <v>20.5</v>
      </c>
      <c r="AC488">
        <v>0.14099999999999999</v>
      </c>
    </row>
    <row r="489" spans="1:29" x14ac:dyDescent="0.35">
      <c r="A489" s="3" t="s">
        <v>190</v>
      </c>
      <c r="B489" s="1" t="s">
        <v>18</v>
      </c>
      <c r="C489" s="1" t="s">
        <v>598</v>
      </c>
      <c r="D489" s="1" t="s">
        <v>23</v>
      </c>
      <c r="E489" s="1" t="s">
        <v>50</v>
      </c>
      <c r="F489" s="4">
        <v>1.8</v>
      </c>
      <c r="G489">
        <v>26</v>
      </c>
      <c r="H489">
        <v>57</v>
      </c>
      <c r="I489">
        <v>21.5</v>
      </c>
      <c r="J489">
        <v>7.1</v>
      </c>
      <c r="K489">
        <v>0.70199999999999996</v>
      </c>
      <c r="L489">
        <v>0</v>
      </c>
      <c r="M489" t="s">
        <v>599</v>
      </c>
      <c r="N489">
        <v>7.1</v>
      </c>
      <c r="O489">
        <v>0.70199999999999996</v>
      </c>
      <c r="P489">
        <v>0.70199999999999996</v>
      </c>
      <c r="Q489">
        <v>3.4</v>
      </c>
      <c r="R489">
        <v>0.68899999999999995</v>
      </c>
      <c r="S489">
        <v>6.8</v>
      </c>
      <c r="T489">
        <v>1.4</v>
      </c>
      <c r="U489">
        <v>0.4</v>
      </c>
      <c r="V489">
        <v>1.8</v>
      </c>
      <c r="W489">
        <v>1.2</v>
      </c>
      <c r="X489">
        <v>2.7</v>
      </c>
      <c r="Y489">
        <v>12.3</v>
      </c>
      <c r="Z489">
        <v>5</v>
      </c>
      <c r="AA489">
        <v>3.8</v>
      </c>
      <c r="AB489">
        <v>24.7</v>
      </c>
      <c r="AC489">
        <v>0.23200000000000001</v>
      </c>
    </row>
    <row r="490" spans="1:29" x14ac:dyDescent="0.35">
      <c r="A490" s="3" t="s">
        <v>31</v>
      </c>
      <c r="B490" s="1" t="s">
        <v>18</v>
      </c>
      <c r="C490" s="1" t="s">
        <v>597</v>
      </c>
      <c r="D490" s="1" t="s">
        <v>23</v>
      </c>
      <c r="E490" s="1" t="s">
        <v>20</v>
      </c>
      <c r="F490" s="4">
        <v>3.6</v>
      </c>
      <c r="G490">
        <v>26</v>
      </c>
      <c r="H490">
        <v>82</v>
      </c>
      <c r="I490">
        <v>28</v>
      </c>
      <c r="J490">
        <v>7.8</v>
      </c>
      <c r="K490">
        <v>0.70599999999999996</v>
      </c>
      <c r="L490">
        <v>0.1</v>
      </c>
      <c r="M490">
        <v>0</v>
      </c>
      <c r="N490">
        <v>7.7</v>
      </c>
      <c r="O490">
        <v>0.71199999999999997</v>
      </c>
      <c r="P490">
        <v>0.70599999999999996</v>
      </c>
      <c r="Q490">
        <v>3.4</v>
      </c>
      <c r="R490">
        <v>0.71799999999999997</v>
      </c>
      <c r="S490">
        <v>9.6999999999999993</v>
      </c>
      <c r="T490">
        <v>1.9</v>
      </c>
      <c r="U490">
        <v>0.9</v>
      </c>
      <c r="V490">
        <v>0.9</v>
      </c>
      <c r="W490">
        <v>1.2</v>
      </c>
      <c r="X490">
        <v>1.5</v>
      </c>
      <c r="Y490">
        <v>13.5</v>
      </c>
      <c r="Z490">
        <v>7</v>
      </c>
      <c r="AA490">
        <v>4.2</v>
      </c>
      <c r="AB490">
        <v>22.1</v>
      </c>
      <c r="AC490">
        <v>0.24299999999999999</v>
      </c>
    </row>
    <row r="491" spans="1:29" x14ac:dyDescent="0.35">
      <c r="A491" s="3" t="s">
        <v>191</v>
      </c>
      <c r="B491" s="1" t="s">
        <v>2</v>
      </c>
      <c r="C491" s="1" t="s">
        <v>597</v>
      </c>
      <c r="D491" s="1" t="s">
        <v>23</v>
      </c>
      <c r="E491" s="1" t="s">
        <v>20</v>
      </c>
      <c r="F491" s="4">
        <v>3</v>
      </c>
      <c r="G491">
        <v>25</v>
      </c>
      <c r="H491">
        <v>75</v>
      </c>
      <c r="I491">
        <v>30.7</v>
      </c>
      <c r="J491">
        <v>15.7</v>
      </c>
      <c r="K491">
        <v>0.47199999999999998</v>
      </c>
      <c r="L491">
        <v>7.1</v>
      </c>
      <c r="M491">
        <v>0.40100000000000002</v>
      </c>
      <c r="N491">
        <v>8.6</v>
      </c>
      <c r="O491">
        <v>0.53</v>
      </c>
      <c r="P491">
        <v>0.56200000000000006</v>
      </c>
      <c r="Q491">
        <v>3.4</v>
      </c>
      <c r="R491">
        <v>0.878</v>
      </c>
      <c r="S491">
        <v>2.9</v>
      </c>
      <c r="T491">
        <v>6.7</v>
      </c>
      <c r="U491">
        <v>1.2</v>
      </c>
      <c r="V491">
        <v>0.1</v>
      </c>
      <c r="W491">
        <v>2.5</v>
      </c>
      <c r="X491">
        <v>1.9</v>
      </c>
      <c r="Y491">
        <v>20.6</v>
      </c>
      <c r="Z491">
        <v>5</v>
      </c>
      <c r="AA491">
        <v>3.1</v>
      </c>
      <c r="AB491">
        <v>19.899999999999999</v>
      </c>
      <c r="AC491">
        <v>0.16900000000000001</v>
      </c>
    </row>
    <row r="492" spans="1:29" x14ac:dyDescent="0.35">
      <c r="A492" s="3" t="s">
        <v>482</v>
      </c>
      <c r="B492" s="1" t="s">
        <v>2</v>
      </c>
      <c r="C492" s="1" t="s">
        <v>598</v>
      </c>
      <c r="D492" s="1" t="s">
        <v>19</v>
      </c>
      <c r="E492" s="1" t="s">
        <v>20</v>
      </c>
      <c r="F492" s="4">
        <v>0.4</v>
      </c>
      <c r="G492">
        <v>21</v>
      </c>
      <c r="H492">
        <v>72</v>
      </c>
      <c r="I492">
        <v>31.3</v>
      </c>
      <c r="J492">
        <v>15.3</v>
      </c>
      <c r="K492">
        <v>0.45200000000000001</v>
      </c>
      <c r="L492">
        <v>6.6</v>
      </c>
      <c r="M492">
        <v>0.311</v>
      </c>
      <c r="N492">
        <v>8.8000000000000007</v>
      </c>
      <c r="O492">
        <v>0.55700000000000005</v>
      </c>
      <c r="P492">
        <v>0.51900000000000002</v>
      </c>
      <c r="Q492">
        <v>3.4</v>
      </c>
      <c r="R492">
        <v>0.78500000000000003</v>
      </c>
      <c r="S492">
        <v>4.5</v>
      </c>
      <c r="T492">
        <v>2.8</v>
      </c>
      <c r="U492">
        <v>0.9</v>
      </c>
      <c r="V492">
        <v>0.2</v>
      </c>
      <c r="W492">
        <v>2.1</v>
      </c>
      <c r="X492">
        <v>1.7</v>
      </c>
      <c r="Y492">
        <v>18.5</v>
      </c>
      <c r="Z492">
        <v>2</v>
      </c>
      <c r="AA492">
        <v>-1.3</v>
      </c>
      <c r="AB492">
        <v>14.5</v>
      </c>
      <c r="AC492">
        <v>6.4000000000000001E-2</v>
      </c>
    </row>
    <row r="493" spans="1:29" x14ac:dyDescent="0.35">
      <c r="A493" s="3" t="s">
        <v>207</v>
      </c>
      <c r="B493" s="1" t="s">
        <v>26</v>
      </c>
      <c r="C493" s="1" t="s">
        <v>598</v>
      </c>
      <c r="D493" s="1" t="s">
        <v>23</v>
      </c>
      <c r="E493" s="1" t="s">
        <v>50</v>
      </c>
      <c r="F493" s="4">
        <v>0.1</v>
      </c>
      <c r="G493">
        <v>30</v>
      </c>
      <c r="H493">
        <v>47</v>
      </c>
      <c r="I493">
        <v>32.4</v>
      </c>
      <c r="J493">
        <v>12.2</v>
      </c>
      <c r="K493">
        <v>0.373</v>
      </c>
      <c r="L493">
        <v>6.3</v>
      </c>
      <c r="M493">
        <v>0.36499999999999999</v>
      </c>
      <c r="N493">
        <v>5.9</v>
      </c>
      <c r="O493">
        <v>0.38100000000000001</v>
      </c>
      <c r="P493">
        <v>0.46700000000000003</v>
      </c>
      <c r="Q493">
        <v>3.5</v>
      </c>
      <c r="R493">
        <v>0.84899999999999998</v>
      </c>
      <c r="S493">
        <v>3.5</v>
      </c>
      <c r="T493">
        <v>2.1</v>
      </c>
      <c r="U493">
        <v>0.9</v>
      </c>
      <c r="V493">
        <v>1</v>
      </c>
      <c r="W493">
        <v>1.4</v>
      </c>
      <c r="X493">
        <v>2.2999999999999998</v>
      </c>
      <c r="Y493">
        <v>14.4</v>
      </c>
      <c r="Z493">
        <v>10</v>
      </c>
      <c r="AA493">
        <v>-1.6</v>
      </c>
      <c r="AB493">
        <v>10.9</v>
      </c>
      <c r="AC493">
        <v>5.7000000000000002E-2</v>
      </c>
    </row>
    <row r="494" spans="1:29" x14ac:dyDescent="0.35">
      <c r="A494" s="3" t="s">
        <v>204</v>
      </c>
      <c r="B494" s="1" t="s">
        <v>26</v>
      </c>
      <c r="C494" s="1" t="s">
        <v>598</v>
      </c>
      <c r="D494" s="1" t="s">
        <v>23</v>
      </c>
      <c r="E494" s="1" t="s">
        <v>20</v>
      </c>
      <c r="F494" s="4">
        <v>1.2</v>
      </c>
      <c r="G494">
        <v>29</v>
      </c>
      <c r="H494">
        <v>51</v>
      </c>
      <c r="I494">
        <v>28.4</v>
      </c>
      <c r="J494">
        <v>9.6999999999999993</v>
      </c>
      <c r="K494">
        <v>0.53100000000000003</v>
      </c>
      <c r="L494">
        <v>3.4</v>
      </c>
      <c r="M494">
        <v>0.436</v>
      </c>
      <c r="N494">
        <v>6.4</v>
      </c>
      <c r="O494">
        <v>0.58199999999999996</v>
      </c>
      <c r="P494">
        <v>0.60699999999999998</v>
      </c>
      <c r="Q494">
        <v>3.5</v>
      </c>
      <c r="R494">
        <v>0.81</v>
      </c>
      <c r="S494">
        <v>4.8</v>
      </c>
      <c r="T494">
        <v>3.2</v>
      </c>
      <c r="U494">
        <v>0.5</v>
      </c>
      <c r="V494">
        <v>0.3</v>
      </c>
      <c r="W494">
        <v>1.4</v>
      </c>
      <c r="X494">
        <v>1.6</v>
      </c>
      <c r="Y494">
        <v>14.7</v>
      </c>
      <c r="Z494">
        <v>10</v>
      </c>
      <c r="AA494">
        <v>1.2</v>
      </c>
      <c r="AB494">
        <v>17</v>
      </c>
      <c r="AC494">
        <v>0.14299999999999999</v>
      </c>
    </row>
    <row r="495" spans="1:29" x14ac:dyDescent="0.35">
      <c r="A495" s="3" t="s">
        <v>556</v>
      </c>
      <c r="B495" s="1" t="s">
        <v>26</v>
      </c>
      <c r="C495" s="1" t="s">
        <v>598</v>
      </c>
      <c r="D495" s="1" t="s">
        <v>23</v>
      </c>
      <c r="E495" s="1" t="s">
        <v>20</v>
      </c>
      <c r="F495" s="4">
        <v>0.5</v>
      </c>
      <c r="G495">
        <v>26</v>
      </c>
      <c r="H495">
        <v>57</v>
      </c>
      <c r="I495">
        <v>32.200000000000003</v>
      </c>
      <c r="J495">
        <v>11.7</v>
      </c>
      <c r="K495">
        <v>0.45300000000000001</v>
      </c>
      <c r="L495">
        <v>4.2</v>
      </c>
      <c r="M495">
        <v>0.38100000000000001</v>
      </c>
      <c r="N495">
        <v>7.5</v>
      </c>
      <c r="O495">
        <v>0.49299999999999999</v>
      </c>
      <c r="P495">
        <v>0.52100000000000002</v>
      </c>
      <c r="Q495">
        <v>3.5</v>
      </c>
      <c r="R495">
        <v>0.72199999999999998</v>
      </c>
      <c r="S495">
        <v>7.8</v>
      </c>
      <c r="T495">
        <v>2.2999999999999998</v>
      </c>
      <c r="U495">
        <v>1.1000000000000001</v>
      </c>
      <c r="V495">
        <v>1.1000000000000001</v>
      </c>
      <c r="W495">
        <v>2.1</v>
      </c>
      <c r="X495">
        <v>2.2999999999999998</v>
      </c>
      <c r="Y495">
        <v>14.7</v>
      </c>
      <c r="Z495">
        <v>5</v>
      </c>
      <c r="AA495">
        <v>-0.9</v>
      </c>
      <c r="AB495">
        <v>14</v>
      </c>
      <c r="AC495">
        <v>6.2E-2</v>
      </c>
    </row>
    <row r="496" spans="1:29" x14ac:dyDescent="0.35">
      <c r="A496" s="3" t="s">
        <v>276</v>
      </c>
      <c r="B496" s="1" t="s">
        <v>26</v>
      </c>
      <c r="C496" s="1" t="s">
        <v>597</v>
      </c>
      <c r="D496" s="1" t="s">
        <v>23</v>
      </c>
      <c r="E496" s="1" t="s">
        <v>20</v>
      </c>
      <c r="F496" s="4">
        <v>1.2</v>
      </c>
      <c r="G496">
        <v>23</v>
      </c>
      <c r="H496">
        <v>36</v>
      </c>
      <c r="I496">
        <v>35.700000000000003</v>
      </c>
      <c r="J496">
        <v>15.1</v>
      </c>
      <c r="K496">
        <v>0.5</v>
      </c>
      <c r="L496">
        <v>3.9</v>
      </c>
      <c r="M496">
        <v>0.312</v>
      </c>
      <c r="N496">
        <v>11.1</v>
      </c>
      <c r="O496">
        <v>0.56599999999999995</v>
      </c>
      <c r="P496">
        <v>0.54100000000000004</v>
      </c>
      <c r="Q496">
        <v>3.5</v>
      </c>
      <c r="R496">
        <v>0.746</v>
      </c>
      <c r="S496">
        <v>10</v>
      </c>
      <c r="T496">
        <v>5</v>
      </c>
      <c r="U496">
        <v>1.6</v>
      </c>
      <c r="V496">
        <v>1</v>
      </c>
      <c r="W496">
        <v>2.9</v>
      </c>
      <c r="X496">
        <v>1.9</v>
      </c>
      <c r="Y496">
        <v>18.899999999999999</v>
      </c>
      <c r="Z496">
        <v>3</v>
      </c>
      <c r="AA496">
        <v>1.8</v>
      </c>
      <c r="AB496">
        <v>17.3</v>
      </c>
      <c r="AC496">
        <v>8.8999999999999996E-2</v>
      </c>
    </row>
    <row r="497" spans="1:29" x14ac:dyDescent="0.35">
      <c r="A497" s="3" t="s">
        <v>517</v>
      </c>
      <c r="B497" s="1" t="s">
        <v>26</v>
      </c>
      <c r="C497" s="1" t="s">
        <v>598</v>
      </c>
      <c r="D497" s="1" t="s">
        <v>23</v>
      </c>
      <c r="E497" s="1" t="s">
        <v>20</v>
      </c>
      <c r="F497" s="4">
        <v>3.4</v>
      </c>
      <c r="G497">
        <v>22</v>
      </c>
      <c r="H497">
        <v>69</v>
      </c>
      <c r="I497">
        <v>32.200000000000003</v>
      </c>
      <c r="J497">
        <v>10.1</v>
      </c>
      <c r="K497">
        <v>0.55700000000000005</v>
      </c>
      <c r="L497">
        <v>1.3</v>
      </c>
      <c r="M497">
        <v>0.27500000000000002</v>
      </c>
      <c r="N497">
        <v>8.8000000000000007</v>
      </c>
      <c r="O497">
        <v>0.59899999999999998</v>
      </c>
      <c r="P497">
        <v>0.57499999999999996</v>
      </c>
      <c r="Q497">
        <v>3.6</v>
      </c>
      <c r="R497">
        <v>0.68400000000000005</v>
      </c>
      <c r="S497">
        <v>8.1999999999999993</v>
      </c>
      <c r="T497">
        <v>3.8</v>
      </c>
      <c r="U497">
        <v>1.4</v>
      </c>
      <c r="V497">
        <v>1.3</v>
      </c>
      <c r="W497">
        <v>2</v>
      </c>
      <c r="X497">
        <v>2.4</v>
      </c>
      <c r="Y497">
        <v>14.1</v>
      </c>
      <c r="Z497">
        <v>1</v>
      </c>
      <c r="AA497">
        <v>4.0999999999999996</v>
      </c>
      <c r="AB497">
        <v>18.7</v>
      </c>
      <c r="AC497">
        <v>0.17199999999999999</v>
      </c>
    </row>
    <row r="498" spans="1:29" x14ac:dyDescent="0.35">
      <c r="A498" s="3" t="s">
        <v>547</v>
      </c>
      <c r="B498" s="1" t="s">
        <v>18</v>
      </c>
      <c r="C498" s="1" t="s">
        <v>597</v>
      </c>
      <c r="D498" s="1" t="s">
        <v>19</v>
      </c>
      <c r="E498" s="1" t="s">
        <v>20</v>
      </c>
      <c r="F498" s="4">
        <v>0.9</v>
      </c>
      <c r="G498">
        <v>27</v>
      </c>
      <c r="H498">
        <v>30</v>
      </c>
      <c r="I498">
        <v>18.8</v>
      </c>
      <c r="J498">
        <v>8.3000000000000007</v>
      </c>
      <c r="K498">
        <v>0.56200000000000006</v>
      </c>
      <c r="L498">
        <v>2.5</v>
      </c>
      <c r="M498">
        <v>0.36</v>
      </c>
      <c r="N498">
        <v>5.8</v>
      </c>
      <c r="O498">
        <v>0.64900000000000002</v>
      </c>
      <c r="P498">
        <v>0.61599999999999999</v>
      </c>
      <c r="Q498">
        <v>3.7</v>
      </c>
      <c r="R498">
        <v>0.71799999999999997</v>
      </c>
      <c r="S498">
        <v>4.9000000000000004</v>
      </c>
      <c r="T498">
        <v>1.4</v>
      </c>
      <c r="U498">
        <v>0.8</v>
      </c>
      <c r="V498">
        <v>0.4</v>
      </c>
      <c r="W498">
        <v>1.6</v>
      </c>
      <c r="X498">
        <v>1.8</v>
      </c>
      <c r="Y498">
        <v>12.9</v>
      </c>
      <c r="Z498">
        <v>6</v>
      </c>
      <c r="AA498">
        <v>4</v>
      </c>
      <c r="AB498">
        <v>22.3</v>
      </c>
      <c r="AC498">
        <v>0.17399999999999999</v>
      </c>
    </row>
    <row r="499" spans="1:29" x14ac:dyDescent="0.35">
      <c r="A499" s="3" t="s">
        <v>580</v>
      </c>
      <c r="B499" s="1" t="s">
        <v>18</v>
      </c>
      <c r="C499" s="1" t="s">
        <v>597</v>
      </c>
      <c r="D499" s="1" t="s">
        <v>23</v>
      </c>
      <c r="E499" s="1" t="s">
        <v>20</v>
      </c>
      <c r="F499" s="4">
        <v>1.6</v>
      </c>
      <c r="G499">
        <v>23</v>
      </c>
      <c r="H499">
        <v>44</v>
      </c>
      <c r="I499">
        <v>26.6</v>
      </c>
      <c r="J499">
        <v>10.199999999999999</v>
      </c>
      <c r="K499">
        <v>0.60399999999999998</v>
      </c>
      <c r="L499">
        <v>0.1</v>
      </c>
      <c r="M499">
        <v>0</v>
      </c>
      <c r="N499">
        <v>10.1</v>
      </c>
      <c r="O499">
        <v>0.60899999999999999</v>
      </c>
      <c r="P499">
        <v>0.60399999999999998</v>
      </c>
      <c r="Q499">
        <v>3.7</v>
      </c>
      <c r="R499">
        <v>0.80400000000000005</v>
      </c>
      <c r="S499">
        <v>10.199999999999999</v>
      </c>
      <c r="T499">
        <v>2.5</v>
      </c>
      <c r="U499">
        <v>0.7</v>
      </c>
      <c r="V499">
        <v>1.2</v>
      </c>
      <c r="W499">
        <v>1.6</v>
      </c>
      <c r="X499">
        <v>2.4</v>
      </c>
      <c r="Y499">
        <v>15.3</v>
      </c>
      <c r="Z499">
        <v>2</v>
      </c>
      <c r="AA499">
        <v>3.5</v>
      </c>
      <c r="AB499">
        <v>23.9</v>
      </c>
      <c r="AC499">
        <v>0.19500000000000001</v>
      </c>
    </row>
    <row r="500" spans="1:29" x14ac:dyDescent="0.35">
      <c r="A500" s="3" t="s">
        <v>389</v>
      </c>
      <c r="B500" s="1" t="s">
        <v>2</v>
      </c>
      <c r="C500" s="1" t="s">
        <v>598</v>
      </c>
      <c r="D500" s="1" t="s">
        <v>19</v>
      </c>
      <c r="E500" s="1" t="s">
        <v>20</v>
      </c>
      <c r="F500" s="4">
        <v>1.7</v>
      </c>
      <c r="G500">
        <v>27</v>
      </c>
      <c r="H500">
        <v>67</v>
      </c>
      <c r="I500">
        <v>36.1</v>
      </c>
      <c r="J500">
        <v>16.7</v>
      </c>
      <c r="K500">
        <v>0.47399999999999998</v>
      </c>
      <c r="L500">
        <v>5.9</v>
      </c>
      <c r="M500">
        <v>0.39300000000000002</v>
      </c>
      <c r="N500">
        <v>10.8</v>
      </c>
      <c r="O500">
        <v>0.51800000000000002</v>
      </c>
      <c r="P500">
        <v>0.54300000000000004</v>
      </c>
      <c r="Q500">
        <v>3.7</v>
      </c>
      <c r="R500">
        <v>0.88600000000000001</v>
      </c>
      <c r="S500">
        <v>3.9</v>
      </c>
      <c r="T500">
        <v>6</v>
      </c>
      <c r="U500">
        <v>1.4</v>
      </c>
      <c r="V500">
        <v>0.5</v>
      </c>
      <c r="W500">
        <v>2.1</v>
      </c>
      <c r="X500">
        <v>1.9</v>
      </c>
      <c r="Y500">
        <v>21.4</v>
      </c>
      <c r="Z500">
        <v>8</v>
      </c>
      <c r="AA500">
        <v>0.8</v>
      </c>
      <c r="AB500">
        <v>17.8</v>
      </c>
      <c r="AC500">
        <v>0.123</v>
      </c>
    </row>
    <row r="501" spans="1:29" x14ac:dyDescent="0.35">
      <c r="A501" s="3" t="s">
        <v>202</v>
      </c>
      <c r="B501" s="1" t="s">
        <v>18</v>
      </c>
      <c r="C501" s="1" t="s">
        <v>598</v>
      </c>
      <c r="D501" s="1" t="s">
        <v>19</v>
      </c>
      <c r="E501" s="1" t="s">
        <v>20</v>
      </c>
      <c r="F501" s="4">
        <v>2.4</v>
      </c>
      <c r="G501">
        <v>32</v>
      </c>
      <c r="H501">
        <v>72</v>
      </c>
      <c r="I501">
        <v>33.200000000000003</v>
      </c>
      <c r="J501">
        <v>7.1</v>
      </c>
      <c r="K501">
        <v>0.66900000000000004</v>
      </c>
      <c r="L501">
        <v>0</v>
      </c>
      <c r="M501" t="s">
        <v>599</v>
      </c>
      <c r="N501">
        <v>7.1</v>
      </c>
      <c r="O501">
        <v>0.66900000000000004</v>
      </c>
      <c r="P501">
        <v>0.66900000000000004</v>
      </c>
      <c r="Q501">
        <v>3.8</v>
      </c>
      <c r="R501">
        <v>0.67400000000000004</v>
      </c>
      <c r="S501">
        <v>10.9</v>
      </c>
      <c r="T501">
        <v>1.8</v>
      </c>
      <c r="U501">
        <v>0.8</v>
      </c>
      <c r="V501">
        <v>1.4</v>
      </c>
      <c r="W501">
        <v>1.2</v>
      </c>
      <c r="X501">
        <v>2.5</v>
      </c>
      <c r="Y501">
        <v>12</v>
      </c>
      <c r="Z501">
        <v>11</v>
      </c>
      <c r="AA501">
        <v>1.9</v>
      </c>
      <c r="AB501">
        <v>18.3</v>
      </c>
      <c r="AC501">
        <v>0.20399999999999999</v>
      </c>
    </row>
    <row r="502" spans="1:29" x14ac:dyDescent="0.35">
      <c r="A502" s="3" t="s">
        <v>81</v>
      </c>
      <c r="B502" s="1" t="s">
        <v>2</v>
      </c>
      <c r="C502" s="1" t="s">
        <v>597</v>
      </c>
      <c r="D502" s="1" t="s">
        <v>23</v>
      </c>
      <c r="E502" s="1" t="s">
        <v>50</v>
      </c>
      <c r="F502" s="4">
        <v>0.1</v>
      </c>
      <c r="G502">
        <v>32</v>
      </c>
      <c r="H502">
        <v>24</v>
      </c>
      <c r="I502">
        <v>23.5</v>
      </c>
      <c r="J502">
        <v>10</v>
      </c>
      <c r="K502">
        <v>0.433</v>
      </c>
      <c r="L502">
        <v>2.2999999999999998</v>
      </c>
      <c r="M502">
        <v>0.28599999999999998</v>
      </c>
      <c r="N502">
        <v>7.7</v>
      </c>
      <c r="O502">
        <v>0.47799999999999998</v>
      </c>
      <c r="P502">
        <v>0.46700000000000003</v>
      </c>
      <c r="Q502">
        <v>3.8</v>
      </c>
      <c r="R502">
        <v>0.88</v>
      </c>
      <c r="S502">
        <v>3.8</v>
      </c>
      <c r="T502">
        <v>4.0999999999999996</v>
      </c>
      <c r="U502">
        <v>0.5</v>
      </c>
      <c r="V502">
        <v>0.2</v>
      </c>
      <c r="W502">
        <v>1.6</v>
      </c>
      <c r="X502">
        <v>1.3</v>
      </c>
      <c r="Y502">
        <v>12.7</v>
      </c>
      <c r="Z502">
        <v>8</v>
      </c>
      <c r="AA502">
        <v>-1.5</v>
      </c>
      <c r="AB502">
        <v>15.8</v>
      </c>
      <c r="AC502">
        <v>6.0999999999999999E-2</v>
      </c>
    </row>
    <row r="503" spans="1:29" x14ac:dyDescent="0.35">
      <c r="A503" s="3" t="s">
        <v>275</v>
      </c>
      <c r="B503" s="1" t="s">
        <v>26</v>
      </c>
      <c r="C503" s="1" t="s">
        <v>597</v>
      </c>
      <c r="D503" s="1" t="s">
        <v>23</v>
      </c>
      <c r="E503" s="1" t="s">
        <v>20</v>
      </c>
      <c r="F503" s="4">
        <v>2.2999999999999998</v>
      </c>
      <c r="G503">
        <v>28</v>
      </c>
      <c r="H503">
        <v>57</v>
      </c>
      <c r="I503">
        <v>31.6</v>
      </c>
      <c r="J503">
        <v>13.1</v>
      </c>
      <c r="K503">
        <v>0.47499999999999998</v>
      </c>
      <c r="L503">
        <v>7.2</v>
      </c>
      <c r="M503">
        <v>0.39</v>
      </c>
      <c r="N503">
        <v>5.9</v>
      </c>
      <c r="O503">
        <v>0.57799999999999996</v>
      </c>
      <c r="P503">
        <v>0.58199999999999996</v>
      </c>
      <c r="Q503">
        <v>3.9</v>
      </c>
      <c r="R503">
        <v>0.89300000000000002</v>
      </c>
      <c r="S503">
        <v>4.3</v>
      </c>
      <c r="T503">
        <v>3.4</v>
      </c>
      <c r="U503">
        <v>0.9</v>
      </c>
      <c r="V503">
        <v>0.4</v>
      </c>
      <c r="W503">
        <v>1.7</v>
      </c>
      <c r="X503">
        <v>1.8</v>
      </c>
      <c r="Y503">
        <v>18.8</v>
      </c>
      <c r="Z503">
        <v>5</v>
      </c>
      <c r="AA503">
        <v>3.1</v>
      </c>
      <c r="AB503">
        <v>18.2</v>
      </c>
      <c r="AC503">
        <v>0.13700000000000001</v>
      </c>
    </row>
    <row r="504" spans="1:29" x14ac:dyDescent="0.35">
      <c r="A504" s="3" t="s">
        <v>337</v>
      </c>
      <c r="B504" s="1" t="s">
        <v>26</v>
      </c>
      <c r="C504" s="1" t="s">
        <v>598</v>
      </c>
      <c r="D504" s="1" t="s">
        <v>19</v>
      </c>
      <c r="E504" s="1" t="s">
        <v>20</v>
      </c>
      <c r="F504" s="4">
        <v>0.7</v>
      </c>
      <c r="G504">
        <v>27</v>
      </c>
      <c r="H504">
        <v>47</v>
      </c>
      <c r="I504">
        <v>31.4</v>
      </c>
      <c r="J504">
        <v>14.9</v>
      </c>
      <c r="K504">
        <v>0.42299999999999999</v>
      </c>
      <c r="L504">
        <v>8.5</v>
      </c>
      <c r="M504">
        <v>0.34599999999999997</v>
      </c>
      <c r="N504">
        <v>6.4</v>
      </c>
      <c r="O504">
        <v>0.52500000000000002</v>
      </c>
      <c r="P504">
        <v>0.52100000000000002</v>
      </c>
      <c r="Q504">
        <v>3.9</v>
      </c>
      <c r="R504">
        <v>0.876</v>
      </c>
      <c r="S504">
        <v>5.9</v>
      </c>
      <c r="T504">
        <v>1.5</v>
      </c>
      <c r="U504">
        <v>0.7</v>
      </c>
      <c r="V504">
        <v>0.4</v>
      </c>
      <c r="W504">
        <v>1.4</v>
      </c>
      <c r="X504">
        <v>1.7</v>
      </c>
      <c r="Y504">
        <v>19</v>
      </c>
      <c r="Z504">
        <v>7</v>
      </c>
      <c r="AA504">
        <v>-0.3</v>
      </c>
      <c r="AB504">
        <v>15.6</v>
      </c>
      <c r="AC504">
        <v>7.0000000000000007E-2</v>
      </c>
    </row>
    <row r="505" spans="1:29" x14ac:dyDescent="0.35">
      <c r="A505" s="3" t="s">
        <v>441</v>
      </c>
      <c r="B505" s="1" t="s">
        <v>2</v>
      </c>
      <c r="C505" s="1" t="s">
        <v>597</v>
      </c>
      <c r="D505" s="1" t="s">
        <v>23</v>
      </c>
      <c r="E505" s="1" t="s">
        <v>20</v>
      </c>
      <c r="F505" s="4">
        <v>1</v>
      </c>
      <c r="G505">
        <v>25</v>
      </c>
      <c r="H505">
        <v>33</v>
      </c>
      <c r="I505">
        <v>27.8</v>
      </c>
      <c r="J505">
        <v>13.3</v>
      </c>
      <c r="K505">
        <v>0.42</v>
      </c>
      <c r="L505">
        <v>6.8</v>
      </c>
      <c r="M505">
        <v>0.378</v>
      </c>
      <c r="N505">
        <v>6.5</v>
      </c>
      <c r="O505">
        <v>0.46500000000000002</v>
      </c>
      <c r="P505">
        <v>0.51700000000000002</v>
      </c>
      <c r="Q505">
        <v>3.9</v>
      </c>
      <c r="R505">
        <v>0.86699999999999999</v>
      </c>
      <c r="S505">
        <v>3.5</v>
      </c>
      <c r="T505">
        <v>5.8</v>
      </c>
      <c r="U505">
        <v>0.7</v>
      </c>
      <c r="V505">
        <v>0.1</v>
      </c>
      <c r="W505">
        <v>1.8</v>
      </c>
      <c r="X505">
        <v>1.8</v>
      </c>
      <c r="Y505">
        <v>17.100000000000001</v>
      </c>
      <c r="Z505">
        <v>4</v>
      </c>
      <c r="AA505">
        <v>2.2000000000000002</v>
      </c>
      <c r="AB505">
        <v>17.5</v>
      </c>
      <c r="AC505">
        <v>0.128</v>
      </c>
    </row>
    <row r="506" spans="1:29" x14ac:dyDescent="0.35">
      <c r="A506" s="3" t="s">
        <v>118</v>
      </c>
      <c r="B506" s="1" t="s">
        <v>2</v>
      </c>
      <c r="C506" s="1" t="s">
        <v>598</v>
      </c>
      <c r="D506" s="1" t="s">
        <v>33</v>
      </c>
      <c r="E506" s="1" t="s">
        <v>50</v>
      </c>
      <c r="F506" s="4">
        <v>0.1</v>
      </c>
      <c r="G506">
        <v>32</v>
      </c>
      <c r="H506">
        <v>37</v>
      </c>
      <c r="I506">
        <v>26</v>
      </c>
      <c r="J506">
        <v>13.3</v>
      </c>
      <c r="K506">
        <v>0.40799999999999997</v>
      </c>
      <c r="L506">
        <v>6.3</v>
      </c>
      <c r="M506">
        <v>0.36199999999999999</v>
      </c>
      <c r="N506">
        <v>7.1</v>
      </c>
      <c r="O506">
        <v>0.44800000000000001</v>
      </c>
      <c r="P506">
        <v>0.49299999999999999</v>
      </c>
      <c r="Q506">
        <v>3.9</v>
      </c>
      <c r="R506">
        <v>0.79700000000000004</v>
      </c>
      <c r="S506">
        <v>3.2</v>
      </c>
      <c r="T506">
        <v>3.7</v>
      </c>
      <c r="U506">
        <v>0.8</v>
      </c>
      <c r="V506">
        <v>0.2</v>
      </c>
      <c r="W506">
        <v>2.2999999999999998</v>
      </c>
      <c r="X506">
        <v>1.4</v>
      </c>
      <c r="Y506">
        <v>16.2</v>
      </c>
      <c r="Z506">
        <v>10</v>
      </c>
      <c r="AA506">
        <v>-1.5</v>
      </c>
      <c r="AB506">
        <v>14.5</v>
      </c>
      <c r="AC506">
        <v>2.1000000000000001E-2</v>
      </c>
    </row>
    <row r="507" spans="1:29" x14ac:dyDescent="0.35">
      <c r="A507" s="3" t="s">
        <v>258</v>
      </c>
      <c r="B507" s="1" t="s">
        <v>2</v>
      </c>
      <c r="C507" s="1" t="s">
        <v>597</v>
      </c>
      <c r="D507" s="1" t="s">
        <v>23</v>
      </c>
      <c r="E507" s="1" t="s">
        <v>20</v>
      </c>
      <c r="F507" s="4">
        <v>0.5</v>
      </c>
      <c r="G507">
        <v>22</v>
      </c>
      <c r="H507">
        <v>30</v>
      </c>
      <c r="I507">
        <v>29.9</v>
      </c>
      <c r="J507">
        <v>13.8</v>
      </c>
      <c r="K507">
        <v>0.46</v>
      </c>
      <c r="L507">
        <v>5.0999999999999996</v>
      </c>
      <c r="M507">
        <v>0.40899999999999997</v>
      </c>
      <c r="N507">
        <v>8.6</v>
      </c>
      <c r="O507">
        <v>0.49</v>
      </c>
      <c r="P507">
        <v>0.53600000000000003</v>
      </c>
      <c r="Q507">
        <v>3.9</v>
      </c>
      <c r="R507">
        <v>0.73299999999999998</v>
      </c>
      <c r="S507">
        <v>4.0999999999999996</v>
      </c>
      <c r="T507">
        <v>4</v>
      </c>
      <c r="U507">
        <v>0.9</v>
      </c>
      <c r="V507">
        <v>0.4</v>
      </c>
      <c r="W507">
        <v>3</v>
      </c>
      <c r="X507">
        <v>2.2000000000000002</v>
      </c>
      <c r="Y507">
        <v>17.600000000000001</v>
      </c>
      <c r="Z507">
        <v>2</v>
      </c>
      <c r="AA507">
        <v>0</v>
      </c>
      <c r="AB507">
        <v>14.7</v>
      </c>
      <c r="AC507">
        <v>6.2E-2</v>
      </c>
    </row>
    <row r="508" spans="1:29" x14ac:dyDescent="0.35">
      <c r="A508" s="3" t="s">
        <v>317</v>
      </c>
      <c r="B508" s="1" t="s">
        <v>2</v>
      </c>
      <c r="C508" s="1" t="s">
        <v>35</v>
      </c>
      <c r="D508" s="1" t="s">
        <v>23</v>
      </c>
      <c r="E508" s="1" t="s">
        <v>20</v>
      </c>
      <c r="F508" s="4">
        <v>1.8</v>
      </c>
      <c r="G508">
        <v>29</v>
      </c>
      <c r="H508">
        <v>74</v>
      </c>
      <c r="I508">
        <v>35.200000000000003</v>
      </c>
      <c r="J508">
        <v>16.5</v>
      </c>
      <c r="K508">
        <v>0.51100000000000001</v>
      </c>
      <c r="L508">
        <v>7.2</v>
      </c>
      <c r="M508">
        <v>0.44600000000000001</v>
      </c>
      <c r="N508">
        <v>9.3000000000000007</v>
      </c>
      <c r="O508">
        <v>0.56200000000000006</v>
      </c>
      <c r="P508">
        <v>0.60899999999999999</v>
      </c>
      <c r="Q508">
        <v>3.9</v>
      </c>
      <c r="R508">
        <v>0.82499999999999996</v>
      </c>
      <c r="S508">
        <v>4.3</v>
      </c>
      <c r="T508">
        <v>4.2</v>
      </c>
      <c r="U508">
        <v>0.8</v>
      </c>
      <c r="V508">
        <v>0.2</v>
      </c>
      <c r="W508">
        <v>2.8</v>
      </c>
      <c r="X508">
        <v>1.6</v>
      </c>
      <c r="Y508">
        <v>23.3</v>
      </c>
      <c r="Z508">
        <v>10</v>
      </c>
      <c r="AA508">
        <v>0.7</v>
      </c>
      <c r="AB508">
        <v>17.3</v>
      </c>
      <c r="AC508">
        <v>9.4E-2</v>
      </c>
    </row>
    <row r="509" spans="1:29" x14ac:dyDescent="0.35">
      <c r="A509" s="3" t="s">
        <v>486</v>
      </c>
      <c r="B509" s="1" t="s">
        <v>26</v>
      </c>
      <c r="C509" s="1" t="s">
        <v>597</v>
      </c>
      <c r="D509" s="1" t="s">
        <v>19</v>
      </c>
      <c r="E509" s="1" t="s">
        <v>20</v>
      </c>
      <c r="F509" s="4">
        <v>2.4</v>
      </c>
      <c r="G509">
        <v>30</v>
      </c>
      <c r="H509">
        <v>78</v>
      </c>
      <c r="I509">
        <v>32.700000000000003</v>
      </c>
      <c r="J509">
        <v>15.2</v>
      </c>
      <c r="K509">
        <v>0.51900000000000002</v>
      </c>
      <c r="L509">
        <v>4.2</v>
      </c>
      <c r="M509">
        <v>0.38900000000000001</v>
      </c>
      <c r="N509">
        <v>11</v>
      </c>
      <c r="O509">
        <v>0.56799999999999995</v>
      </c>
      <c r="P509">
        <v>0.57199999999999995</v>
      </c>
      <c r="Q509">
        <v>3.9</v>
      </c>
      <c r="R509">
        <v>0.73399999999999999</v>
      </c>
      <c r="S509">
        <v>6.9</v>
      </c>
      <c r="T509">
        <v>3.4</v>
      </c>
      <c r="U509">
        <v>0.9</v>
      </c>
      <c r="V509">
        <v>0.5</v>
      </c>
      <c r="W509">
        <v>1.4</v>
      </c>
      <c r="X509">
        <v>2.4</v>
      </c>
      <c r="Y509">
        <v>20.2</v>
      </c>
      <c r="Z509">
        <v>8</v>
      </c>
      <c r="AA509">
        <v>1.7</v>
      </c>
      <c r="AB509">
        <v>19.2</v>
      </c>
      <c r="AC509">
        <v>0.14199999999999999</v>
      </c>
    </row>
    <row r="510" spans="1:29" x14ac:dyDescent="0.35">
      <c r="A510" s="3" t="s">
        <v>250</v>
      </c>
      <c r="B510" s="1" t="s">
        <v>26</v>
      </c>
      <c r="C510" s="1" t="s">
        <v>35</v>
      </c>
      <c r="D510" s="1" t="s">
        <v>23</v>
      </c>
      <c r="E510" s="1" t="s">
        <v>20</v>
      </c>
      <c r="F510" s="4">
        <v>1</v>
      </c>
      <c r="G510">
        <v>27</v>
      </c>
      <c r="H510">
        <v>64</v>
      </c>
      <c r="I510">
        <v>27.2</v>
      </c>
      <c r="J510">
        <v>11.9</v>
      </c>
      <c r="K510">
        <v>0.47</v>
      </c>
      <c r="L510">
        <v>6.1</v>
      </c>
      <c r="M510">
        <v>0.40500000000000003</v>
      </c>
      <c r="N510">
        <v>5.8</v>
      </c>
      <c r="O510">
        <v>0.53700000000000003</v>
      </c>
      <c r="P510">
        <v>0.57299999999999995</v>
      </c>
      <c r="Q510">
        <v>4</v>
      </c>
      <c r="R510">
        <v>0.84599999999999997</v>
      </c>
      <c r="S510">
        <v>4</v>
      </c>
      <c r="T510">
        <v>1.4</v>
      </c>
      <c r="U510">
        <v>0.8</v>
      </c>
      <c r="V510">
        <v>0.2</v>
      </c>
      <c r="W510">
        <v>1.3</v>
      </c>
      <c r="X510">
        <v>2.4</v>
      </c>
      <c r="Y510">
        <v>17</v>
      </c>
      <c r="Z510">
        <v>5</v>
      </c>
      <c r="AA510">
        <v>0.4</v>
      </c>
      <c r="AB510">
        <v>15.9</v>
      </c>
      <c r="AC510">
        <v>0.122</v>
      </c>
    </row>
    <row r="511" spans="1:29" x14ac:dyDescent="0.35">
      <c r="A511" s="3" t="s">
        <v>425</v>
      </c>
      <c r="B511" s="1" t="s">
        <v>2</v>
      </c>
      <c r="C511" s="1" t="s">
        <v>597</v>
      </c>
      <c r="D511" s="1" t="s">
        <v>23</v>
      </c>
      <c r="E511" s="1" t="s">
        <v>20</v>
      </c>
      <c r="F511" s="4">
        <v>1.2</v>
      </c>
      <c r="G511">
        <v>25</v>
      </c>
      <c r="H511">
        <v>68</v>
      </c>
      <c r="I511">
        <v>29.4</v>
      </c>
      <c r="J511">
        <v>15.5</v>
      </c>
      <c r="K511">
        <v>0.432</v>
      </c>
      <c r="L511">
        <v>9.1</v>
      </c>
      <c r="M511">
        <v>0.378</v>
      </c>
      <c r="N511">
        <v>6.4</v>
      </c>
      <c r="O511">
        <v>0.51</v>
      </c>
      <c r="P511">
        <v>0.54400000000000004</v>
      </c>
      <c r="Q511">
        <v>4</v>
      </c>
      <c r="R511">
        <v>0.88300000000000001</v>
      </c>
      <c r="S511">
        <v>3</v>
      </c>
      <c r="T511">
        <v>4.5</v>
      </c>
      <c r="U511">
        <v>1.3</v>
      </c>
      <c r="V511">
        <v>0.4</v>
      </c>
      <c r="W511">
        <v>3</v>
      </c>
      <c r="X511">
        <v>3</v>
      </c>
      <c r="Y511">
        <v>20.5</v>
      </c>
      <c r="Z511">
        <v>5</v>
      </c>
      <c r="AA511">
        <v>0.4</v>
      </c>
      <c r="AB511">
        <v>16.600000000000001</v>
      </c>
      <c r="AC511">
        <v>4.7E-2</v>
      </c>
    </row>
    <row r="512" spans="1:29" x14ac:dyDescent="0.35">
      <c r="A512" s="3" t="s">
        <v>478</v>
      </c>
      <c r="B512" s="1" t="s">
        <v>2</v>
      </c>
      <c r="C512" s="1" t="s">
        <v>598</v>
      </c>
      <c r="D512" s="1" t="s">
        <v>23</v>
      </c>
      <c r="E512" s="1" t="s">
        <v>20</v>
      </c>
      <c r="F512" s="4">
        <v>0.6</v>
      </c>
      <c r="G512">
        <v>26</v>
      </c>
      <c r="H512">
        <v>63</v>
      </c>
      <c r="I512">
        <v>27.9</v>
      </c>
      <c r="J512">
        <v>13.8</v>
      </c>
      <c r="K512">
        <v>0.48</v>
      </c>
      <c r="L512">
        <v>4.3</v>
      </c>
      <c r="M512">
        <v>0.40600000000000003</v>
      </c>
      <c r="N512">
        <v>9.5</v>
      </c>
      <c r="O512">
        <v>0.51300000000000001</v>
      </c>
      <c r="P512">
        <v>0.54300000000000004</v>
      </c>
      <c r="Q512">
        <v>4</v>
      </c>
      <c r="R512">
        <v>0.86499999999999999</v>
      </c>
      <c r="S512">
        <v>2.7</v>
      </c>
      <c r="T512">
        <v>4.2</v>
      </c>
      <c r="U512">
        <v>0.7</v>
      </c>
      <c r="V512">
        <v>0.1</v>
      </c>
      <c r="W512">
        <v>2.5</v>
      </c>
      <c r="X512">
        <v>2.2999999999999998</v>
      </c>
      <c r="Y512">
        <v>18.399999999999999</v>
      </c>
      <c r="Z512">
        <v>6</v>
      </c>
      <c r="AA512">
        <v>-0.6</v>
      </c>
      <c r="AB512">
        <v>16.600000000000001</v>
      </c>
      <c r="AC512">
        <v>6.6000000000000003E-2</v>
      </c>
    </row>
    <row r="513" spans="1:29" x14ac:dyDescent="0.35">
      <c r="A513" s="3" t="s">
        <v>79</v>
      </c>
      <c r="B513" s="1" t="s">
        <v>26</v>
      </c>
      <c r="C513" s="1" t="s">
        <v>597</v>
      </c>
      <c r="D513" s="1" t="s">
        <v>23</v>
      </c>
      <c r="E513" s="1" t="s">
        <v>20</v>
      </c>
      <c r="F513" s="4">
        <v>2</v>
      </c>
      <c r="G513">
        <v>26</v>
      </c>
      <c r="H513">
        <v>64</v>
      </c>
      <c r="I513">
        <v>31.7</v>
      </c>
      <c r="J513">
        <v>17</v>
      </c>
      <c r="K513">
        <v>0.43099999999999999</v>
      </c>
      <c r="L513">
        <v>7</v>
      </c>
      <c r="M513">
        <v>0.313</v>
      </c>
      <c r="N513">
        <v>10</v>
      </c>
      <c r="O513">
        <v>0.51300000000000001</v>
      </c>
      <c r="P513">
        <v>0.495</v>
      </c>
      <c r="Q513">
        <v>4</v>
      </c>
      <c r="R513">
        <v>0.87</v>
      </c>
      <c r="S513">
        <v>7.5</v>
      </c>
      <c r="T513">
        <v>3.9</v>
      </c>
      <c r="U513">
        <v>0.7</v>
      </c>
      <c r="V513">
        <v>0.7</v>
      </c>
      <c r="W513">
        <v>2.1</v>
      </c>
      <c r="X513">
        <v>1.5</v>
      </c>
      <c r="Y513">
        <v>20.3</v>
      </c>
      <c r="Z513">
        <v>5</v>
      </c>
      <c r="AA513">
        <v>1.8</v>
      </c>
      <c r="AB513">
        <v>17.7</v>
      </c>
      <c r="AC513">
        <v>7.4999999999999997E-2</v>
      </c>
    </row>
    <row r="514" spans="1:29" x14ac:dyDescent="0.35">
      <c r="A514" s="3" t="s">
        <v>388</v>
      </c>
      <c r="B514" s="1" t="s">
        <v>2</v>
      </c>
      <c r="C514" s="1" t="s">
        <v>598</v>
      </c>
      <c r="D514" s="1" t="s">
        <v>23</v>
      </c>
      <c r="E514" s="1" t="s">
        <v>20</v>
      </c>
      <c r="F514" s="4">
        <v>0.1</v>
      </c>
      <c r="G514">
        <v>28</v>
      </c>
      <c r="H514">
        <v>31</v>
      </c>
      <c r="I514">
        <v>32.6</v>
      </c>
      <c r="J514">
        <v>15.9</v>
      </c>
      <c r="K514">
        <v>0.39300000000000002</v>
      </c>
      <c r="L514">
        <v>5.6</v>
      </c>
      <c r="M514">
        <v>0.29899999999999999</v>
      </c>
      <c r="N514">
        <v>10.3</v>
      </c>
      <c r="O514">
        <v>0.44400000000000001</v>
      </c>
      <c r="P514">
        <v>0.44500000000000001</v>
      </c>
      <c r="Q514">
        <v>4</v>
      </c>
      <c r="R514">
        <v>0.82299999999999995</v>
      </c>
      <c r="S514">
        <v>6.5</v>
      </c>
      <c r="T514">
        <v>7.4</v>
      </c>
      <c r="U514">
        <v>2</v>
      </c>
      <c r="V514">
        <v>0.4</v>
      </c>
      <c r="W514">
        <v>3.4</v>
      </c>
      <c r="X514">
        <v>2</v>
      </c>
      <c r="Y514">
        <v>17.5</v>
      </c>
      <c r="Z514">
        <v>8</v>
      </c>
      <c r="AA514">
        <v>-1.6</v>
      </c>
      <c r="AB514">
        <v>15.4</v>
      </c>
      <c r="AC514">
        <v>8.9999999999999993E-3</v>
      </c>
    </row>
    <row r="515" spans="1:29" x14ac:dyDescent="0.35">
      <c r="A515" s="3" t="s">
        <v>567</v>
      </c>
      <c r="B515" s="1" t="s">
        <v>2</v>
      </c>
      <c r="C515" s="1" t="s">
        <v>597</v>
      </c>
      <c r="D515" s="1" t="s">
        <v>23</v>
      </c>
      <c r="E515" s="1" t="s">
        <v>20</v>
      </c>
      <c r="F515" s="4">
        <v>0.7</v>
      </c>
      <c r="G515">
        <v>24</v>
      </c>
      <c r="H515">
        <v>74</v>
      </c>
      <c r="I515">
        <v>33.1</v>
      </c>
      <c r="J515">
        <v>15.1</v>
      </c>
      <c r="K515">
        <v>0.45300000000000001</v>
      </c>
      <c r="L515">
        <v>7.9</v>
      </c>
      <c r="M515">
        <v>0.37</v>
      </c>
      <c r="N515">
        <v>7.3</v>
      </c>
      <c r="O515">
        <v>0.54400000000000004</v>
      </c>
      <c r="P515">
        <v>0.55000000000000004</v>
      </c>
      <c r="Q515">
        <v>4.0999999999999996</v>
      </c>
      <c r="R515">
        <v>0.90200000000000002</v>
      </c>
      <c r="S515">
        <v>3.7</v>
      </c>
      <c r="T515">
        <v>4.5</v>
      </c>
      <c r="U515">
        <v>0.9</v>
      </c>
      <c r="V515">
        <v>0.2</v>
      </c>
      <c r="W515">
        <v>2.4</v>
      </c>
      <c r="X515">
        <v>2.1</v>
      </c>
      <c r="Y515">
        <v>20.399999999999999</v>
      </c>
      <c r="Z515">
        <v>5</v>
      </c>
      <c r="AA515">
        <v>-0.9</v>
      </c>
      <c r="AB515">
        <v>15.5</v>
      </c>
      <c r="AC515">
        <v>8.7999999999999995E-2</v>
      </c>
    </row>
    <row r="516" spans="1:29" x14ac:dyDescent="0.35">
      <c r="A516" s="3" t="s">
        <v>210</v>
      </c>
      <c r="B516" s="1" t="s">
        <v>2</v>
      </c>
      <c r="C516" s="1" t="s">
        <v>598</v>
      </c>
      <c r="D516" s="1" t="s">
        <v>23</v>
      </c>
      <c r="E516" s="1" t="s">
        <v>20</v>
      </c>
      <c r="F516" s="4">
        <v>1.7</v>
      </c>
      <c r="G516">
        <v>22</v>
      </c>
      <c r="H516">
        <v>82</v>
      </c>
      <c r="I516">
        <v>32.9</v>
      </c>
      <c r="J516">
        <v>17.5</v>
      </c>
      <c r="K516">
        <v>0.42299999999999999</v>
      </c>
      <c r="L516">
        <v>8.1</v>
      </c>
      <c r="M516">
        <v>0.35399999999999998</v>
      </c>
      <c r="N516">
        <v>9.5</v>
      </c>
      <c r="O516">
        <v>0.48199999999999998</v>
      </c>
      <c r="P516">
        <v>0.505</v>
      </c>
      <c r="Q516">
        <v>4.0999999999999996</v>
      </c>
      <c r="R516">
        <v>0.81299999999999994</v>
      </c>
      <c r="S516">
        <v>4.5999999999999996</v>
      </c>
      <c r="T516">
        <v>3.4</v>
      </c>
      <c r="U516">
        <v>0.9</v>
      </c>
      <c r="V516">
        <v>0.3</v>
      </c>
      <c r="W516">
        <v>2.5</v>
      </c>
      <c r="X516">
        <v>1.5</v>
      </c>
      <c r="Y516">
        <v>21</v>
      </c>
      <c r="Z516">
        <v>3</v>
      </c>
      <c r="AA516">
        <v>0.5</v>
      </c>
      <c r="AB516">
        <v>15.1</v>
      </c>
      <c r="AC516">
        <v>9.1999999999999998E-2</v>
      </c>
    </row>
    <row r="517" spans="1:29" x14ac:dyDescent="0.35">
      <c r="A517" s="3" t="s">
        <v>124</v>
      </c>
      <c r="B517" s="1" t="s">
        <v>26</v>
      </c>
      <c r="C517" s="1" t="s">
        <v>598</v>
      </c>
      <c r="D517" s="1" t="s">
        <v>23</v>
      </c>
      <c r="E517" s="1" t="s">
        <v>20</v>
      </c>
      <c r="F517" s="4">
        <v>0.9</v>
      </c>
      <c r="G517">
        <v>27</v>
      </c>
      <c r="H517">
        <v>40</v>
      </c>
      <c r="I517">
        <v>30.5</v>
      </c>
      <c r="J517">
        <v>13.3</v>
      </c>
      <c r="K517">
        <v>0.52700000000000002</v>
      </c>
      <c r="L517">
        <v>3.7</v>
      </c>
      <c r="M517">
        <v>0.39900000000000002</v>
      </c>
      <c r="N517">
        <v>9.6</v>
      </c>
      <c r="O517">
        <v>0.57699999999999996</v>
      </c>
      <c r="P517">
        <v>0.58299999999999996</v>
      </c>
      <c r="Q517">
        <v>4.0999999999999996</v>
      </c>
      <c r="R517">
        <v>0.84799999999999998</v>
      </c>
      <c r="S517">
        <v>8.1999999999999993</v>
      </c>
      <c r="T517">
        <v>2</v>
      </c>
      <c r="U517">
        <v>1</v>
      </c>
      <c r="V517">
        <v>1</v>
      </c>
      <c r="W517">
        <v>2.6</v>
      </c>
      <c r="X517">
        <v>2.9</v>
      </c>
      <c r="Y517">
        <v>19</v>
      </c>
      <c r="Z517">
        <v>7</v>
      </c>
      <c r="AA517">
        <v>1</v>
      </c>
      <c r="AB517">
        <v>19</v>
      </c>
      <c r="AC517">
        <v>9.8000000000000004E-2</v>
      </c>
    </row>
    <row r="518" spans="1:29" x14ac:dyDescent="0.35">
      <c r="A518" s="3" t="s">
        <v>563</v>
      </c>
      <c r="B518" s="1" t="s">
        <v>18</v>
      </c>
      <c r="C518" s="1" t="s">
        <v>598</v>
      </c>
      <c r="D518" s="1" t="s">
        <v>19</v>
      </c>
      <c r="E518" s="1" t="s">
        <v>20</v>
      </c>
      <c r="F518" s="4">
        <v>3.3</v>
      </c>
      <c r="G518">
        <v>21</v>
      </c>
      <c r="H518">
        <v>46</v>
      </c>
      <c r="I518">
        <v>33.200000000000003</v>
      </c>
      <c r="J518">
        <v>18.600000000000001</v>
      </c>
      <c r="K518">
        <v>0.47599999999999998</v>
      </c>
      <c r="L518">
        <v>8.8000000000000007</v>
      </c>
      <c r="M518">
        <v>0.35199999999999998</v>
      </c>
      <c r="N518">
        <v>9.9</v>
      </c>
      <c r="O518">
        <v>0.58599999999999997</v>
      </c>
      <c r="P518">
        <v>0.55900000000000005</v>
      </c>
      <c r="Q518">
        <v>4.0999999999999996</v>
      </c>
      <c r="R518">
        <v>0.83599999999999997</v>
      </c>
      <c r="S518">
        <v>11</v>
      </c>
      <c r="T518">
        <v>3.7</v>
      </c>
      <c r="U518">
        <v>1.1000000000000001</v>
      </c>
      <c r="V518">
        <v>3.8</v>
      </c>
      <c r="W518">
        <v>3.2</v>
      </c>
      <c r="X518">
        <v>2.2999999999999998</v>
      </c>
      <c r="Y518">
        <v>24.3</v>
      </c>
      <c r="Z518">
        <v>1</v>
      </c>
      <c r="AA518">
        <v>6.5</v>
      </c>
      <c r="AB518">
        <v>24.2</v>
      </c>
      <c r="AC518">
        <v>0.11799999999999999</v>
      </c>
    </row>
    <row r="519" spans="1:29" x14ac:dyDescent="0.35">
      <c r="A519" s="3" t="s">
        <v>467</v>
      </c>
      <c r="B519" s="1" t="s">
        <v>18</v>
      </c>
      <c r="C519" s="1" t="s">
        <v>598</v>
      </c>
      <c r="D519" s="1" t="s">
        <v>33</v>
      </c>
      <c r="E519" s="1" t="s">
        <v>20</v>
      </c>
      <c r="F519" s="4">
        <v>4.4000000000000004</v>
      </c>
      <c r="G519">
        <v>28</v>
      </c>
      <c r="H519">
        <v>70</v>
      </c>
      <c r="I519">
        <v>34.700000000000003</v>
      </c>
      <c r="J519">
        <v>12.8</v>
      </c>
      <c r="K519">
        <v>0.59</v>
      </c>
      <c r="L519">
        <v>2.2000000000000002</v>
      </c>
      <c r="M519">
        <v>0.41699999999999998</v>
      </c>
      <c r="N519">
        <v>10.5</v>
      </c>
      <c r="O519">
        <v>0.627</v>
      </c>
      <c r="P519">
        <v>0.627</v>
      </c>
      <c r="Q519">
        <v>4.0999999999999996</v>
      </c>
      <c r="R519">
        <v>0.754</v>
      </c>
      <c r="S519">
        <v>13.9</v>
      </c>
      <c r="T519">
        <v>6</v>
      </c>
      <c r="U519">
        <v>0.7</v>
      </c>
      <c r="V519">
        <v>0.4</v>
      </c>
      <c r="W519">
        <v>2.9</v>
      </c>
      <c r="X519">
        <v>3.3</v>
      </c>
      <c r="Y519">
        <v>19.100000000000001</v>
      </c>
      <c r="Z519">
        <v>8</v>
      </c>
      <c r="AA519">
        <v>5.2</v>
      </c>
      <c r="AB519">
        <v>22.9</v>
      </c>
      <c r="AC519">
        <v>0.19900000000000001</v>
      </c>
    </row>
    <row r="520" spans="1:29" x14ac:dyDescent="0.35">
      <c r="A520" s="3" t="s">
        <v>241</v>
      </c>
      <c r="B520" s="1" t="s">
        <v>18</v>
      </c>
      <c r="C520" s="1" t="s">
        <v>598</v>
      </c>
      <c r="D520" s="1" t="s">
        <v>23</v>
      </c>
      <c r="E520" s="1" t="s">
        <v>20</v>
      </c>
      <c r="F520" s="4">
        <v>1</v>
      </c>
      <c r="G520">
        <v>22</v>
      </c>
      <c r="H520">
        <v>32</v>
      </c>
      <c r="I520">
        <v>27.4</v>
      </c>
      <c r="J520">
        <v>10.7</v>
      </c>
      <c r="K520">
        <v>0.49</v>
      </c>
      <c r="L520">
        <v>3.6</v>
      </c>
      <c r="M520">
        <v>0.379</v>
      </c>
      <c r="N520">
        <v>7</v>
      </c>
      <c r="O520">
        <v>0.54700000000000004</v>
      </c>
      <c r="P520">
        <v>0.55400000000000005</v>
      </c>
      <c r="Q520">
        <v>4.2</v>
      </c>
      <c r="R520">
        <v>0.754</v>
      </c>
      <c r="S520">
        <v>8</v>
      </c>
      <c r="T520">
        <v>2</v>
      </c>
      <c r="U520">
        <v>0.7</v>
      </c>
      <c r="V520">
        <v>2.2000000000000002</v>
      </c>
      <c r="W520">
        <v>1.8</v>
      </c>
      <c r="X520">
        <v>2.2999999999999998</v>
      </c>
      <c r="Y520">
        <v>15</v>
      </c>
      <c r="Z520">
        <v>2</v>
      </c>
      <c r="AA520">
        <v>2.4</v>
      </c>
      <c r="AB520">
        <v>19.2</v>
      </c>
      <c r="AC520">
        <v>0.17299999999999999</v>
      </c>
    </row>
    <row r="521" spans="1:29" x14ac:dyDescent="0.35">
      <c r="A521" s="3" t="s">
        <v>107</v>
      </c>
      <c r="B521" s="1" t="s">
        <v>2</v>
      </c>
      <c r="C521" s="1" t="s">
        <v>598</v>
      </c>
      <c r="D521" s="1" t="s">
        <v>23</v>
      </c>
      <c r="E521" s="1" t="s">
        <v>20</v>
      </c>
      <c r="F521" s="4">
        <v>-0.6</v>
      </c>
      <c r="G521">
        <v>20</v>
      </c>
      <c r="H521">
        <v>81</v>
      </c>
      <c r="I521">
        <v>26.7</v>
      </c>
      <c r="J521">
        <v>12.2</v>
      </c>
      <c r="K521">
        <v>0.42799999999999999</v>
      </c>
      <c r="L521">
        <v>4.0999999999999996</v>
      </c>
      <c r="M521">
        <v>0.28499999999999998</v>
      </c>
      <c r="N521">
        <v>8.1</v>
      </c>
      <c r="O521">
        <v>0.501</v>
      </c>
      <c r="P521">
        <v>0.47599999999999998</v>
      </c>
      <c r="Q521">
        <v>4.2</v>
      </c>
      <c r="R521">
        <v>0.72399999999999998</v>
      </c>
      <c r="S521">
        <v>3.7</v>
      </c>
      <c r="T521">
        <v>4.0999999999999996</v>
      </c>
      <c r="U521">
        <v>0.9</v>
      </c>
      <c r="V521">
        <v>0.3</v>
      </c>
      <c r="W521">
        <v>2.2000000000000002</v>
      </c>
      <c r="X521">
        <v>2</v>
      </c>
      <c r="Y521">
        <v>14.7</v>
      </c>
      <c r="Z521">
        <v>0</v>
      </c>
      <c r="AA521">
        <v>-3.2</v>
      </c>
      <c r="AB521">
        <v>13.7</v>
      </c>
      <c r="AC521">
        <v>2.5000000000000001E-2</v>
      </c>
    </row>
    <row r="522" spans="1:29" x14ac:dyDescent="0.35">
      <c r="A522" s="3" t="s">
        <v>234</v>
      </c>
      <c r="B522" s="1" t="s">
        <v>2</v>
      </c>
      <c r="C522" s="1" t="s">
        <v>597</v>
      </c>
      <c r="D522" s="1" t="s">
        <v>23</v>
      </c>
      <c r="E522" s="1" t="s">
        <v>20</v>
      </c>
      <c r="F522" s="4">
        <v>3.5</v>
      </c>
      <c r="G522">
        <v>25</v>
      </c>
      <c r="H522">
        <v>77</v>
      </c>
      <c r="I522">
        <v>35.4</v>
      </c>
      <c r="J522">
        <v>17.899999999999999</v>
      </c>
      <c r="K522">
        <v>0.47199999999999998</v>
      </c>
      <c r="L522">
        <v>8.6999999999999993</v>
      </c>
      <c r="M522">
        <v>0.375</v>
      </c>
      <c r="N522">
        <v>9.1999999999999993</v>
      </c>
      <c r="O522">
        <v>0.56499999999999995</v>
      </c>
      <c r="P522">
        <v>0.56299999999999994</v>
      </c>
      <c r="Q522">
        <v>4.2</v>
      </c>
      <c r="R522">
        <v>0.878</v>
      </c>
      <c r="S522">
        <v>5.2</v>
      </c>
      <c r="T522">
        <v>5.5</v>
      </c>
      <c r="U522">
        <v>0.9</v>
      </c>
      <c r="V522">
        <v>0.2</v>
      </c>
      <c r="W522">
        <v>2.6</v>
      </c>
      <c r="X522">
        <v>1.1000000000000001</v>
      </c>
      <c r="Y522">
        <v>23.9</v>
      </c>
      <c r="Z522">
        <v>5</v>
      </c>
      <c r="AA522">
        <v>3.1</v>
      </c>
      <c r="AB522">
        <v>19.7</v>
      </c>
      <c r="AC522">
        <v>0.13100000000000001</v>
      </c>
    </row>
    <row r="523" spans="1:29" x14ac:dyDescent="0.35">
      <c r="A523" s="3" t="s">
        <v>22</v>
      </c>
      <c r="B523" s="1" t="s">
        <v>18</v>
      </c>
      <c r="C523" s="1" t="s">
        <v>597</v>
      </c>
      <c r="D523" s="1" t="s">
        <v>23</v>
      </c>
      <c r="E523" s="1" t="s">
        <v>20</v>
      </c>
      <c r="F523" s="4">
        <v>2.7</v>
      </c>
      <c r="G523">
        <v>27</v>
      </c>
      <c r="H523">
        <v>78</v>
      </c>
      <c r="I523">
        <v>34.299999999999997</v>
      </c>
      <c r="J523">
        <v>14.3</v>
      </c>
      <c r="K523">
        <v>0.48499999999999999</v>
      </c>
      <c r="L523">
        <v>2.8</v>
      </c>
      <c r="M523">
        <v>0.35699999999999998</v>
      </c>
      <c r="N523">
        <v>11.4</v>
      </c>
      <c r="O523">
        <v>0.51700000000000002</v>
      </c>
      <c r="P523">
        <v>0.52100000000000002</v>
      </c>
      <c r="Q523">
        <v>4.2</v>
      </c>
      <c r="R523">
        <v>0.76500000000000001</v>
      </c>
      <c r="S523">
        <v>9.6</v>
      </c>
      <c r="T523">
        <v>4.3</v>
      </c>
      <c r="U523">
        <v>1.3</v>
      </c>
      <c r="V523">
        <v>0.7</v>
      </c>
      <c r="W523">
        <v>2.1</v>
      </c>
      <c r="X523">
        <v>2.1</v>
      </c>
      <c r="Y523">
        <v>18.100000000000001</v>
      </c>
      <c r="Z523">
        <v>7</v>
      </c>
      <c r="AA523">
        <v>2</v>
      </c>
      <c r="AB523">
        <v>18.899999999999999</v>
      </c>
      <c r="AC523">
        <v>0.13500000000000001</v>
      </c>
    </row>
    <row r="524" spans="1:29" x14ac:dyDescent="0.35">
      <c r="A524" s="3" t="s">
        <v>194</v>
      </c>
      <c r="B524" s="1" t="s">
        <v>2</v>
      </c>
      <c r="C524" s="1" t="s">
        <v>598</v>
      </c>
      <c r="D524" s="1" t="s">
        <v>23</v>
      </c>
      <c r="E524" s="1" t="s">
        <v>20</v>
      </c>
      <c r="F524" s="4">
        <v>-0.3</v>
      </c>
      <c r="G524">
        <v>21</v>
      </c>
      <c r="H524">
        <v>67</v>
      </c>
      <c r="I524">
        <v>31.5</v>
      </c>
      <c r="J524">
        <v>13.7</v>
      </c>
      <c r="K524">
        <v>0.39100000000000001</v>
      </c>
      <c r="L524">
        <v>7.6</v>
      </c>
      <c r="M524">
        <v>0.34300000000000003</v>
      </c>
      <c r="N524">
        <v>6.1</v>
      </c>
      <c r="O524">
        <v>0.44900000000000001</v>
      </c>
      <c r="P524">
        <v>0.48499999999999999</v>
      </c>
      <c r="Q524">
        <v>4.3</v>
      </c>
      <c r="R524">
        <v>0.81799999999999995</v>
      </c>
      <c r="S524">
        <v>3.8</v>
      </c>
      <c r="T524">
        <v>5.6</v>
      </c>
      <c r="U524">
        <v>0.7</v>
      </c>
      <c r="V524">
        <v>0.1</v>
      </c>
      <c r="W524">
        <v>2.7</v>
      </c>
      <c r="X524">
        <v>1.7</v>
      </c>
      <c r="Y524">
        <v>16.8</v>
      </c>
      <c r="Z524">
        <v>1</v>
      </c>
      <c r="AA524">
        <v>-2.7</v>
      </c>
      <c r="AB524">
        <v>12.9</v>
      </c>
      <c r="AC524">
        <v>2.4E-2</v>
      </c>
    </row>
    <row r="525" spans="1:29" x14ac:dyDescent="0.35">
      <c r="A525" s="3" t="s">
        <v>137</v>
      </c>
      <c r="B525" s="1" t="s">
        <v>2</v>
      </c>
      <c r="C525" s="1" t="s">
        <v>598</v>
      </c>
      <c r="D525" s="1" t="s">
        <v>23</v>
      </c>
      <c r="E525" s="1" t="s">
        <v>20</v>
      </c>
      <c r="F525" s="4">
        <v>4.8</v>
      </c>
      <c r="G525">
        <v>36</v>
      </c>
      <c r="H525">
        <v>70</v>
      </c>
      <c r="I525">
        <v>32.200000000000003</v>
      </c>
      <c r="J525">
        <v>18</v>
      </c>
      <c r="K525">
        <v>0.44800000000000001</v>
      </c>
      <c r="L525">
        <v>11.2</v>
      </c>
      <c r="M525">
        <v>0.39700000000000002</v>
      </c>
      <c r="N525">
        <v>6.8</v>
      </c>
      <c r="O525">
        <v>0.53400000000000003</v>
      </c>
      <c r="P525">
        <v>0.57199999999999995</v>
      </c>
      <c r="Q525">
        <v>4.3</v>
      </c>
      <c r="R525">
        <v>0.93300000000000005</v>
      </c>
      <c r="S525">
        <v>4.4000000000000004</v>
      </c>
      <c r="T525">
        <v>6</v>
      </c>
      <c r="U525">
        <v>1.1000000000000001</v>
      </c>
      <c r="V525">
        <v>0.4</v>
      </c>
      <c r="W525">
        <v>2.9</v>
      </c>
      <c r="X525">
        <v>1.4</v>
      </c>
      <c r="Y525">
        <v>24.5</v>
      </c>
      <c r="Z525">
        <v>15</v>
      </c>
      <c r="AA525">
        <v>6.3</v>
      </c>
      <c r="AB525">
        <v>21.5</v>
      </c>
      <c r="AC525">
        <v>0.16800000000000001</v>
      </c>
    </row>
    <row r="526" spans="1:29" x14ac:dyDescent="0.35">
      <c r="A526" s="3" t="s">
        <v>387</v>
      </c>
      <c r="B526" s="1" t="s">
        <v>26</v>
      </c>
      <c r="C526" s="1" t="s">
        <v>598</v>
      </c>
      <c r="D526" s="1" t="s">
        <v>23</v>
      </c>
      <c r="E526" s="1" t="s">
        <v>20</v>
      </c>
      <c r="F526" s="4">
        <v>1.3</v>
      </c>
      <c r="G526">
        <v>24</v>
      </c>
      <c r="H526">
        <v>53</v>
      </c>
      <c r="I526">
        <v>35</v>
      </c>
      <c r="J526">
        <v>15.8</v>
      </c>
      <c r="K526">
        <v>0.45400000000000001</v>
      </c>
      <c r="L526">
        <v>8.3000000000000007</v>
      </c>
      <c r="M526">
        <v>0.36099999999999999</v>
      </c>
      <c r="N526">
        <v>7.6</v>
      </c>
      <c r="O526">
        <v>0.55600000000000005</v>
      </c>
      <c r="P526">
        <v>0.54800000000000004</v>
      </c>
      <c r="Q526">
        <v>4.3</v>
      </c>
      <c r="R526">
        <v>0.88700000000000001</v>
      </c>
      <c r="S526">
        <v>5.0999999999999996</v>
      </c>
      <c r="T526">
        <v>3.5</v>
      </c>
      <c r="U526">
        <v>1.1000000000000001</v>
      </c>
      <c r="V526">
        <v>0.7</v>
      </c>
      <c r="W526">
        <v>1.9</v>
      </c>
      <c r="X526">
        <v>2.1</v>
      </c>
      <c r="Y526">
        <v>21.2</v>
      </c>
      <c r="Z526">
        <v>3</v>
      </c>
      <c r="AA526">
        <v>0.8</v>
      </c>
      <c r="AB526">
        <v>17.3</v>
      </c>
      <c r="AC526">
        <v>9.0999999999999998E-2</v>
      </c>
    </row>
    <row r="527" spans="1:29" x14ac:dyDescent="0.35">
      <c r="A527" s="3" t="s">
        <v>572</v>
      </c>
      <c r="B527" s="1" t="s">
        <v>26</v>
      </c>
      <c r="C527" s="1" t="s">
        <v>35</v>
      </c>
      <c r="D527" s="1" t="s">
        <v>19</v>
      </c>
      <c r="E527" s="1" t="s">
        <v>20</v>
      </c>
      <c r="F527" s="4">
        <v>1.4</v>
      </c>
      <c r="G527">
        <v>29</v>
      </c>
      <c r="H527">
        <v>60</v>
      </c>
      <c r="I527">
        <v>30.7</v>
      </c>
      <c r="J527">
        <v>14</v>
      </c>
      <c r="K527">
        <v>0.44800000000000001</v>
      </c>
      <c r="L527">
        <v>5.8</v>
      </c>
      <c r="M527">
        <v>0.374</v>
      </c>
      <c r="N527">
        <v>8.1999999999999993</v>
      </c>
      <c r="O527">
        <v>0.501</v>
      </c>
      <c r="P527">
        <v>0.52600000000000002</v>
      </c>
      <c r="Q527">
        <v>4.3</v>
      </c>
      <c r="R527">
        <v>0.76300000000000001</v>
      </c>
      <c r="S527">
        <v>4.5</v>
      </c>
      <c r="T527">
        <v>2.6</v>
      </c>
      <c r="U527">
        <v>1</v>
      </c>
      <c r="V527">
        <v>0.8</v>
      </c>
      <c r="W527">
        <v>1.7</v>
      </c>
      <c r="X527">
        <v>1.7</v>
      </c>
      <c r="Y527">
        <v>18</v>
      </c>
      <c r="Z527">
        <v>10</v>
      </c>
      <c r="AA527">
        <v>0.9</v>
      </c>
      <c r="AB527">
        <v>16.399999999999999</v>
      </c>
      <c r="AC527">
        <v>0.104</v>
      </c>
    </row>
    <row r="528" spans="1:29" x14ac:dyDescent="0.35">
      <c r="A528" s="3" t="s">
        <v>377</v>
      </c>
      <c r="B528" s="1" t="s">
        <v>26</v>
      </c>
      <c r="C528" s="1" t="s">
        <v>597</v>
      </c>
      <c r="D528" s="1" t="s">
        <v>23</v>
      </c>
      <c r="E528" s="1" t="s">
        <v>20</v>
      </c>
      <c r="F528" s="4">
        <v>3.6</v>
      </c>
      <c r="G528">
        <v>23</v>
      </c>
      <c r="H528">
        <v>71</v>
      </c>
      <c r="I528">
        <v>30.5</v>
      </c>
      <c r="J528">
        <v>12.8</v>
      </c>
      <c r="K528">
        <v>0.55700000000000005</v>
      </c>
      <c r="L528">
        <v>3.2</v>
      </c>
      <c r="M528">
        <v>0.37</v>
      </c>
      <c r="N528">
        <v>9.5</v>
      </c>
      <c r="O528">
        <v>0.621</v>
      </c>
      <c r="P528">
        <v>0.60399999999999998</v>
      </c>
      <c r="Q528">
        <v>4.3</v>
      </c>
      <c r="R528">
        <v>0.72499999999999998</v>
      </c>
      <c r="S528">
        <v>9.3000000000000007</v>
      </c>
      <c r="T528">
        <v>3.2</v>
      </c>
      <c r="U528">
        <v>0.9</v>
      </c>
      <c r="V528">
        <v>1.6</v>
      </c>
      <c r="W528">
        <v>2</v>
      </c>
      <c r="X528">
        <v>2</v>
      </c>
      <c r="Y528">
        <v>18.5</v>
      </c>
      <c r="Z528">
        <v>3</v>
      </c>
      <c r="AA528">
        <v>4.5999999999999996</v>
      </c>
      <c r="AB528">
        <v>22.3</v>
      </c>
      <c r="AC528">
        <v>0.2</v>
      </c>
    </row>
    <row r="529" spans="1:29" x14ac:dyDescent="0.35">
      <c r="A529" s="3" t="s">
        <v>256</v>
      </c>
      <c r="B529" s="1" t="s">
        <v>2</v>
      </c>
      <c r="C529" s="1" t="s">
        <v>598</v>
      </c>
      <c r="D529" s="1" t="s">
        <v>33</v>
      </c>
      <c r="E529" s="1" t="s">
        <v>20</v>
      </c>
      <c r="F529" s="4">
        <v>2.5</v>
      </c>
      <c r="G529">
        <v>32</v>
      </c>
      <c r="H529">
        <v>50</v>
      </c>
      <c r="I529">
        <v>36.1</v>
      </c>
      <c r="J529">
        <v>18.899999999999999</v>
      </c>
      <c r="K529">
        <v>0.47299999999999998</v>
      </c>
      <c r="L529">
        <v>7.2</v>
      </c>
      <c r="M529">
        <v>0.40100000000000002</v>
      </c>
      <c r="N529">
        <v>11.7</v>
      </c>
      <c r="O529">
        <v>0.51700000000000002</v>
      </c>
      <c r="P529">
        <v>0.54900000000000004</v>
      </c>
      <c r="Q529">
        <v>4.3</v>
      </c>
      <c r="R529">
        <v>0.91600000000000004</v>
      </c>
      <c r="S529">
        <v>4.8</v>
      </c>
      <c r="T529">
        <v>4.5999999999999996</v>
      </c>
      <c r="U529">
        <v>1.3</v>
      </c>
      <c r="V529">
        <v>0.5</v>
      </c>
      <c r="W529">
        <v>2.2000000000000002</v>
      </c>
      <c r="X529">
        <v>2</v>
      </c>
      <c r="Y529">
        <v>24.7</v>
      </c>
      <c r="Z529">
        <v>13</v>
      </c>
      <c r="AA529">
        <v>3.4</v>
      </c>
      <c r="AB529">
        <v>19.899999999999999</v>
      </c>
      <c r="AC529">
        <v>0.124</v>
      </c>
    </row>
    <row r="530" spans="1:29" x14ac:dyDescent="0.35">
      <c r="A530" s="3" t="s">
        <v>577</v>
      </c>
      <c r="B530" s="1" t="s">
        <v>2</v>
      </c>
      <c r="C530" s="1" t="s">
        <v>598</v>
      </c>
      <c r="D530" s="1" t="s">
        <v>23</v>
      </c>
      <c r="E530" s="1" t="s">
        <v>20</v>
      </c>
      <c r="F530" s="4">
        <v>3.4</v>
      </c>
      <c r="G530">
        <v>23</v>
      </c>
      <c r="H530">
        <v>69</v>
      </c>
      <c r="I530">
        <v>32.4</v>
      </c>
      <c r="J530">
        <v>16.899999999999999</v>
      </c>
      <c r="K530">
        <v>0.48399999999999999</v>
      </c>
      <c r="L530">
        <v>4.9000000000000004</v>
      </c>
      <c r="M530">
        <v>0.36499999999999999</v>
      </c>
      <c r="N530">
        <v>12</v>
      </c>
      <c r="O530">
        <v>0.53300000000000003</v>
      </c>
      <c r="P530">
        <v>0.53700000000000003</v>
      </c>
      <c r="Q530">
        <v>4.3</v>
      </c>
      <c r="R530">
        <v>0.78900000000000003</v>
      </c>
      <c r="S530">
        <v>5.3</v>
      </c>
      <c r="T530">
        <v>5.0999999999999996</v>
      </c>
      <c r="U530">
        <v>1.6</v>
      </c>
      <c r="V530">
        <v>0.7</v>
      </c>
      <c r="W530">
        <v>2.2000000000000002</v>
      </c>
      <c r="X530">
        <v>2.2999999999999998</v>
      </c>
      <c r="Y530">
        <v>21.6</v>
      </c>
      <c r="Z530">
        <v>2</v>
      </c>
      <c r="AA530">
        <v>4</v>
      </c>
      <c r="AB530">
        <v>20.3</v>
      </c>
      <c r="AC530">
        <v>0.16800000000000001</v>
      </c>
    </row>
    <row r="531" spans="1:29" x14ac:dyDescent="0.35">
      <c r="A531" s="3" t="s">
        <v>434</v>
      </c>
      <c r="B531" s="1" t="s">
        <v>2</v>
      </c>
      <c r="C531" s="1" t="s">
        <v>598</v>
      </c>
      <c r="D531" s="1" t="s">
        <v>23</v>
      </c>
      <c r="E531" s="1" t="s">
        <v>50</v>
      </c>
      <c r="F531" s="4">
        <v>1.8</v>
      </c>
      <c r="G531">
        <v>31</v>
      </c>
      <c r="H531">
        <v>60</v>
      </c>
      <c r="I531">
        <v>32.6</v>
      </c>
      <c r="J531">
        <v>15.8</v>
      </c>
      <c r="K531">
        <v>0.48399999999999999</v>
      </c>
      <c r="L531">
        <v>7.1</v>
      </c>
      <c r="M531">
        <v>0.41799999999999998</v>
      </c>
      <c r="N531">
        <v>8.6</v>
      </c>
      <c r="O531">
        <v>0.53800000000000003</v>
      </c>
      <c r="P531">
        <v>0.57799999999999996</v>
      </c>
      <c r="Q531">
        <v>4.4000000000000004</v>
      </c>
      <c r="R531">
        <v>0.80400000000000005</v>
      </c>
      <c r="S531">
        <v>3.2</v>
      </c>
      <c r="T531">
        <v>2.1</v>
      </c>
      <c r="U531">
        <v>1.2</v>
      </c>
      <c r="V531">
        <v>0.2</v>
      </c>
      <c r="W531">
        <v>1.8</v>
      </c>
      <c r="X531">
        <v>1.9</v>
      </c>
      <c r="Y531">
        <v>21.8</v>
      </c>
      <c r="Z531">
        <v>9</v>
      </c>
      <c r="AA531">
        <v>1.5</v>
      </c>
      <c r="AB531">
        <v>17.5</v>
      </c>
      <c r="AC531">
        <v>0.129</v>
      </c>
    </row>
    <row r="532" spans="1:29" x14ac:dyDescent="0.35">
      <c r="A532" s="3" t="s">
        <v>345</v>
      </c>
      <c r="B532" s="1" t="s">
        <v>26</v>
      </c>
      <c r="C532" s="1" t="s">
        <v>597</v>
      </c>
      <c r="D532" s="1" t="s">
        <v>19</v>
      </c>
      <c r="E532" s="1" t="s">
        <v>20</v>
      </c>
      <c r="F532" s="4">
        <v>-0.5</v>
      </c>
      <c r="G532">
        <v>22</v>
      </c>
      <c r="H532">
        <v>72</v>
      </c>
      <c r="I532">
        <v>29.8</v>
      </c>
      <c r="J532">
        <v>11.8</v>
      </c>
      <c r="K532">
        <v>0.45800000000000002</v>
      </c>
      <c r="L532">
        <v>4</v>
      </c>
      <c r="M532">
        <v>0.34</v>
      </c>
      <c r="N532">
        <v>7.8</v>
      </c>
      <c r="O532">
        <v>0.51900000000000002</v>
      </c>
      <c r="P532">
        <v>0.51600000000000001</v>
      </c>
      <c r="Q532">
        <v>4.5999999999999996</v>
      </c>
      <c r="R532">
        <v>0.83099999999999996</v>
      </c>
      <c r="S532">
        <v>5.3</v>
      </c>
      <c r="T532">
        <v>1.9</v>
      </c>
      <c r="U532">
        <v>0.7</v>
      </c>
      <c r="V532">
        <v>0.3</v>
      </c>
      <c r="W532">
        <v>1.9</v>
      </c>
      <c r="X532">
        <v>2.2999999999999998</v>
      </c>
      <c r="Y532">
        <v>16.100000000000001</v>
      </c>
      <c r="Z532">
        <v>2</v>
      </c>
      <c r="AA532">
        <v>-2.9</v>
      </c>
      <c r="AB532">
        <v>13.6</v>
      </c>
      <c r="AC532">
        <v>6.8000000000000005E-2</v>
      </c>
    </row>
    <row r="533" spans="1:29" x14ac:dyDescent="0.35">
      <c r="A533" s="3" t="s">
        <v>53</v>
      </c>
      <c r="B533" s="1" t="s">
        <v>26</v>
      </c>
      <c r="C533" s="1" t="s">
        <v>597</v>
      </c>
      <c r="D533" s="1" t="s">
        <v>23</v>
      </c>
      <c r="E533" s="1" t="s">
        <v>20</v>
      </c>
      <c r="F533" s="4">
        <v>2.2999999999999998</v>
      </c>
      <c r="G533">
        <v>23</v>
      </c>
      <c r="H533">
        <v>65</v>
      </c>
      <c r="I533">
        <v>32.799999999999997</v>
      </c>
      <c r="J533">
        <v>16.399999999999999</v>
      </c>
      <c r="K533">
        <v>0.44600000000000001</v>
      </c>
      <c r="L533">
        <v>4.3</v>
      </c>
      <c r="M533">
        <v>0.27100000000000002</v>
      </c>
      <c r="N533">
        <v>12</v>
      </c>
      <c r="O533">
        <v>0.50800000000000001</v>
      </c>
      <c r="P533">
        <v>0.48199999999999998</v>
      </c>
      <c r="Q533">
        <v>4.5999999999999996</v>
      </c>
      <c r="R533">
        <v>0.755</v>
      </c>
      <c r="S533">
        <v>7.7</v>
      </c>
      <c r="T533">
        <v>5.8</v>
      </c>
      <c r="U533">
        <v>1.4</v>
      </c>
      <c r="V533">
        <v>1</v>
      </c>
      <c r="W533">
        <v>2.8</v>
      </c>
      <c r="X533">
        <v>1.7</v>
      </c>
      <c r="Y533">
        <v>19.3</v>
      </c>
      <c r="Z533">
        <v>3</v>
      </c>
      <c r="AA533">
        <v>2.4</v>
      </c>
      <c r="AB533">
        <v>17.8</v>
      </c>
      <c r="AC533">
        <v>7.8E-2</v>
      </c>
    </row>
    <row r="534" spans="1:29" x14ac:dyDescent="0.35">
      <c r="A534" s="3" t="s">
        <v>430</v>
      </c>
      <c r="B534" s="1" t="s">
        <v>18</v>
      </c>
      <c r="C534" s="1" t="s">
        <v>597</v>
      </c>
      <c r="D534" s="1" t="s">
        <v>19</v>
      </c>
      <c r="E534" s="1" t="s">
        <v>20</v>
      </c>
      <c r="F534" s="4">
        <v>2.1</v>
      </c>
      <c r="G534">
        <v>29</v>
      </c>
      <c r="H534">
        <v>42</v>
      </c>
      <c r="I534">
        <v>28.8</v>
      </c>
      <c r="J534">
        <v>13.7</v>
      </c>
      <c r="K534">
        <v>0.48299999999999998</v>
      </c>
      <c r="L534">
        <v>6</v>
      </c>
      <c r="M534">
        <v>0.41199999999999998</v>
      </c>
      <c r="N534">
        <v>7.7</v>
      </c>
      <c r="O534">
        <v>0.53700000000000003</v>
      </c>
      <c r="P534">
        <v>0.57199999999999995</v>
      </c>
      <c r="Q534">
        <v>4.7</v>
      </c>
      <c r="R534">
        <v>0.80900000000000005</v>
      </c>
      <c r="S534">
        <v>6.8</v>
      </c>
      <c r="T534">
        <v>2.1</v>
      </c>
      <c r="U534">
        <v>0.7</v>
      </c>
      <c r="V534">
        <v>1.5</v>
      </c>
      <c r="W534">
        <v>1.3</v>
      </c>
      <c r="X534">
        <v>2.8</v>
      </c>
      <c r="Y534">
        <v>19.5</v>
      </c>
      <c r="Z534">
        <v>9</v>
      </c>
      <c r="AA534">
        <v>4.7</v>
      </c>
      <c r="AB534">
        <v>22.3</v>
      </c>
      <c r="AC534">
        <v>0.21199999999999999</v>
      </c>
    </row>
    <row r="535" spans="1:29" x14ac:dyDescent="0.35">
      <c r="A535" s="3" t="s">
        <v>267</v>
      </c>
      <c r="B535" s="1" t="s">
        <v>26</v>
      </c>
      <c r="C535" s="1" t="s">
        <v>598</v>
      </c>
      <c r="D535" s="1" t="s">
        <v>23</v>
      </c>
      <c r="E535" s="1" t="s">
        <v>20</v>
      </c>
      <c r="F535" s="4">
        <v>4.7</v>
      </c>
      <c r="G535">
        <v>40</v>
      </c>
      <c r="H535">
        <v>70</v>
      </c>
      <c r="I535">
        <v>34.9</v>
      </c>
      <c r="J535">
        <v>18.100000000000001</v>
      </c>
      <c r="K535">
        <v>0.51300000000000001</v>
      </c>
      <c r="L535">
        <v>5.7</v>
      </c>
      <c r="M535">
        <v>0.376</v>
      </c>
      <c r="N535">
        <v>12.5</v>
      </c>
      <c r="O535">
        <v>0.57399999999999995</v>
      </c>
      <c r="P535">
        <v>0.57099999999999995</v>
      </c>
      <c r="Q535">
        <v>4.7</v>
      </c>
      <c r="R535">
        <v>0.78200000000000003</v>
      </c>
      <c r="S535">
        <v>7.8</v>
      </c>
      <c r="T535">
        <v>8.1999999999999993</v>
      </c>
      <c r="U535">
        <v>1</v>
      </c>
      <c r="V535">
        <v>0.6</v>
      </c>
      <c r="W535">
        <v>3.7</v>
      </c>
      <c r="X535">
        <v>1.4</v>
      </c>
      <c r="Y535">
        <v>24.4</v>
      </c>
      <c r="Z535">
        <v>21</v>
      </c>
      <c r="AA535">
        <v>5.6</v>
      </c>
      <c r="AB535">
        <v>22.7</v>
      </c>
      <c r="AC535">
        <v>0.152</v>
      </c>
    </row>
    <row r="536" spans="1:29" x14ac:dyDescent="0.35">
      <c r="A536" s="3" t="s">
        <v>443</v>
      </c>
      <c r="B536" s="1" t="s">
        <v>26</v>
      </c>
      <c r="C536" s="1" t="s">
        <v>598</v>
      </c>
      <c r="D536" s="1" t="s">
        <v>23</v>
      </c>
      <c r="E536" s="1" t="s">
        <v>20</v>
      </c>
      <c r="F536" s="4">
        <v>1.8</v>
      </c>
      <c r="G536">
        <v>30</v>
      </c>
      <c r="H536">
        <v>69</v>
      </c>
      <c r="I536">
        <v>32.299999999999997</v>
      </c>
      <c r="J536">
        <v>13.6</v>
      </c>
      <c r="K536">
        <v>0.48499999999999999</v>
      </c>
      <c r="L536">
        <v>4.5999999999999996</v>
      </c>
      <c r="M536">
        <v>0.34399999999999997</v>
      </c>
      <c r="N536">
        <v>9.1</v>
      </c>
      <c r="O536">
        <v>0.55500000000000005</v>
      </c>
      <c r="P536">
        <v>0.54200000000000004</v>
      </c>
      <c r="Q536">
        <v>4.9000000000000004</v>
      </c>
      <c r="R536">
        <v>0.80600000000000005</v>
      </c>
      <c r="S536">
        <v>7.1</v>
      </c>
      <c r="T536">
        <v>4.7</v>
      </c>
      <c r="U536">
        <v>0.7</v>
      </c>
      <c r="V536">
        <v>0.2</v>
      </c>
      <c r="W536">
        <v>2.8</v>
      </c>
      <c r="X536">
        <v>2.5</v>
      </c>
      <c r="Y536">
        <v>18.7</v>
      </c>
      <c r="Z536">
        <v>10</v>
      </c>
      <c r="AA536">
        <v>1.3</v>
      </c>
      <c r="AB536">
        <v>17.5</v>
      </c>
      <c r="AC536">
        <v>0.13400000000000001</v>
      </c>
    </row>
    <row r="537" spans="1:29" x14ac:dyDescent="0.35">
      <c r="A537" s="3" t="s">
        <v>44</v>
      </c>
      <c r="B537" s="1" t="s">
        <v>2</v>
      </c>
      <c r="C537" s="1" t="s">
        <v>597</v>
      </c>
      <c r="D537" s="1" t="s">
        <v>23</v>
      </c>
      <c r="E537" s="1" t="s">
        <v>20</v>
      </c>
      <c r="F537" s="4">
        <v>2</v>
      </c>
      <c r="G537">
        <v>23</v>
      </c>
      <c r="H537">
        <v>47</v>
      </c>
      <c r="I537">
        <v>32</v>
      </c>
      <c r="J537">
        <v>21.3</v>
      </c>
      <c r="K537">
        <v>0.40500000000000003</v>
      </c>
      <c r="L537">
        <v>11.2</v>
      </c>
      <c r="M537">
        <v>0.33900000000000002</v>
      </c>
      <c r="N537">
        <v>10.1</v>
      </c>
      <c r="O537">
        <v>0.47799999999999998</v>
      </c>
      <c r="P537">
        <v>0.49399999999999999</v>
      </c>
      <c r="Q537">
        <v>4.9000000000000004</v>
      </c>
      <c r="R537">
        <v>0.84299999999999997</v>
      </c>
      <c r="S537">
        <v>4.9000000000000004</v>
      </c>
      <c r="T537">
        <v>7.4</v>
      </c>
      <c r="U537">
        <v>1.1000000000000001</v>
      </c>
      <c r="V537">
        <v>0.3</v>
      </c>
      <c r="W537">
        <v>3.6</v>
      </c>
      <c r="X537">
        <v>3.3</v>
      </c>
      <c r="Y537">
        <v>25.2</v>
      </c>
      <c r="Z537">
        <v>4</v>
      </c>
      <c r="AA537">
        <v>3.2</v>
      </c>
      <c r="AB537">
        <v>19.100000000000001</v>
      </c>
      <c r="AC537">
        <v>6.5000000000000002E-2</v>
      </c>
    </row>
    <row r="538" spans="1:29" x14ac:dyDescent="0.35">
      <c r="A538" s="3" t="s">
        <v>445</v>
      </c>
      <c r="B538" s="1" t="s">
        <v>2</v>
      </c>
      <c r="C538" s="1" t="s">
        <v>598</v>
      </c>
      <c r="D538" s="1" t="s">
        <v>23</v>
      </c>
      <c r="E538" s="1" t="s">
        <v>28</v>
      </c>
      <c r="F538" s="4">
        <v>2.6</v>
      </c>
      <c r="G538">
        <v>26</v>
      </c>
      <c r="H538">
        <v>73</v>
      </c>
      <c r="I538">
        <v>34.9</v>
      </c>
      <c r="J538">
        <v>14.2</v>
      </c>
      <c r="K538">
        <v>0.46</v>
      </c>
      <c r="L538">
        <v>7.3</v>
      </c>
      <c r="M538">
        <v>0.377</v>
      </c>
      <c r="N538">
        <v>6.9</v>
      </c>
      <c r="O538">
        <v>0.54700000000000004</v>
      </c>
      <c r="P538">
        <v>0.55600000000000005</v>
      </c>
      <c r="Q538">
        <v>5</v>
      </c>
      <c r="R538">
        <v>0.877</v>
      </c>
      <c r="S538">
        <v>4.5</v>
      </c>
      <c r="T538">
        <v>5.8</v>
      </c>
      <c r="U538">
        <v>1.1000000000000001</v>
      </c>
      <c r="V538">
        <v>0.3</v>
      </c>
      <c r="W538">
        <v>2.4</v>
      </c>
      <c r="X538">
        <v>2.1</v>
      </c>
      <c r="Y538">
        <v>20.2</v>
      </c>
      <c r="Z538">
        <v>3</v>
      </c>
      <c r="AA538">
        <v>1.9</v>
      </c>
      <c r="AB538">
        <v>18.100000000000001</v>
      </c>
      <c r="AC538">
        <v>0.14399999999999999</v>
      </c>
    </row>
    <row r="539" spans="1:29" x14ac:dyDescent="0.35">
      <c r="A539" s="3" t="s">
        <v>311</v>
      </c>
      <c r="B539" s="1" t="s">
        <v>26</v>
      </c>
      <c r="C539" s="1" t="s">
        <v>598</v>
      </c>
      <c r="D539" s="1" t="s">
        <v>19</v>
      </c>
      <c r="E539" s="1" t="s">
        <v>20</v>
      </c>
      <c r="F539" s="4">
        <v>0.4</v>
      </c>
      <c r="G539">
        <v>22</v>
      </c>
      <c r="H539">
        <v>47</v>
      </c>
      <c r="I539">
        <v>24.3</v>
      </c>
      <c r="J539">
        <v>12.1</v>
      </c>
      <c r="K539">
        <v>0.45400000000000001</v>
      </c>
      <c r="L539">
        <v>3.2</v>
      </c>
      <c r="M539">
        <v>0.30499999999999999</v>
      </c>
      <c r="N539">
        <v>8.9</v>
      </c>
      <c r="O539">
        <v>0.50800000000000001</v>
      </c>
      <c r="P539">
        <v>0.495</v>
      </c>
      <c r="Q539">
        <v>5</v>
      </c>
      <c r="R539">
        <v>0.66800000000000004</v>
      </c>
      <c r="S539">
        <v>4.5999999999999996</v>
      </c>
      <c r="T539">
        <v>2.2000000000000002</v>
      </c>
      <c r="U539">
        <v>0.8</v>
      </c>
      <c r="V539">
        <v>0.4</v>
      </c>
      <c r="W539">
        <v>1.5</v>
      </c>
      <c r="X539">
        <v>1.9</v>
      </c>
      <c r="Y539">
        <v>15.3</v>
      </c>
      <c r="Z539">
        <v>3</v>
      </c>
      <c r="AA539">
        <v>-0.6</v>
      </c>
      <c r="AB539">
        <v>15.7</v>
      </c>
      <c r="AC539">
        <v>0.08</v>
      </c>
    </row>
    <row r="540" spans="1:29" x14ac:dyDescent="0.35">
      <c r="A540" s="3" t="s">
        <v>376</v>
      </c>
      <c r="B540" s="1" t="s">
        <v>2</v>
      </c>
      <c r="C540" s="1" t="s">
        <v>597</v>
      </c>
      <c r="D540" s="1" t="s">
        <v>23</v>
      </c>
      <c r="E540" s="1" t="s">
        <v>20</v>
      </c>
      <c r="F540" s="4">
        <v>3.2</v>
      </c>
      <c r="G540">
        <v>28</v>
      </c>
      <c r="H540">
        <v>71</v>
      </c>
      <c r="I540">
        <v>31.4</v>
      </c>
      <c r="J540">
        <v>18.600000000000001</v>
      </c>
      <c r="K540">
        <v>0.443</v>
      </c>
      <c r="L540">
        <v>8.9</v>
      </c>
      <c r="M540">
        <v>0.36799999999999999</v>
      </c>
      <c r="N540">
        <v>9.6999999999999993</v>
      </c>
      <c r="O540">
        <v>0.51200000000000001</v>
      </c>
      <c r="P540">
        <v>0.53100000000000003</v>
      </c>
      <c r="Q540">
        <v>5.0999999999999996</v>
      </c>
      <c r="R540">
        <v>0.82299999999999995</v>
      </c>
      <c r="S540">
        <v>4.5</v>
      </c>
      <c r="T540">
        <v>5</v>
      </c>
      <c r="U540">
        <v>1.3</v>
      </c>
      <c r="V540">
        <v>0.2</v>
      </c>
      <c r="W540">
        <v>2.1</v>
      </c>
      <c r="X540">
        <v>2</v>
      </c>
      <c r="Y540">
        <v>24</v>
      </c>
      <c r="Z540">
        <v>7</v>
      </c>
      <c r="AA540">
        <v>3.7</v>
      </c>
      <c r="AB540">
        <v>20.9</v>
      </c>
      <c r="AC540">
        <v>0.16300000000000001</v>
      </c>
    </row>
    <row r="541" spans="1:29" x14ac:dyDescent="0.35">
      <c r="A541" s="3" t="s">
        <v>85</v>
      </c>
      <c r="B541" s="1" t="s">
        <v>26</v>
      </c>
      <c r="C541" s="1" t="s">
        <v>597</v>
      </c>
      <c r="D541" s="1" t="s">
        <v>23</v>
      </c>
      <c r="E541" s="1" t="s">
        <v>20</v>
      </c>
      <c r="F541" s="4">
        <v>1.1000000000000001</v>
      </c>
      <c r="G541">
        <v>28</v>
      </c>
      <c r="H541">
        <v>63</v>
      </c>
      <c r="I541">
        <v>34.299999999999997</v>
      </c>
      <c r="J541">
        <v>17.7</v>
      </c>
      <c r="K541">
        <v>0.46300000000000002</v>
      </c>
      <c r="L541">
        <v>5.7</v>
      </c>
      <c r="M541">
        <v>0.32400000000000001</v>
      </c>
      <c r="N541">
        <v>12.1</v>
      </c>
      <c r="O541">
        <v>0.52900000000000003</v>
      </c>
      <c r="P541">
        <v>0.51500000000000001</v>
      </c>
      <c r="Q541">
        <v>5.0999999999999996</v>
      </c>
      <c r="R541">
        <v>0.76400000000000001</v>
      </c>
      <c r="S541">
        <v>5.8</v>
      </c>
      <c r="T541">
        <v>4.5</v>
      </c>
      <c r="U541">
        <v>1.2</v>
      </c>
      <c r="V541">
        <v>0.3</v>
      </c>
      <c r="W541">
        <v>2.6</v>
      </c>
      <c r="X541">
        <v>2.4</v>
      </c>
      <c r="Y541">
        <v>22.2</v>
      </c>
      <c r="Z541">
        <v>8</v>
      </c>
      <c r="AA541">
        <v>0</v>
      </c>
      <c r="AB541">
        <v>17.8</v>
      </c>
      <c r="AC541">
        <v>0.115</v>
      </c>
    </row>
    <row r="542" spans="1:29" x14ac:dyDescent="0.35">
      <c r="A542" s="3" t="s">
        <v>186</v>
      </c>
      <c r="B542" s="1" t="s">
        <v>2</v>
      </c>
      <c r="C542" s="1" t="s">
        <v>35</v>
      </c>
      <c r="D542" s="1" t="s">
        <v>23</v>
      </c>
      <c r="E542" s="1" t="s">
        <v>20</v>
      </c>
      <c r="F542" s="4">
        <v>1.3</v>
      </c>
      <c r="G542">
        <v>27</v>
      </c>
      <c r="H542">
        <v>62</v>
      </c>
      <c r="I542">
        <v>36.1</v>
      </c>
      <c r="J542">
        <v>18.8</v>
      </c>
      <c r="K542">
        <v>0.46300000000000002</v>
      </c>
      <c r="L542">
        <v>6.1</v>
      </c>
      <c r="M542">
        <v>0.31</v>
      </c>
      <c r="N542">
        <v>12.6</v>
      </c>
      <c r="O542">
        <v>0.53800000000000003</v>
      </c>
      <c r="P542">
        <v>0.51400000000000001</v>
      </c>
      <c r="Q542">
        <v>5.0999999999999996</v>
      </c>
      <c r="R542">
        <v>0.82699999999999996</v>
      </c>
      <c r="S542">
        <v>4.8</v>
      </c>
      <c r="T542">
        <v>6.3</v>
      </c>
      <c r="U542">
        <v>1.5</v>
      </c>
      <c r="V542">
        <v>0.4</v>
      </c>
      <c r="W542">
        <v>2.8</v>
      </c>
      <c r="X542">
        <v>2.6</v>
      </c>
      <c r="Y542">
        <v>23.5</v>
      </c>
      <c r="Z542">
        <v>7</v>
      </c>
      <c r="AA542">
        <v>0.4</v>
      </c>
      <c r="AB542">
        <v>18.3</v>
      </c>
      <c r="AC542">
        <v>9.2999999999999999E-2</v>
      </c>
    </row>
    <row r="543" spans="1:29" x14ac:dyDescent="0.35">
      <c r="A543" s="3" t="s">
        <v>39</v>
      </c>
      <c r="B543" s="1" t="s">
        <v>26</v>
      </c>
      <c r="C543" s="1" t="s">
        <v>598</v>
      </c>
      <c r="D543" s="1" t="s">
        <v>19</v>
      </c>
      <c r="E543" s="1" t="s">
        <v>20</v>
      </c>
      <c r="F543" s="4">
        <v>2.2000000000000002</v>
      </c>
      <c r="G543">
        <v>24</v>
      </c>
      <c r="H543">
        <v>72</v>
      </c>
      <c r="I543">
        <v>30</v>
      </c>
      <c r="J543">
        <v>11.7</v>
      </c>
      <c r="K543">
        <v>0.47599999999999998</v>
      </c>
      <c r="L543">
        <v>4.8</v>
      </c>
      <c r="M543">
        <v>0.36499999999999999</v>
      </c>
      <c r="N543">
        <v>7</v>
      </c>
      <c r="O543">
        <v>0.55200000000000005</v>
      </c>
      <c r="P543">
        <v>0.55000000000000004</v>
      </c>
      <c r="Q543">
        <v>5.2</v>
      </c>
      <c r="R543">
        <v>0.78</v>
      </c>
      <c r="S543">
        <v>7.3</v>
      </c>
      <c r="T543">
        <v>3.9</v>
      </c>
      <c r="U543">
        <v>1</v>
      </c>
      <c r="V543">
        <v>0.5</v>
      </c>
      <c r="W543">
        <v>2.7</v>
      </c>
      <c r="X543">
        <v>2.4</v>
      </c>
      <c r="Y543">
        <v>16.899999999999999</v>
      </c>
      <c r="Z543">
        <v>4</v>
      </c>
      <c r="AA543">
        <v>2.1</v>
      </c>
      <c r="AB543">
        <v>17.7</v>
      </c>
      <c r="AC543">
        <v>0.124</v>
      </c>
    </row>
    <row r="544" spans="1:29" x14ac:dyDescent="0.35">
      <c r="A544" s="3" t="s">
        <v>546</v>
      </c>
      <c r="B544" s="1" t="s">
        <v>26</v>
      </c>
      <c r="C544" s="1" t="s">
        <v>597</v>
      </c>
      <c r="D544" s="1" t="s">
        <v>19</v>
      </c>
      <c r="E544" s="1" t="s">
        <v>20</v>
      </c>
      <c r="F544" s="4">
        <v>2.6</v>
      </c>
      <c r="G544">
        <v>23</v>
      </c>
      <c r="H544">
        <v>60</v>
      </c>
      <c r="I544">
        <v>33.700000000000003</v>
      </c>
      <c r="J544">
        <v>19.399999999999999</v>
      </c>
      <c r="K544">
        <v>0.46300000000000002</v>
      </c>
      <c r="L544">
        <v>5.9</v>
      </c>
      <c r="M544">
        <v>0.29499999999999998</v>
      </c>
      <c r="N544">
        <v>13.5</v>
      </c>
      <c r="O544">
        <v>0.53500000000000003</v>
      </c>
      <c r="P544">
        <v>0.50700000000000001</v>
      </c>
      <c r="Q544">
        <v>5.2</v>
      </c>
      <c r="R544">
        <v>0.871</v>
      </c>
      <c r="S544">
        <v>5.7</v>
      </c>
      <c r="T544">
        <v>4.7</v>
      </c>
      <c r="U544">
        <v>1.3</v>
      </c>
      <c r="V544">
        <v>0.4</v>
      </c>
      <c r="W544">
        <v>2.2999999999999998</v>
      </c>
      <c r="X544">
        <v>2.5</v>
      </c>
      <c r="Y544">
        <v>24.2</v>
      </c>
      <c r="Z544">
        <v>3</v>
      </c>
      <c r="AA544">
        <v>3.1</v>
      </c>
      <c r="AB544">
        <v>20.100000000000001</v>
      </c>
      <c r="AC544">
        <v>0.13300000000000001</v>
      </c>
    </row>
    <row r="545" spans="1:29" x14ac:dyDescent="0.35">
      <c r="A545" s="3" t="s">
        <v>135</v>
      </c>
      <c r="B545" s="1" t="s">
        <v>2</v>
      </c>
      <c r="C545" s="1" t="s">
        <v>597</v>
      </c>
      <c r="D545" s="1" t="s">
        <v>23</v>
      </c>
      <c r="E545" s="1" t="s">
        <v>20</v>
      </c>
      <c r="F545" s="4">
        <v>3.7</v>
      </c>
      <c r="G545">
        <v>23</v>
      </c>
      <c r="H545">
        <v>70</v>
      </c>
      <c r="I545">
        <v>35</v>
      </c>
      <c r="J545">
        <v>20.8</v>
      </c>
      <c r="K545">
        <v>0.46899999999999997</v>
      </c>
      <c r="L545">
        <v>6</v>
      </c>
      <c r="M545">
        <v>0.35599999999999998</v>
      </c>
      <c r="N545">
        <v>14.8</v>
      </c>
      <c r="O545">
        <v>0.51500000000000001</v>
      </c>
      <c r="P545">
        <v>0.52100000000000002</v>
      </c>
      <c r="Q545">
        <v>5.3</v>
      </c>
      <c r="R545">
        <v>0.84599999999999997</v>
      </c>
      <c r="S545">
        <v>6.1</v>
      </c>
      <c r="T545">
        <v>9.1</v>
      </c>
      <c r="U545">
        <v>1</v>
      </c>
      <c r="V545">
        <v>0.8</v>
      </c>
      <c r="W545">
        <v>4.4000000000000004</v>
      </c>
      <c r="X545">
        <v>2.8</v>
      </c>
      <c r="Y545">
        <v>26.1</v>
      </c>
      <c r="Z545">
        <v>3</v>
      </c>
      <c r="AA545">
        <v>3.9</v>
      </c>
      <c r="AB545">
        <v>20.6</v>
      </c>
      <c r="AC545">
        <v>0.115</v>
      </c>
    </row>
    <row r="546" spans="1:29" x14ac:dyDescent="0.35">
      <c r="A546" s="3" t="s">
        <v>262</v>
      </c>
      <c r="B546" s="1" t="s">
        <v>18</v>
      </c>
      <c r="C546" s="1" t="s">
        <v>598</v>
      </c>
      <c r="D546" s="1" t="s">
        <v>23</v>
      </c>
      <c r="E546" s="1" t="s">
        <v>20</v>
      </c>
      <c r="F546" s="4">
        <v>2.4</v>
      </c>
      <c r="G546">
        <v>25</v>
      </c>
      <c r="H546">
        <v>74</v>
      </c>
      <c r="I546">
        <v>29.8</v>
      </c>
      <c r="J546">
        <v>16.399999999999999</v>
      </c>
      <c r="K546">
        <v>0.48799999999999999</v>
      </c>
      <c r="L546">
        <v>5.3</v>
      </c>
      <c r="M546">
        <v>0.375</v>
      </c>
      <c r="N546">
        <v>11.1</v>
      </c>
      <c r="O546">
        <v>0.54100000000000004</v>
      </c>
      <c r="P546">
        <v>0.54800000000000004</v>
      </c>
      <c r="Q546">
        <v>5.4</v>
      </c>
      <c r="R546">
        <v>0.78100000000000003</v>
      </c>
      <c r="S546">
        <v>5.6</v>
      </c>
      <c r="T546">
        <v>2</v>
      </c>
      <c r="U546">
        <v>1.2</v>
      </c>
      <c r="V546">
        <v>1.5</v>
      </c>
      <c r="W546">
        <v>2.1</v>
      </c>
      <c r="X546">
        <v>3.5</v>
      </c>
      <c r="Y546">
        <v>22.2</v>
      </c>
      <c r="Z546">
        <v>6</v>
      </c>
      <c r="AA546">
        <v>2.2999999999999998</v>
      </c>
      <c r="AB546">
        <v>19.600000000000001</v>
      </c>
      <c r="AC546">
        <v>0.13900000000000001</v>
      </c>
    </row>
    <row r="547" spans="1:29" x14ac:dyDescent="0.35">
      <c r="A547" s="3" t="s">
        <v>54</v>
      </c>
      <c r="B547" s="1" t="s">
        <v>26</v>
      </c>
      <c r="C547" s="1" t="s">
        <v>597</v>
      </c>
      <c r="D547" s="1" t="s">
        <v>19</v>
      </c>
      <c r="E547" s="1" t="s">
        <v>20</v>
      </c>
      <c r="F547" s="4">
        <v>1.2</v>
      </c>
      <c r="G547">
        <v>24</v>
      </c>
      <c r="H547">
        <v>58</v>
      </c>
      <c r="I547">
        <v>32.200000000000003</v>
      </c>
      <c r="J547">
        <v>16.899999999999999</v>
      </c>
      <c r="K547">
        <v>0.46800000000000003</v>
      </c>
      <c r="L547">
        <v>5.3</v>
      </c>
      <c r="M547">
        <v>0.35</v>
      </c>
      <c r="N547">
        <v>11.7</v>
      </c>
      <c r="O547">
        <v>0.52200000000000002</v>
      </c>
      <c r="P547">
        <v>0.52300000000000002</v>
      </c>
      <c r="Q547">
        <v>5.4</v>
      </c>
      <c r="R547">
        <v>0.63</v>
      </c>
      <c r="S547">
        <v>6.3</v>
      </c>
      <c r="T547">
        <v>5.4</v>
      </c>
      <c r="U547">
        <v>0.8</v>
      </c>
      <c r="V547">
        <v>0.3</v>
      </c>
      <c r="W547">
        <v>2.8</v>
      </c>
      <c r="X547">
        <v>2.4</v>
      </c>
      <c r="Y547">
        <v>21.1</v>
      </c>
      <c r="Z547">
        <v>5</v>
      </c>
      <c r="AA547">
        <v>0.6</v>
      </c>
      <c r="AB547">
        <v>16.5</v>
      </c>
      <c r="AC547">
        <v>6.0999999999999999E-2</v>
      </c>
    </row>
    <row r="548" spans="1:29" x14ac:dyDescent="0.35">
      <c r="A548" s="3" t="s">
        <v>347</v>
      </c>
      <c r="B548" s="1" t="s">
        <v>2</v>
      </c>
      <c r="C548" s="1" t="s">
        <v>597</v>
      </c>
      <c r="D548" s="1" t="s">
        <v>23</v>
      </c>
      <c r="E548" s="1" t="s">
        <v>20</v>
      </c>
      <c r="F548" s="4">
        <v>2</v>
      </c>
      <c r="G548">
        <v>24</v>
      </c>
      <c r="H548">
        <v>52</v>
      </c>
      <c r="I548">
        <v>37.700000000000003</v>
      </c>
      <c r="J548">
        <v>21</v>
      </c>
      <c r="K548">
        <v>0.437</v>
      </c>
      <c r="L548">
        <v>9.1999999999999993</v>
      </c>
      <c r="M548">
        <v>0.33700000000000002</v>
      </c>
      <c r="N548">
        <v>11.8</v>
      </c>
      <c r="O548">
        <v>0.51500000000000001</v>
      </c>
      <c r="P548">
        <v>0.51100000000000001</v>
      </c>
      <c r="Q548">
        <v>5.6</v>
      </c>
      <c r="R548">
        <v>0.879</v>
      </c>
      <c r="S548">
        <v>3.3</v>
      </c>
      <c r="T548">
        <v>6.1</v>
      </c>
      <c r="U548">
        <v>1.8</v>
      </c>
      <c r="V548">
        <v>0.4</v>
      </c>
      <c r="W548">
        <v>2.4</v>
      </c>
      <c r="X548">
        <v>2.2000000000000002</v>
      </c>
      <c r="Y548">
        <v>26.3</v>
      </c>
      <c r="Z548">
        <v>4</v>
      </c>
      <c r="AA548">
        <v>2</v>
      </c>
      <c r="AB548">
        <v>19.5</v>
      </c>
      <c r="AC548">
        <v>9.4E-2</v>
      </c>
    </row>
    <row r="549" spans="1:29" x14ac:dyDescent="0.35">
      <c r="A549" s="3" t="s">
        <v>476</v>
      </c>
      <c r="B549" s="1" t="s">
        <v>18</v>
      </c>
      <c r="C549" s="1" t="s">
        <v>598</v>
      </c>
      <c r="D549" s="1" t="s">
        <v>19</v>
      </c>
      <c r="E549" s="1" t="s">
        <v>20</v>
      </c>
      <c r="F549" s="4">
        <v>3.9</v>
      </c>
      <c r="G549">
        <v>22</v>
      </c>
      <c r="H549">
        <v>76</v>
      </c>
      <c r="I549">
        <v>31.5</v>
      </c>
      <c r="J549">
        <v>15</v>
      </c>
      <c r="K549">
        <v>0.496</v>
      </c>
      <c r="L549">
        <v>1.2</v>
      </c>
      <c r="M549">
        <v>0.23300000000000001</v>
      </c>
      <c r="N549">
        <v>13.9</v>
      </c>
      <c r="O549">
        <v>0.51900000000000002</v>
      </c>
      <c r="P549">
        <v>0.505</v>
      </c>
      <c r="Q549">
        <v>5.6</v>
      </c>
      <c r="R549">
        <v>0.69199999999999995</v>
      </c>
      <c r="S549">
        <v>10.3</v>
      </c>
      <c r="T549">
        <v>4.9000000000000004</v>
      </c>
      <c r="U549">
        <v>1.1000000000000001</v>
      </c>
      <c r="V549">
        <v>0.8</v>
      </c>
      <c r="W549">
        <v>2.6</v>
      </c>
      <c r="X549">
        <v>2.8</v>
      </c>
      <c r="Y549">
        <v>19.100000000000001</v>
      </c>
      <c r="Z549">
        <v>3</v>
      </c>
      <c r="AA549">
        <v>4.4000000000000004</v>
      </c>
      <c r="AB549">
        <v>21.4</v>
      </c>
      <c r="AC549">
        <v>0.16600000000000001</v>
      </c>
    </row>
    <row r="550" spans="1:29" x14ac:dyDescent="0.35">
      <c r="A550" s="3" t="s">
        <v>528</v>
      </c>
      <c r="B550" s="1" t="s">
        <v>18</v>
      </c>
      <c r="C550" s="1" t="s">
        <v>597</v>
      </c>
      <c r="D550" s="1" t="s">
        <v>33</v>
      </c>
      <c r="E550" s="1" t="s">
        <v>20</v>
      </c>
      <c r="F550" s="4">
        <v>3.5</v>
      </c>
      <c r="G550">
        <v>29</v>
      </c>
      <c r="H550">
        <v>72</v>
      </c>
      <c r="I550">
        <v>35</v>
      </c>
      <c r="J550">
        <v>16.899999999999999</v>
      </c>
      <c r="K550">
        <v>0.52600000000000002</v>
      </c>
      <c r="L550">
        <v>4.7</v>
      </c>
      <c r="M550">
        <v>0.42</v>
      </c>
      <c r="N550">
        <v>12.2</v>
      </c>
      <c r="O550">
        <v>0.56699999999999995</v>
      </c>
      <c r="P550">
        <v>0.58399999999999996</v>
      </c>
      <c r="Q550">
        <v>5.7</v>
      </c>
      <c r="R550">
        <v>0.82899999999999996</v>
      </c>
      <c r="S550">
        <v>12.8</v>
      </c>
      <c r="T550">
        <v>3.1</v>
      </c>
      <c r="U550">
        <v>1</v>
      </c>
      <c r="V550">
        <v>0.7</v>
      </c>
      <c r="W550">
        <v>2.7</v>
      </c>
      <c r="X550">
        <v>3.5</v>
      </c>
      <c r="Y550">
        <v>24.4</v>
      </c>
      <c r="Z550">
        <v>9</v>
      </c>
      <c r="AA550">
        <v>3.6</v>
      </c>
      <c r="AB550">
        <v>23.4</v>
      </c>
      <c r="AC550">
        <v>0.193</v>
      </c>
    </row>
    <row r="551" spans="1:29" x14ac:dyDescent="0.35">
      <c r="A551" s="3" t="s">
        <v>147</v>
      </c>
      <c r="B551" s="1" t="s">
        <v>26</v>
      </c>
      <c r="C551" s="1" t="s">
        <v>598</v>
      </c>
      <c r="D551" s="1" t="s">
        <v>23</v>
      </c>
      <c r="E551" s="1" t="s">
        <v>20</v>
      </c>
      <c r="F551" s="4">
        <v>1.3</v>
      </c>
      <c r="G551">
        <v>35</v>
      </c>
      <c r="H551">
        <v>77</v>
      </c>
      <c r="I551">
        <v>35.9</v>
      </c>
      <c r="J551">
        <v>17</v>
      </c>
      <c r="K551">
        <v>0.47699999999999998</v>
      </c>
      <c r="L551">
        <v>3.3</v>
      </c>
      <c r="M551">
        <v>0.32800000000000001</v>
      </c>
      <c r="N551">
        <v>13.7</v>
      </c>
      <c r="O551">
        <v>0.51300000000000001</v>
      </c>
      <c r="P551">
        <v>0.50900000000000001</v>
      </c>
      <c r="Q551">
        <v>5.7</v>
      </c>
      <c r="R551">
        <v>0.85699999999999998</v>
      </c>
      <c r="S551">
        <v>3.9</v>
      </c>
      <c r="T551">
        <v>4.4000000000000004</v>
      </c>
      <c r="U551">
        <v>0.8</v>
      </c>
      <c r="V551">
        <v>0.4</v>
      </c>
      <c r="W551">
        <v>1.4</v>
      </c>
      <c r="X551">
        <v>1.9</v>
      </c>
      <c r="Y551">
        <v>22.2</v>
      </c>
      <c r="Z551">
        <v>15</v>
      </c>
      <c r="AA551">
        <v>-0.1</v>
      </c>
      <c r="AB551">
        <v>17.7</v>
      </c>
      <c r="AC551">
        <v>0.123</v>
      </c>
    </row>
    <row r="552" spans="1:29" x14ac:dyDescent="0.35">
      <c r="A552" s="3" t="s">
        <v>165</v>
      </c>
      <c r="B552" s="1" t="s">
        <v>26</v>
      </c>
      <c r="C552" s="1" t="s">
        <v>598</v>
      </c>
      <c r="D552" s="1" t="s">
        <v>23</v>
      </c>
      <c r="E552" s="1" t="s">
        <v>20</v>
      </c>
      <c r="F552" s="4">
        <v>3</v>
      </c>
      <c r="G552">
        <v>36</v>
      </c>
      <c r="H552">
        <v>62</v>
      </c>
      <c r="I552">
        <v>36.5</v>
      </c>
      <c r="J552">
        <v>18.100000000000001</v>
      </c>
      <c r="K552">
        <v>0.52700000000000002</v>
      </c>
      <c r="L552">
        <v>6</v>
      </c>
      <c r="M552">
        <v>0.43</v>
      </c>
      <c r="N552">
        <v>12.1</v>
      </c>
      <c r="O552">
        <v>0.57399999999999995</v>
      </c>
      <c r="P552">
        <v>0.59799999999999998</v>
      </c>
      <c r="Q552">
        <v>5.8</v>
      </c>
      <c r="R552">
        <v>0.83899999999999997</v>
      </c>
      <c r="S552">
        <v>6</v>
      </c>
      <c r="T552">
        <v>4.2</v>
      </c>
      <c r="U552">
        <v>0.8</v>
      </c>
      <c r="V552">
        <v>1.2</v>
      </c>
      <c r="W552">
        <v>3.1</v>
      </c>
      <c r="X552">
        <v>1.7</v>
      </c>
      <c r="Y552">
        <v>26.6</v>
      </c>
      <c r="Z552">
        <v>17</v>
      </c>
      <c r="AA552">
        <v>3.2</v>
      </c>
      <c r="AB552">
        <v>21.2</v>
      </c>
      <c r="AC552">
        <v>0.111</v>
      </c>
    </row>
    <row r="553" spans="1:29" x14ac:dyDescent="0.35">
      <c r="A553" s="3" t="s">
        <v>516</v>
      </c>
      <c r="B553" s="1" t="s">
        <v>2</v>
      </c>
      <c r="C553" s="1" t="s">
        <v>597</v>
      </c>
      <c r="D553" s="1" t="s">
        <v>23</v>
      </c>
      <c r="E553" s="1" t="s">
        <v>20</v>
      </c>
      <c r="F553" s="4">
        <v>0.5</v>
      </c>
      <c r="G553">
        <v>23</v>
      </c>
      <c r="H553">
        <v>25</v>
      </c>
      <c r="I553">
        <v>31.2</v>
      </c>
      <c r="J553">
        <v>18.2</v>
      </c>
      <c r="K553">
        <v>0.438</v>
      </c>
      <c r="L553">
        <v>7.8</v>
      </c>
      <c r="M553">
        <v>0.34899999999999998</v>
      </c>
      <c r="N553">
        <v>10.4</v>
      </c>
      <c r="O553">
        <v>0.50600000000000001</v>
      </c>
      <c r="P553">
        <v>0.51300000000000001</v>
      </c>
      <c r="Q553">
        <v>6</v>
      </c>
      <c r="R553">
        <v>0.88100000000000001</v>
      </c>
      <c r="S553">
        <v>3.3</v>
      </c>
      <c r="T553">
        <v>3.8</v>
      </c>
      <c r="U553">
        <v>0.6</v>
      </c>
      <c r="V553">
        <v>0.1</v>
      </c>
      <c r="W553">
        <v>2.5</v>
      </c>
      <c r="X553">
        <v>1.8</v>
      </c>
      <c r="Y553">
        <v>24</v>
      </c>
      <c r="Z553">
        <v>3</v>
      </c>
      <c r="AA553">
        <v>0.3</v>
      </c>
      <c r="AB553">
        <v>18</v>
      </c>
      <c r="AC553">
        <v>7.0999999999999994E-2</v>
      </c>
    </row>
    <row r="554" spans="1:29" x14ac:dyDescent="0.35">
      <c r="A554" s="3" t="s">
        <v>511</v>
      </c>
      <c r="B554" s="1" t="s">
        <v>26</v>
      </c>
      <c r="C554" s="1" t="s">
        <v>597</v>
      </c>
      <c r="D554" s="1" t="s">
        <v>23</v>
      </c>
      <c r="E554" s="1" t="s">
        <v>20</v>
      </c>
      <c r="F554" s="4">
        <v>4.8</v>
      </c>
      <c r="G554">
        <v>26</v>
      </c>
      <c r="H554">
        <v>72</v>
      </c>
      <c r="I554">
        <v>36.4</v>
      </c>
      <c r="J554">
        <v>20.3</v>
      </c>
      <c r="K554">
        <v>0.45200000000000001</v>
      </c>
      <c r="L554">
        <v>10.1</v>
      </c>
      <c r="M554">
        <v>0.34300000000000003</v>
      </c>
      <c r="N554">
        <v>10.199999999999999</v>
      </c>
      <c r="O554">
        <v>0.55900000000000005</v>
      </c>
      <c r="P554">
        <v>0.53700000000000003</v>
      </c>
      <c r="Q554">
        <v>6.1</v>
      </c>
      <c r="R554">
        <v>0.81399999999999995</v>
      </c>
      <c r="S554">
        <v>8.6999999999999993</v>
      </c>
      <c r="T554">
        <v>6</v>
      </c>
      <c r="U554">
        <v>1.1000000000000001</v>
      </c>
      <c r="V554">
        <v>0.5</v>
      </c>
      <c r="W554">
        <v>2.9</v>
      </c>
      <c r="X554">
        <v>2.2000000000000002</v>
      </c>
      <c r="Y554">
        <v>26.8</v>
      </c>
      <c r="Z554">
        <v>7</v>
      </c>
      <c r="AA554">
        <v>5.2</v>
      </c>
      <c r="AB554">
        <v>21.7</v>
      </c>
      <c r="AC554">
        <v>0.17399999999999999</v>
      </c>
    </row>
    <row r="555" spans="1:29" x14ac:dyDescent="0.35">
      <c r="A555" s="3" t="s">
        <v>169</v>
      </c>
      <c r="B555" s="1" t="s">
        <v>2</v>
      </c>
      <c r="C555" s="1" t="s">
        <v>598</v>
      </c>
      <c r="D555" s="1" t="s">
        <v>23</v>
      </c>
      <c r="E555" s="1" t="s">
        <v>20</v>
      </c>
      <c r="F555" s="4">
        <v>4.5999999999999996</v>
      </c>
      <c r="G555">
        <v>23</v>
      </c>
      <c r="H555">
        <v>79</v>
      </c>
      <c r="I555">
        <v>36.299999999999997</v>
      </c>
      <c r="J555">
        <v>20.399999999999999</v>
      </c>
      <c r="K555">
        <v>0.44700000000000001</v>
      </c>
      <c r="L555">
        <v>10.3</v>
      </c>
      <c r="M555">
        <v>0.39500000000000002</v>
      </c>
      <c r="N555">
        <v>10.1</v>
      </c>
      <c r="O555">
        <v>0.501</v>
      </c>
      <c r="P555">
        <v>0.54700000000000004</v>
      </c>
      <c r="Q555">
        <v>6.3</v>
      </c>
      <c r="R555">
        <v>0.83699999999999997</v>
      </c>
      <c r="S555">
        <v>5.7</v>
      </c>
      <c r="T555">
        <v>4.5</v>
      </c>
      <c r="U555">
        <v>1.2</v>
      </c>
      <c r="V555">
        <v>0.6</v>
      </c>
      <c r="W555">
        <v>3.2</v>
      </c>
      <c r="X555">
        <v>1.9</v>
      </c>
      <c r="Y555">
        <v>27.6</v>
      </c>
      <c r="Z555">
        <v>4</v>
      </c>
      <c r="AA555">
        <v>4.3</v>
      </c>
      <c r="AB555">
        <v>20.100000000000001</v>
      </c>
      <c r="AC555">
        <v>0.14000000000000001</v>
      </c>
    </row>
    <row r="556" spans="1:29" x14ac:dyDescent="0.35">
      <c r="A556" s="3" t="s">
        <v>70</v>
      </c>
      <c r="B556" s="1" t="s">
        <v>2</v>
      </c>
      <c r="C556" s="1" t="s">
        <v>598</v>
      </c>
      <c r="D556" s="1" t="s">
        <v>23</v>
      </c>
      <c r="E556" s="1" t="s">
        <v>20</v>
      </c>
      <c r="F556" s="4">
        <v>1.7</v>
      </c>
      <c r="G556">
        <v>28</v>
      </c>
      <c r="H556">
        <v>75</v>
      </c>
      <c r="I556">
        <v>37.299999999999997</v>
      </c>
      <c r="J556">
        <v>18.899999999999999</v>
      </c>
      <c r="K556">
        <v>0.46100000000000002</v>
      </c>
      <c r="L556">
        <v>7.3</v>
      </c>
      <c r="M556">
        <v>0.33200000000000002</v>
      </c>
      <c r="N556">
        <v>11.6</v>
      </c>
      <c r="O556">
        <v>0.54200000000000004</v>
      </c>
      <c r="P556">
        <v>0.52500000000000002</v>
      </c>
      <c r="Q556">
        <v>6.4</v>
      </c>
      <c r="R556">
        <v>0.89400000000000002</v>
      </c>
      <c r="S556">
        <v>4.0999999999999996</v>
      </c>
      <c r="T556">
        <v>7.1</v>
      </c>
      <c r="U556">
        <v>0.9</v>
      </c>
      <c r="V556">
        <v>0.2</v>
      </c>
      <c r="W556">
        <v>2.9</v>
      </c>
      <c r="X556">
        <v>2.6</v>
      </c>
      <c r="Y556">
        <v>25.6</v>
      </c>
      <c r="Z556">
        <v>9</v>
      </c>
      <c r="AA556">
        <v>0.4</v>
      </c>
      <c r="AB556">
        <v>19.3</v>
      </c>
      <c r="AC556">
        <v>0.111</v>
      </c>
    </row>
    <row r="557" spans="1:29" x14ac:dyDescent="0.35">
      <c r="A557" s="3" t="s">
        <v>384</v>
      </c>
      <c r="B557" s="1" t="s">
        <v>2</v>
      </c>
      <c r="C557" s="1" t="s">
        <v>598</v>
      </c>
      <c r="D557" s="1" t="s">
        <v>23</v>
      </c>
      <c r="E557" s="1" t="s">
        <v>20</v>
      </c>
      <c r="F557" s="4">
        <v>1.7</v>
      </c>
      <c r="G557">
        <v>25</v>
      </c>
      <c r="H557">
        <v>50</v>
      </c>
      <c r="I557">
        <v>30.4</v>
      </c>
      <c r="J557">
        <v>17.8</v>
      </c>
      <c r="K557">
        <v>0.45400000000000001</v>
      </c>
      <c r="L557">
        <v>5.7</v>
      </c>
      <c r="M557">
        <v>0.309</v>
      </c>
      <c r="N557">
        <v>12.1</v>
      </c>
      <c r="O557">
        <v>0.52300000000000002</v>
      </c>
      <c r="P557">
        <v>0.504</v>
      </c>
      <c r="Q557">
        <v>6.4</v>
      </c>
      <c r="R557">
        <v>0.82399999999999995</v>
      </c>
      <c r="S557">
        <v>4.0999999999999996</v>
      </c>
      <c r="T557">
        <v>7.3</v>
      </c>
      <c r="U557">
        <v>1.2</v>
      </c>
      <c r="V557">
        <v>0.2</v>
      </c>
      <c r="W557">
        <v>3.7</v>
      </c>
      <c r="X557">
        <v>2.2999999999999998</v>
      </c>
      <c r="Y557">
        <v>23.2</v>
      </c>
      <c r="Z557">
        <v>5</v>
      </c>
      <c r="AA557">
        <v>2.4</v>
      </c>
      <c r="AB557">
        <v>19.3</v>
      </c>
      <c r="AC557">
        <v>0.112</v>
      </c>
    </row>
    <row r="558" spans="1:29" x14ac:dyDescent="0.35">
      <c r="A558" s="3" t="s">
        <v>281</v>
      </c>
      <c r="B558" s="1" t="s">
        <v>18</v>
      </c>
      <c r="C558" s="1" t="s">
        <v>598</v>
      </c>
      <c r="D558" s="1" t="s">
        <v>19</v>
      </c>
      <c r="E558" s="1" t="s">
        <v>50</v>
      </c>
      <c r="F558" s="4">
        <v>9.8000000000000007</v>
      </c>
      <c r="G558">
        <v>29</v>
      </c>
      <c r="H558">
        <v>70</v>
      </c>
      <c r="I558">
        <v>36.700000000000003</v>
      </c>
      <c r="J558">
        <v>19.5</v>
      </c>
      <c r="K558">
        <v>0.57599999999999996</v>
      </c>
      <c r="L558">
        <v>4.7</v>
      </c>
      <c r="M558">
        <v>0.41699999999999998</v>
      </c>
      <c r="N558">
        <v>14.8</v>
      </c>
      <c r="O558">
        <v>0.627</v>
      </c>
      <c r="P558">
        <v>0.627</v>
      </c>
      <c r="Q558">
        <v>6.4</v>
      </c>
      <c r="R558">
        <v>0.8</v>
      </c>
      <c r="S558">
        <v>12.7</v>
      </c>
      <c r="T558">
        <v>10.199999999999999</v>
      </c>
      <c r="U558">
        <v>1.8</v>
      </c>
      <c r="V558">
        <v>0.6</v>
      </c>
      <c r="W558">
        <v>3.3</v>
      </c>
      <c r="X558">
        <v>2.2999999999999998</v>
      </c>
      <c r="Y558">
        <v>29.6</v>
      </c>
      <c r="Z558">
        <v>9</v>
      </c>
      <c r="AA558">
        <v>13.3</v>
      </c>
      <c r="AB558">
        <v>32</v>
      </c>
      <c r="AC558">
        <v>0.307</v>
      </c>
    </row>
    <row r="559" spans="1:29" x14ac:dyDescent="0.35">
      <c r="A559" s="3" t="s">
        <v>326</v>
      </c>
      <c r="B559" s="1" t="s">
        <v>2</v>
      </c>
      <c r="C559" s="1" t="s">
        <v>597</v>
      </c>
      <c r="D559" s="1" t="s">
        <v>23</v>
      </c>
      <c r="E559" s="1" t="s">
        <v>20</v>
      </c>
      <c r="F559" s="4">
        <v>3.2</v>
      </c>
      <c r="G559">
        <v>34</v>
      </c>
      <c r="H559">
        <v>58</v>
      </c>
      <c r="I559">
        <v>36.1</v>
      </c>
      <c r="J559">
        <v>17.100000000000001</v>
      </c>
      <c r="K559">
        <v>0.44800000000000001</v>
      </c>
      <c r="L559">
        <v>9</v>
      </c>
      <c r="M559">
        <v>0.376</v>
      </c>
      <c r="N559">
        <v>8.1</v>
      </c>
      <c r="O559">
        <v>0.52800000000000002</v>
      </c>
      <c r="P559">
        <v>0.54700000000000004</v>
      </c>
      <c r="Q559">
        <v>6.8</v>
      </c>
      <c r="R559">
        <v>0.92100000000000004</v>
      </c>
      <c r="S559">
        <v>4.7</v>
      </c>
      <c r="T559">
        <v>7.1</v>
      </c>
      <c r="U559">
        <v>1.2</v>
      </c>
      <c r="V559">
        <v>0.2</v>
      </c>
      <c r="W559">
        <v>2.8</v>
      </c>
      <c r="X559">
        <v>1.7</v>
      </c>
      <c r="Y559">
        <v>24.9</v>
      </c>
      <c r="Z559">
        <v>12</v>
      </c>
      <c r="AA559">
        <v>4</v>
      </c>
      <c r="AB559">
        <v>21.3</v>
      </c>
      <c r="AC559">
        <v>0.17499999999999999</v>
      </c>
    </row>
    <row r="560" spans="1:29" x14ac:dyDescent="0.35">
      <c r="A560" s="3" t="s">
        <v>88</v>
      </c>
      <c r="B560" s="1" t="s">
        <v>2</v>
      </c>
      <c r="C560" s="1" t="s">
        <v>597</v>
      </c>
      <c r="D560" s="1" t="s">
        <v>23</v>
      </c>
      <c r="E560" s="1" t="s">
        <v>50</v>
      </c>
      <c r="F560" s="4">
        <v>3.1</v>
      </c>
      <c r="G560">
        <v>28</v>
      </c>
      <c r="H560">
        <v>65</v>
      </c>
      <c r="I560">
        <v>35.4</v>
      </c>
      <c r="J560">
        <v>18.5</v>
      </c>
      <c r="K560">
        <v>0.48799999999999999</v>
      </c>
      <c r="L560">
        <v>6.1</v>
      </c>
      <c r="M560">
        <v>0.38300000000000001</v>
      </c>
      <c r="N560">
        <v>12.4</v>
      </c>
      <c r="O560">
        <v>0.53900000000000003</v>
      </c>
      <c r="P560">
        <v>0.55100000000000005</v>
      </c>
      <c r="Q560">
        <v>6.9</v>
      </c>
      <c r="R560">
        <v>0.82099999999999995</v>
      </c>
      <c r="S560">
        <v>2.9</v>
      </c>
      <c r="T560">
        <v>7.3</v>
      </c>
      <c r="U560">
        <v>0.9</v>
      </c>
      <c r="V560">
        <v>0.1</v>
      </c>
      <c r="W560">
        <v>2.5</v>
      </c>
      <c r="X560">
        <v>2.1</v>
      </c>
      <c r="Y560">
        <v>26</v>
      </c>
      <c r="Z560">
        <v>6</v>
      </c>
      <c r="AA560">
        <v>3.3</v>
      </c>
      <c r="AB560">
        <v>21.6</v>
      </c>
      <c r="AC560">
        <v>0.17199999999999999</v>
      </c>
    </row>
    <row r="561" spans="1:29" x14ac:dyDescent="0.35">
      <c r="A561" s="3" t="s">
        <v>93</v>
      </c>
      <c r="B561" s="1" t="s">
        <v>26</v>
      </c>
      <c r="C561" s="1" t="s">
        <v>35</v>
      </c>
      <c r="D561" s="1" t="s">
        <v>23</v>
      </c>
      <c r="E561" s="1" t="s">
        <v>20</v>
      </c>
      <c r="F561" s="4">
        <v>3</v>
      </c>
      <c r="G561">
        <v>35</v>
      </c>
      <c r="H561">
        <v>55</v>
      </c>
      <c r="I561">
        <v>31.7</v>
      </c>
      <c r="J561">
        <v>10.9</v>
      </c>
      <c r="K561">
        <v>0.504</v>
      </c>
      <c r="L561">
        <v>1.9</v>
      </c>
      <c r="M561">
        <v>0.308</v>
      </c>
      <c r="N561">
        <v>9</v>
      </c>
      <c r="O561">
        <v>0.54600000000000004</v>
      </c>
      <c r="P561">
        <v>0.53100000000000003</v>
      </c>
      <c r="Q561">
        <v>7.1</v>
      </c>
      <c r="R561">
        <v>0.84199999999999997</v>
      </c>
      <c r="S561">
        <v>5.4</v>
      </c>
      <c r="T561">
        <v>5.4</v>
      </c>
      <c r="U561">
        <v>1.4</v>
      </c>
      <c r="V561">
        <v>0.3</v>
      </c>
      <c r="W561">
        <v>1.3</v>
      </c>
      <c r="X561">
        <v>0.9</v>
      </c>
      <c r="Y561">
        <v>17.5</v>
      </c>
      <c r="Z561">
        <v>13</v>
      </c>
      <c r="AA561">
        <v>4.9000000000000004</v>
      </c>
      <c r="AB561">
        <v>22.4</v>
      </c>
      <c r="AC561">
        <v>0.23799999999999999</v>
      </c>
    </row>
    <row r="562" spans="1:29" x14ac:dyDescent="0.35">
      <c r="A562" s="3" t="s">
        <v>142</v>
      </c>
      <c r="B562" s="1" t="s">
        <v>18</v>
      </c>
      <c r="C562" s="1" t="s">
        <v>35</v>
      </c>
      <c r="D562" s="1" t="s">
        <v>23</v>
      </c>
      <c r="E562" s="1" t="s">
        <v>20</v>
      </c>
      <c r="F562" s="4">
        <v>3.2</v>
      </c>
      <c r="G562">
        <v>31</v>
      </c>
      <c r="H562">
        <v>51</v>
      </c>
      <c r="I562">
        <v>33.5</v>
      </c>
      <c r="J562">
        <v>17.8</v>
      </c>
      <c r="K562">
        <v>0.51600000000000001</v>
      </c>
      <c r="L562">
        <v>2.4</v>
      </c>
      <c r="M562">
        <v>0.28199999999999997</v>
      </c>
      <c r="N562">
        <v>15.4</v>
      </c>
      <c r="O562">
        <v>0.55300000000000005</v>
      </c>
      <c r="P562">
        <v>0.53600000000000003</v>
      </c>
      <c r="Q562">
        <v>7.2</v>
      </c>
      <c r="R562">
        <v>0.77500000000000002</v>
      </c>
      <c r="S562">
        <v>11.6</v>
      </c>
      <c r="T562">
        <v>3.5</v>
      </c>
      <c r="U562">
        <v>1.2</v>
      </c>
      <c r="V562">
        <v>2.2000000000000002</v>
      </c>
      <c r="W562">
        <v>2.2000000000000002</v>
      </c>
      <c r="X562">
        <v>1.9</v>
      </c>
      <c r="Y562">
        <v>24.7</v>
      </c>
      <c r="Z562">
        <v>12</v>
      </c>
      <c r="AA562">
        <v>5.4</v>
      </c>
      <c r="AB562">
        <v>26.3</v>
      </c>
      <c r="AC562">
        <v>0.188</v>
      </c>
    </row>
    <row r="563" spans="1:29" x14ac:dyDescent="0.35">
      <c r="A563" s="3" t="s">
        <v>220</v>
      </c>
      <c r="B563" s="1" t="s">
        <v>2</v>
      </c>
      <c r="C563" s="1" t="s">
        <v>598</v>
      </c>
      <c r="D563" s="1" t="s">
        <v>23</v>
      </c>
      <c r="E563" s="1" t="s">
        <v>20</v>
      </c>
      <c r="F563" s="4">
        <v>4.4000000000000004</v>
      </c>
      <c r="G563">
        <v>35</v>
      </c>
      <c r="H563">
        <v>79</v>
      </c>
      <c r="I563">
        <v>35.299999999999997</v>
      </c>
      <c r="J563">
        <v>16.399999999999999</v>
      </c>
      <c r="K563">
        <v>0.41</v>
      </c>
      <c r="L563">
        <v>8.5</v>
      </c>
      <c r="M563">
        <v>0.35199999999999998</v>
      </c>
      <c r="N563">
        <v>7.9</v>
      </c>
      <c r="O563">
        <v>0.47199999999999998</v>
      </c>
      <c r="P563">
        <v>0.501</v>
      </c>
      <c r="Q563">
        <v>7.3</v>
      </c>
      <c r="R563">
        <v>0.874</v>
      </c>
      <c r="S563">
        <v>5.8</v>
      </c>
      <c r="T563">
        <v>8.6999999999999993</v>
      </c>
      <c r="U563">
        <v>1.5</v>
      </c>
      <c r="V563">
        <v>0.7</v>
      </c>
      <c r="W563">
        <v>4.3</v>
      </c>
      <c r="X563">
        <v>2.1</v>
      </c>
      <c r="Y563">
        <v>22.8</v>
      </c>
      <c r="Z563">
        <v>15</v>
      </c>
      <c r="AA563">
        <v>4.3</v>
      </c>
      <c r="AB563">
        <v>20</v>
      </c>
      <c r="AC563">
        <v>0.14299999999999999</v>
      </c>
    </row>
    <row r="564" spans="1:29" x14ac:dyDescent="0.35">
      <c r="A564" s="3" t="s">
        <v>593</v>
      </c>
      <c r="B564" s="1" t="s">
        <v>2</v>
      </c>
      <c r="C564" s="1" t="s">
        <v>597</v>
      </c>
      <c r="D564" s="1" t="s">
        <v>23</v>
      </c>
      <c r="E564" s="1" t="s">
        <v>20</v>
      </c>
      <c r="F564" s="4">
        <v>1.7</v>
      </c>
      <c r="G564">
        <v>26</v>
      </c>
      <c r="H564">
        <v>76</v>
      </c>
      <c r="I564">
        <v>36</v>
      </c>
      <c r="J564">
        <v>18.100000000000001</v>
      </c>
      <c r="K564">
        <v>0.41099999999999998</v>
      </c>
      <c r="L564">
        <v>8.4</v>
      </c>
      <c r="M564">
        <v>0.34</v>
      </c>
      <c r="N564">
        <v>9.6999999999999993</v>
      </c>
      <c r="O564">
        <v>0.47399999999999998</v>
      </c>
      <c r="P564">
        <v>0.49099999999999999</v>
      </c>
      <c r="Q564">
        <v>7.4</v>
      </c>
      <c r="R564">
        <v>0.875</v>
      </c>
      <c r="S564">
        <v>3.1</v>
      </c>
      <c r="T564">
        <v>11.6</v>
      </c>
      <c r="U564">
        <v>1.2</v>
      </c>
      <c r="V564">
        <v>0.2</v>
      </c>
      <c r="W564">
        <v>4.7</v>
      </c>
      <c r="X564">
        <v>1.9</v>
      </c>
      <c r="Y564">
        <v>24.2</v>
      </c>
      <c r="Z564">
        <v>6</v>
      </c>
      <c r="AA564">
        <v>0.5</v>
      </c>
      <c r="AB564">
        <v>18.3</v>
      </c>
      <c r="AC564">
        <v>0.1</v>
      </c>
    </row>
    <row r="565" spans="1:29" x14ac:dyDescent="0.35">
      <c r="A565" s="3" t="s">
        <v>154</v>
      </c>
      <c r="B565" s="1" t="s">
        <v>2</v>
      </c>
      <c r="C565" s="1" t="s">
        <v>35</v>
      </c>
      <c r="D565" s="1" t="s">
        <v>19</v>
      </c>
      <c r="E565" s="1" t="s">
        <v>20</v>
      </c>
      <c r="F565" s="4">
        <v>3.9</v>
      </c>
      <c r="G565">
        <v>25</v>
      </c>
      <c r="H565">
        <v>50</v>
      </c>
      <c r="I565">
        <v>35.4</v>
      </c>
      <c r="J565">
        <v>20.5</v>
      </c>
      <c r="K565">
        <v>0.45</v>
      </c>
      <c r="L565">
        <v>9.6</v>
      </c>
      <c r="M565">
        <v>0.36799999999999999</v>
      </c>
      <c r="N565">
        <v>10.9</v>
      </c>
      <c r="O565">
        <v>0.52200000000000002</v>
      </c>
      <c r="P565">
        <v>0.53600000000000003</v>
      </c>
      <c r="Q565">
        <v>7.9</v>
      </c>
      <c r="R565">
        <v>0.78200000000000003</v>
      </c>
      <c r="S565">
        <v>8.1999999999999993</v>
      </c>
      <c r="T565">
        <v>7.7</v>
      </c>
      <c r="U565">
        <v>1.8</v>
      </c>
      <c r="V565">
        <v>0.4</v>
      </c>
      <c r="W565">
        <v>3.6</v>
      </c>
      <c r="X565">
        <v>2.5</v>
      </c>
      <c r="Y565">
        <v>28.2</v>
      </c>
      <c r="Z565">
        <v>6</v>
      </c>
      <c r="AA565">
        <v>6.7</v>
      </c>
      <c r="AB565">
        <v>24.1</v>
      </c>
      <c r="AC565">
        <v>0.16</v>
      </c>
    </row>
    <row r="566" spans="1:29" x14ac:dyDescent="0.35">
      <c r="A566" s="3" t="s">
        <v>586</v>
      </c>
      <c r="B566" s="1" t="s">
        <v>26</v>
      </c>
      <c r="C566" s="1" t="s">
        <v>598</v>
      </c>
      <c r="D566" s="1" t="s">
        <v>23</v>
      </c>
      <c r="E566" s="1" t="s">
        <v>20</v>
      </c>
      <c r="F566" s="4">
        <v>1.9</v>
      </c>
      <c r="G566">
        <v>24</v>
      </c>
      <c r="H566">
        <v>30</v>
      </c>
      <c r="I566">
        <v>28.6</v>
      </c>
      <c r="J566">
        <v>16.899999999999999</v>
      </c>
      <c r="K566">
        <v>0.56699999999999995</v>
      </c>
      <c r="L566">
        <v>0.4</v>
      </c>
      <c r="M566">
        <v>0.23100000000000001</v>
      </c>
      <c r="N566">
        <v>16.5</v>
      </c>
      <c r="O566">
        <v>0.57599999999999996</v>
      </c>
      <c r="P566">
        <v>0.56999999999999995</v>
      </c>
      <c r="Q566">
        <v>8</v>
      </c>
      <c r="R566">
        <v>0.65600000000000003</v>
      </c>
      <c r="S566">
        <v>7.2</v>
      </c>
      <c r="T566">
        <v>5.3</v>
      </c>
      <c r="U566">
        <v>1.2</v>
      </c>
      <c r="V566">
        <v>0.9</v>
      </c>
      <c r="W566">
        <v>3</v>
      </c>
      <c r="X566">
        <v>2.7</v>
      </c>
      <c r="Y566">
        <v>24.6</v>
      </c>
      <c r="Z566">
        <v>5</v>
      </c>
      <c r="AA566">
        <v>7</v>
      </c>
      <c r="AB566">
        <v>27.3</v>
      </c>
      <c r="AC566">
        <v>0.14099999999999999</v>
      </c>
    </row>
    <row r="567" spans="1:29" x14ac:dyDescent="0.35">
      <c r="A567" s="3" t="s">
        <v>47</v>
      </c>
      <c r="B567" s="1" t="s">
        <v>26</v>
      </c>
      <c r="C567" s="1" t="s">
        <v>597</v>
      </c>
      <c r="D567" s="1" t="s">
        <v>33</v>
      </c>
      <c r="E567" s="1" t="s">
        <v>20</v>
      </c>
      <c r="F567" s="4">
        <v>2.2000000000000002</v>
      </c>
      <c r="G567">
        <v>22</v>
      </c>
      <c r="H567">
        <v>46</v>
      </c>
      <c r="I567">
        <v>34.4</v>
      </c>
      <c r="J567">
        <v>19.8</v>
      </c>
      <c r="K567">
        <v>0.45200000000000001</v>
      </c>
      <c r="L567">
        <v>5.9</v>
      </c>
      <c r="M567">
        <v>0.32</v>
      </c>
      <c r="N567">
        <v>13.9</v>
      </c>
      <c r="O567">
        <v>0.50900000000000001</v>
      </c>
      <c r="P567">
        <v>0.5</v>
      </c>
      <c r="Q567">
        <v>8.4</v>
      </c>
      <c r="R567">
        <v>0.72699999999999998</v>
      </c>
      <c r="S567">
        <v>7.5</v>
      </c>
      <c r="T567">
        <v>4.8</v>
      </c>
      <c r="U567">
        <v>0.8</v>
      </c>
      <c r="V567">
        <v>0.6</v>
      </c>
      <c r="W567">
        <v>3</v>
      </c>
      <c r="X567">
        <v>2.1</v>
      </c>
      <c r="Y567">
        <v>25.9</v>
      </c>
      <c r="Z567">
        <v>2</v>
      </c>
      <c r="AA567">
        <v>3.5</v>
      </c>
      <c r="AB567">
        <v>20</v>
      </c>
      <c r="AC567">
        <v>0.106</v>
      </c>
    </row>
    <row r="568" spans="1:29" x14ac:dyDescent="0.35">
      <c r="A568" s="3" t="s">
        <v>199</v>
      </c>
      <c r="B568" s="1" t="s">
        <v>2</v>
      </c>
      <c r="C568" s="1" t="s">
        <v>598</v>
      </c>
      <c r="D568" s="1" t="s">
        <v>19</v>
      </c>
      <c r="E568" s="1" t="s">
        <v>20</v>
      </c>
      <c r="F568" s="4">
        <v>8.9</v>
      </c>
      <c r="G568">
        <v>26</v>
      </c>
      <c r="H568">
        <v>76</v>
      </c>
      <c r="I568">
        <v>34.200000000000003</v>
      </c>
      <c r="J568">
        <v>21.8</v>
      </c>
      <c r="K568">
        <v>0.51900000000000002</v>
      </c>
      <c r="L568">
        <v>5.7</v>
      </c>
      <c r="M568">
        <v>0.375</v>
      </c>
      <c r="N568">
        <v>16.100000000000001</v>
      </c>
      <c r="O568">
        <v>0.57099999999999995</v>
      </c>
      <c r="P568">
        <v>0.56899999999999995</v>
      </c>
      <c r="Q568">
        <v>8.8000000000000007</v>
      </c>
      <c r="R568">
        <v>0.89800000000000002</v>
      </c>
      <c r="S568">
        <v>5</v>
      </c>
      <c r="T568">
        <v>6.4</v>
      </c>
      <c r="U568">
        <v>1.7</v>
      </c>
      <c r="V568">
        <v>1</v>
      </c>
      <c r="W568">
        <v>2.4</v>
      </c>
      <c r="X568">
        <v>2.2000000000000002</v>
      </c>
      <c r="Y568">
        <v>32.700000000000003</v>
      </c>
      <c r="Z568">
        <v>6</v>
      </c>
      <c r="AA568">
        <v>11.5</v>
      </c>
      <c r="AB568">
        <v>30.7</v>
      </c>
      <c r="AC568">
        <v>0.309</v>
      </c>
    </row>
    <row r="569" spans="1:29" x14ac:dyDescent="0.35">
      <c r="A569" s="3" t="s">
        <v>174</v>
      </c>
      <c r="B569" s="1" t="s">
        <v>18</v>
      </c>
      <c r="C569" s="1" t="s">
        <v>597</v>
      </c>
      <c r="D569" s="1" t="s">
        <v>33</v>
      </c>
      <c r="E569" s="1" t="s">
        <v>20</v>
      </c>
      <c r="F569" s="4">
        <v>0.8</v>
      </c>
      <c r="G569">
        <v>30</v>
      </c>
      <c r="H569">
        <v>19</v>
      </c>
      <c r="I569">
        <v>30.2</v>
      </c>
      <c r="J569">
        <v>16.600000000000001</v>
      </c>
      <c r="K569">
        <v>0.44400000000000001</v>
      </c>
      <c r="L569">
        <v>4.0999999999999996</v>
      </c>
      <c r="M569">
        <v>0.29899999999999999</v>
      </c>
      <c r="N569">
        <v>12.5</v>
      </c>
      <c r="O569">
        <v>0.49199999999999999</v>
      </c>
      <c r="P569">
        <v>0.48099999999999998</v>
      </c>
      <c r="Q569">
        <v>8.9</v>
      </c>
      <c r="R569">
        <v>0.88200000000000001</v>
      </c>
      <c r="S569">
        <v>8.1999999999999993</v>
      </c>
      <c r="T569">
        <v>4.5</v>
      </c>
      <c r="U569">
        <v>0.7</v>
      </c>
      <c r="V569">
        <v>0.9</v>
      </c>
      <c r="W569">
        <v>3.3</v>
      </c>
      <c r="X569">
        <v>2.2000000000000002</v>
      </c>
      <c r="Y569">
        <v>23.8</v>
      </c>
      <c r="Z569">
        <v>10</v>
      </c>
      <c r="AA569">
        <v>3.5</v>
      </c>
      <c r="AB569">
        <v>23.4</v>
      </c>
      <c r="AC569">
        <v>0.11799999999999999</v>
      </c>
    </row>
    <row r="570" spans="1:29" x14ac:dyDescent="0.35">
      <c r="A570" s="3" t="s">
        <v>36</v>
      </c>
      <c r="B570" s="1" t="s">
        <v>26</v>
      </c>
      <c r="C570" s="1" t="s">
        <v>597</v>
      </c>
      <c r="D570" s="1" t="s">
        <v>19</v>
      </c>
      <c r="E570" s="1" t="s">
        <v>20</v>
      </c>
      <c r="F570" s="4">
        <v>6.6</v>
      </c>
      <c r="G570">
        <v>30</v>
      </c>
      <c r="H570">
        <v>67</v>
      </c>
      <c r="I570">
        <v>34.200000000000003</v>
      </c>
      <c r="J570">
        <v>19.7</v>
      </c>
      <c r="K570">
        <v>0.60099999999999998</v>
      </c>
      <c r="L570">
        <v>0.9</v>
      </c>
      <c r="M570">
        <v>0.222</v>
      </c>
      <c r="N570">
        <v>18.7</v>
      </c>
      <c r="O570">
        <v>0.62</v>
      </c>
      <c r="P570">
        <v>0.60699999999999998</v>
      </c>
      <c r="Q570">
        <v>10.6</v>
      </c>
      <c r="R570">
        <v>0.61699999999999999</v>
      </c>
      <c r="S570">
        <v>11.9</v>
      </c>
      <c r="T570">
        <v>6.5</v>
      </c>
      <c r="U570">
        <v>0.9</v>
      </c>
      <c r="V570">
        <v>1.2</v>
      </c>
      <c r="W570">
        <v>3.1</v>
      </c>
      <c r="X570">
        <v>2.2999999999999998</v>
      </c>
      <c r="Y570">
        <v>30.4</v>
      </c>
      <c r="Z570">
        <v>11</v>
      </c>
      <c r="AA570">
        <v>9.5</v>
      </c>
      <c r="AB570">
        <v>30.5</v>
      </c>
      <c r="AC570">
        <v>0.24099999999999999</v>
      </c>
    </row>
  </sheetData>
  <autoFilter ref="A1:AC570" xr:uid="{00000000-0001-0000-0000-000000000000}">
    <sortState xmlns:xlrd2="http://schemas.microsoft.com/office/spreadsheetml/2017/richdata2" ref="A2:AC570">
      <sortCondition ref="Q1:Q57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EBE0-0C6D-45B5-8A80-C910AC32E270}">
  <dimension ref="A1:BC570"/>
  <sheetViews>
    <sheetView topLeftCell="AQ1" zoomScale="88" workbookViewId="0">
      <selection activeCell="AK29" sqref="AK29:AL29"/>
    </sheetView>
  </sheetViews>
  <sheetFormatPr defaultColWidth="8.81640625" defaultRowHeight="14.5" x14ac:dyDescent="0.35"/>
  <cols>
    <col min="1" max="1" width="7.6328125" style="1" customWidth="1"/>
    <col min="2" max="2" width="10.453125" style="1" bestFit="1" customWidth="1"/>
    <col min="3" max="3" width="15.6328125" style="1" bestFit="1" customWidth="1"/>
    <col min="4" max="4" width="11.453125" style="1" customWidth="1"/>
    <col min="5" max="5" width="8.6328125" style="4"/>
    <col min="7" max="7" width="17.1796875" bestFit="1" customWidth="1"/>
    <col min="8" max="8" width="21" bestFit="1" customWidth="1"/>
    <col min="18" max="18" width="13.6328125" bestFit="1" customWidth="1"/>
    <col min="26" max="26" width="15.6328125" bestFit="1" customWidth="1"/>
    <col min="28" max="28" width="20.453125" bestFit="1" customWidth="1"/>
    <col min="31" max="31" width="19.453125" bestFit="1" customWidth="1"/>
    <col min="34" max="34" width="16.81640625" bestFit="1" customWidth="1"/>
    <col min="37" max="37" width="16.81640625" bestFit="1" customWidth="1"/>
    <col min="40" max="40" width="19.1796875" bestFit="1" customWidth="1"/>
    <col min="43" max="43" width="19.1796875" bestFit="1" customWidth="1"/>
    <col min="46" max="46" width="18.453125" bestFit="1" customWidth="1"/>
    <col min="51" max="51" width="16.6328125" bestFit="1" customWidth="1"/>
    <col min="52" max="52" width="18.36328125" bestFit="1" customWidth="1"/>
    <col min="54" max="54" width="16.6328125" bestFit="1" customWidth="1"/>
    <col min="55" max="55" width="27" bestFit="1" customWidth="1"/>
  </cols>
  <sheetData>
    <row r="1" spans="1:55" ht="15" thickBot="1" x14ac:dyDescent="0.4">
      <c r="A1" s="2" t="s">
        <v>596</v>
      </c>
      <c r="B1" s="2" t="s">
        <v>595</v>
      </c>
      <c r="C1" s="2" t="s">
        <v>13</v>
      </c>
      <c r="D1" s="2" t="s">
        <v>16</v>
      </c>
      <c r="E1" s="2" t="s">
        <v>14</v>
      </c>
      <c r="F1" s="2" t="s">
        <v>1</v>
      </c>
      <c r="G1" s="2" t="s">
        <v>621</v>
      </c>
      <c r="H1" s="2" t="s">
        <v>622</v>
      </c>
      <c r="I1" s="2" t="s">
        <v>3</v>
      </c>
      <c r="J1" s="2" t="s">
        <v>4</v>
      </c>
      <c r="K1" s="2" t="s">
        <v>5</v>
      </c>
      <c r="L1" s="2" t="s">
        <v>6</v>
      </c>
      <c r="M1" s="2" t="s">
        <v>7</v>
      </c>
      <c r="N1" s="2" t="s">
        <v>8</v>
      </c>
      <c r="O1" s="2" t="s">
        <v>9</v>
      </c>
      <c r="P1" s="2" t="s">
        <v>10</v>
      </c>
      <c r="Q1" s="2" t="s">
        <v>11</v>
      </c>
      <c r="R1" s="2" t="s">
        <v>616</v>
      </c>
      <c r="S1" s="2" t="s">
        <v>617</v>
      </c>
      <c r="T1" s="2" t="s">
        <v>618</v>
      </c>
      <c r="U1" s="2" t="s">
        <v>619</v>
      </c>
      <c r="V1" s="2" t="s">
        <v>620</v>
      </c>
      <c r="W1" s="2" t="s">
        <v>623</v>
      </c>
      <c r="X1" s="2" t="s">
        <v>624</v>
      </c>
      <c r="Y1" s="2" t="s">
        <v>12</v>
      </c>
      <c r="Z1" s="2" t="s">
        <v>625</v>
      </c>
      <c r="AA1" s="2" t="s">
        <v>15</v>
      </c>
      <c r="AB1" s="2" t="s">
        <v>626</v>
      </c>
    </row>
    <row r="2" spans="1:55" x14ac:dyDescent="0.35">
      <c r="A2" s="1" t="s">
        <v>18</v>
      </c>
      <c r="B2" s="1" t="s">
        <v>598</v>
      </c>
      <c r="C2" s="1" t="s">
        <v>19</v>
      </c>
      <c r="D2" s="1" t="s">
        <v>28</v>
      </c>
      <c r="E2" s="4">
        <v>0</v>
      </c>
      <c r="F2">
        <v>24</v>
      </c>
      <c r="G2">
        <v>2</v>
      </c>
      <c r="H2">
        <v>2.5</v>
      </c>
      <c r="I2">
        <v>0</v>
      </c>
      <c r="K2">
        <v>0</v>
      </c>
      <c r="M2">
        <v>0</v>
      </c>
      <c r="P2">
        <v>0</v>
      </c>
      <c r="R2">
        <v>0</v>
      </c>
      <c r="S2">
        <v>0.5</v>
      </c>
      <c r="T2">
        <v>0</v>
      </c>
      <c r="U2">
        <v>0</v>
      </c>
      <c r="V2">
        <v>0</v>
      </c>
      <c r="W2">
        <v>1</v>
      </c>
      <c r="X2">
        <v>0</v>
      </c>
      <c r="Y2">
        <v>0</v>
      </c>
      <c r="Z2">
        <v>-4</v>
      </c>
      <c r="AA2">
        <v>-0.1</v>
      </c>
      <c r="AB2">
        <v>0.111</v>
      </c>
      <c r="AE2" s="22" t="s">
        <v>14</v>
      </c>
      <c r="AF2" s="23"/>
      <c r="AH2" s="22" t="s">
        <v>3</v>
      </c>
      <c r="AI2" s="23"/>
      <c r="AK2" s="22" t="s">
        <v>7</v>
      </c>
      <c r="AL2" s="23"/>
      <c r="AN2" s="22" t="s">
        <v>11</v>
      </c>
      <c r="AO2" s="23"/>
      <c r="AQ2" s="22" t="s">
        <v>619</v>
      </c>
      <c r="AR2" s="23"/>
      <c r="AT2" s="44" t="s">
        <v>631</v>
      </c>
      <c r="AU2" s="45"/>
      <c r="AY2" s="33" t="s">
        <v>596</v>
      </c>
      <c r="AZ2" s="34"/>
      <c r="BB2" s="33" t="s">
        <v>13</v>
      </c>
      <c r="BC2" s="34"/>
    </row>
    <row r="3" spans="1:55" x14ac:dyDescent="0.35">
      <c r="A3" s="1" t="s">
        <v>26</v>
      </c>
      <c r="B3" s="1" t="s">
        <v>597</v>
      </c>
      <c r="C3" s="1" t="s">
        <v>23</v>
      </c>
      <c r="D3" s="1" t="s">
        <v>50</v>
      </c>
      <c r="E3" s="4">
        <v>0</v>
      </c>
      <c r="F3">
        <v>27</v>
      </c>
      <c r="G3">
        <v>4</v>
      </c>
      <c r="H3">
        <v>1.8</v>
      </c>
      <c r="I3">
        <v>0</v>
      </c>
      <c r="K3">
        <v>0</v>
      </c>
      <c r="M3">
        <v>0</v>
      </c>
      <c r="P3">
        <v>0</v>
      </c>
      <c r="R3">
        <v>0</v>
      </c>
      <c r="S3">
        <v>0.3</v>
      </c>
      <c r="T3">
        <v>0.3</v>
      </c>
      <c r="U3">
        <v>0</v>
      </c>
      <c r="V3">
        <v>0</v>
      </c>
      <c r="W3">
        <v>0</v>
      </c>
      <c r="X3">
        <v>0</v>
      </c>
      <c r="Y3">
        <v>5</v>
      </c>
      <c r="Z3">
        <v>5.6</v>
      </c>
      <c r="AA3">
        <v>10.9</v>
      </c>
      <c r="AB3">
        <v>0.114</v>
      </c>
      <c r="AE3" s="12" t="s">
        <v>615</v>
      </c>
      <c r="AF3" s="13">
        <v>569</v>
      </c>
      <c r="AH3" s="12" t="s">
        <v>615</v>
      </c>
      <c r="AI3" s="13">
        <v>569</v>
      </c>
      <c r="AK3" s="12" t="s">
        <v>615</v>
      </c>
      <c r="AL3" s="13">
        <v>569</v>
      </c>
      <c r="AN3" s="12" t="s">
        <v>615</v>
      </c>
      <c r="AO3" s="13">
        <v>547</v>
      </c>
      <c r="AQ3" s="12" t="s">
        <v>615</v>
      </c>
      <c r="AR3" s="13">
        <v>569</v>
      </c>
      <c r="AT3" s="12" t="s">
        <v>615</v>
      </c>
      <c r="AU3" s="13">
        <v>569</v>
      </c>
      <c r="AY3" s="12" t="s">
        <v>635</v>
      </c>
      <c r="AZ3" s="13">
        <f>GETPIVOTDATA("Position",$AY$6)</f>
        <v>569</v>
      </c>
      <c r="BB3" s="12" t="s">
        <v>635</v>
      </c>
      <c r="BC3" s="13">
        <f>GETPIVOTDATA("Nationality",$BB$6)</f>
        <v>569</v>
      </c>
    </row>
    <row r="4" spans="1:55" x14ac:dyDescent="0.35">
      <c r="A4" s="1" t="s">
        <v>18</v>
      </c>
      <c r="B4" s="1" t="s">
        <v>597</v>
      </c>
      <c r="C4" s="1" t="s">
        <v>33</v>
      </c>
      <c r="D4" s="1" t="s">
        <v>20</v>
      </c>
      <c r="E4" s="4">
        <v>0</v>
      </c>
      <c r="F4">
        <v>29</v>
      </c>
      <c r="G4">
        <v>1</v>
      </c>
      <c r="H4">
        <v>3</v>
      </c>
      <c r="I4">
        <v>0</v>
      </c>
      <c r="K4">
        <v>0</v>
      </c>
      <c r="M4">
        <v>0</v>
      </c>
      <c r="P4">
        <v>0</v>
      </c>
      <c r="R4">
        <v>1</v>
      </c>
      <c r="S4">
        <v>1</v>
      </c>
      <c r="T4">
        <v>0</v>
      </c>
      <c r="U4">
        <v>0</v>
      </c>
      <c r="V4">
        <v>0</v>
      </c>
      <c r="W4">
        <v>0</v>
      </c>
      <c r="X4">
        <v>0</v>
      </c>
      <c r="Y4">
        <v>6</v>
      </c>
      <c r="Z4">
        <v>7.5</v>
      </c>
      <c r="AA4">
        <v>13.8</v>
      </c>
      <c r="AB4">
        <v>0.19600000000000001</v>
      </c>
      <c r="AE4" s="12" t="s">
        <v>608</v>
      </c>
      <c r="AF4" s="13">
        <v>0.5282952548330403</v>
      </c>
      <c r="AH4" s="12" t="s">
        <v>608</v>
      </c>
      <c r="AI4" s="13">
        <v>7.0790861159929719</v>
      </c>
      <c r="AK4" s="12" t="s">
        <v>608</v>
      </c>
      <c r="AL4" s="13">
        <v>4.1010544815465702</v>
      </c>
      <c r="AN4" s="12" t="s">
        <v>608</v>
      </c>
      <c r="AO4" s="13">
        <v>0.74920840950639944</v>
      </c>
      <c r="AQ4" s="12" t="s">
        <v>608</v>
      </c>
      <c r="AR4" s="13">
        <v>0.40316344463971843</v>
      </c>
      <c r="AT4" s="12" t="s">
        <v>608</v>
      </c>
      <c r="AU4" s="13">
        <v>4.3690685413005275</v>
      </c>
      <c r="AY4" s="12" t="s">
        <v>610</v>
      </c>
      <c r="AZ4" s="13" t="str">
        <f>AY9</f>
        <v>G</v>
      </c>
      <c r="BB4" s="12" t="s">
        <v>610</v>
      </c>
      <c r="BC4" s="13" t="str">
        <f>BB9</f>
        <v>United States</v>
      </c>
    </row>
    <row r="5" spans="1:55" x14ac:dyDescent="0.35">
      <c r="A5" s="1" t="s">
        <v>26</v>
      </c>
      <c r="B5" s="1" t="s">
        <v>598</v>
      </c>
      <c r="C5" s="1" t="s">
        <v>23</v>
      </c>
      <c r="D5" s="1" t="s">
        <v>28</v>
      </c>
      <c r="E5" s="4">
        <v>0</v>
      </c>
      <c r="F5">
        <v>24</v>
      </c>
      <c r="G5">
        <v>1</v>
      </c>
      <c r="H5">
        <v>7</v>
      </c>
      <c r="I5">
        <v>1</v>
      </c>
      <c r="J5">
        <v>0</v>
      </c>
      <c r="K5">
        <v>1</v>
      </c>
      <c r="L5">
        <v>0</v>
      </c>
      <c r="M5">
        <v>0</v>
      </c>
      <c r="O5">
        <v>0</v>
      </c>
      <c r="P5">
        <v>0</v>
      </c>
      <c r="R5">
        <v>2</v>
      </c>
      <c r="S5">
        <v>0</v>
      </c>
      <c r="T5">
        <v>0</v>
      </c>
      <c r="U5">
        <v>0</v>
      </c>
      <c r="V5">
        <v>0</v>
      </c>
      <c r="W5">
        <v>0</v>
      </c>
      <c r="X5">
        <v>0</v>
      </c>
      <c r="Y5">
        <v>0</v>
      </c>
      <c r="Z5">
        <v>-11.8</v>
      </c>
      <c r="AA5">
        <v>-1.7</v>
      </c>
      <c r="AB5">
        <v>-0.114</v>
      </c>
      <c r="AE5" s="12" t="s">
        <v>609</v>
      </c>
      <c r="AF5" s="13">
        <v>0.1</v>
      </c>
      <c r="AH5" s="12" t="s">
        <v>609</v>
      </c>
      <c r="AI5" s="13">
        <v>6.1</v>
      </c>
      <c r="AK5" s="12" t="s">
        <v>609</v>
      </c>
      <c r="AL5" s="13">
        <v>3.1</v>
      </c>
      <c r="AN5" s="12" t="s">
        <v>609</v>
      </c>
      <c r="AO5" s="13">
        <v>0.76900000000000002</v>
      </c>
      <c r="AQ5" s="12" t="s">
        <v>609</v>
      </c>
      <c r="AR5" s="13">
        <v>0.3</v>
      </c>
      <c r="AT5" s="12" t="s">
        <v>609</v>
      </c>
      <c r="AU5" s="13">
        <v>3</v>
      </c>
      <c r="AY5" s="12" t="s">
        <v>633</v>
      </c>
      <c r="AZ5" s="13">
        <v>3</v>
      </c>
      <c r="BB5" s="12" t="s">
        <v>633</v>
      </c>
      <c r="BC5" s="13">
        <v>3</v>
      </c>
    </row>
    <row r="6" spans="1:55" x14ac:dyDescent="0.35">
      <c r="A6" s="1" t="s">
        <v>2</v>
      </c>
      <c r="B6" s="1" t="s">
        <v>598</v>
      </c>
      <c r="C6" s="1" t="s">
        <v>23</v>
      </c>
      <c r="D6" s="1" t="s">
        <v>28</v>
      </c>
      <c r="E6" s="4">
        <v>0</v>
      </c>
      <c r="F6">
        <v>23</v>
      </c>
      <c r="G6">
        <v>2</v>
      </c>
      <c r="H6">
        <v>5</v>
      </c>
      <c r="I6">
        <v>2.5</v>
      </c>
      <c r="J6">
        <v>0.2</v>
      </c>
      <c r="K6">
        <v>2.5</v>
      </c>
      <c r="L6">
        <v>0.2</v>
      </c>
      <c r="M6">
        <v>0</v>
      </c>
      <c r="O6">
        <v>0.3</v>
      </c>
      <c r="P6">
        <v>0</v>
      </c>
      <c r="R6">
        <v>0</v>
      </c>
      <c r="S6">
        <v>0.5</v>
      </c>
      <c r="T6">
        <v>0</v>
      </c>
      <c r="U6">
        <v>0</v>
      </c>
      <c r="V6">
        <v>0.5</v>
      </c>
      <c r="W6">
        <v>0</v>
      </c>
      <c r="X6">
        <v>1.5</v>
      </c>
      <c r="Y6">
        <v>0</v>
      </c>
      <c r="Z6">
        <v>-18.600000000000001</v>
      </c>
      <c r="AA6">
        <v>-5.2</v>
      </c>
      <c r="AB6">
        <v>-0.3</v>
      </c>
      <c r="AE6" s="12" t="s">
        <v>611</v>
      </c>
      <c r="AF6" s="13">
        <v>1.1952918542751216</v>
      </c>
      <c r="AH6" s="12" t="s">
        <v>611</v>
      </c>
      <c r="AI6" s="13">
        <v>4.8802492729534279</v>
      </c>
      <c r="AK6" s="12" t="s">
        <v>611</v>
      </c>
      <c r="AL6" s="13">
        <v>3.323957892213687</v>
      </c>
      <c r="AN6" s="12" t="s">
        <v>611</v>
      </c>
      <c r="AO6" s="13">
        <v>0.1415854253671644</v>
      </c>
      <c r="AQ6" s="12" t="s">
        <v>611</v>
      </c>
      <c r="AR6" s="13">
        <v>0.40562572467794511</v>
      </c>
      <c r="AT6" s="12" t="s">
        <v>611</v>
      </c>
      <c r="AU6" s="13">
        <v>4.1661140585882981</v>
      </c>
      <c r="AY6" s="16" t="s">
        <v>603</v>
      </c>
      <c r="AZ6" s="13" t="s">
        <v>634</v>
      </c>
      <c r="BB6" s="16" t="s">
        <v>603</v>
      </c>
      <c r="BC6" s="13" t="s">
        <v>638</v>
      </c>
    </row>
    <row r="7" spans="1:55" x14ac:dyDescent="0.35">
      <c r="A7" s="1" t="s">
        <v>2</v>
      </c>
      <c r="B7" s="1" t="s">
        <v>598</v>
      </c>
      <c r="C7" s="1" t="s">
        <v>23</v>
      </c>
      <c r="D7" s="1" t="s">
        <v>28</v>
      </c>
      <c r="E7" s="4">
        <v>0</v>
      </c>
      <c r="F7">
        <v>23</v>
      </c>
      <c r="G7">
        <v>3</v>
      </c>
      <c r="H7">
        <v>1</v>
      </c>
      <c r="I7">
        <v>0.3</v>
      </c>
      <c r="J7">
        <v>0</v>
      </c>
      <c r="K7">
        <v>0</v>
      </c>
      <c r="M7">
        <v>0.3</v>
      </c>
      <c r="N7">
        <v>0</v>
      </c>
      <c r="O7">
        <v>0</v>
      </c>
      <c r="P7">
        <v>0</v>
      </c>
      <c r="R7">
        <v>0</v>
      </c>
      <c r="S7">
        <v>0</v>
      </c>
      <c r="T7">
        <v>0</v>
      </c>
      <c r="U7">
        <v>0</v>
      </c>
      <c r="V7">
        <v>0</v>
      </c>
      <c r="W7">
        <v>0</v>
      </c>
      <c r="X7">
        <v>0</v>
      </c>
      <c r="Y7">
        <v>0</v>
      </c>
      <c r="Z7">
        <v>-22.7</v>
      </c>
      <c r="AA7">
        <v>-11.7</v>
      </c>
      <c r="AB7">
        <v>-0.30399999999999999</v>
      </c>
      <c r="AE7" s="12" t="s">
        <v>613</v>
      </c>
      <c r="AF7" s="13">
        <v>-1.6</v>
      </c>
      <c r="AH7" s="12" t="s">
        <v>613</v>
      </c>
      <c r="AI7" s="13">
        <v>0</v>
      </c>
      <c r="AK7" s="12" t="s">
        <v>613</v>
      </c>
      <c r="AL7" s="13">
        <v>0</v>
      </c>
      <c r="AN7" s="12" t="s">
        <v>613</v>
      </c>
      <c r="AO7" s="13">
        <v>0</v>
      </c>
      <c r="AQ7" s="12" t="s">
        <v>613</v>
      </c>
      <c r="AR7" s="13">
        <v>0</v>
      </c>
      <c r="AT7" s="12" t="s">
        <v>613</v>
      </c>
      <c r="AU7" s="13">
        <v>0</v>
      </c>
      <c r="AY7" s="17" t="s">
        <v>18</v>
      </c>
      <c r="AZ7" s="13">
        <v>103</v>
      </c>
      <c r="BB7" s="17" t="s">
        <v>19</v>
      </c>
      <c r="BC7" s="13">
        <v>119</v>
      </c>
    </row>
    <row r="8" spans="1:55" x14ac:dyDescent="0.35">
      <c r="A8" s="1" t="s">
        <v>26</v>
      </c>
      <c r="B8" s="1" t="s">
        <v>598</v>
      </c>
      <c r="C8" s="1" t="s">
        <v>23</v>
      </c>
      <c r="D8" s="1" t="s">
        <v>28</v>
      </c>
      <c r="E8" s="4">
        <v>0</v>
      </c>
      <c r="F8">
        <v>25</v>
      </c>
      <c r="G8">
        <v>3</v>
      </c>
      <c r="H8">
        <v>2</v>
      </c>
      <c r="I8">
        <v>0.3</v>
      </c>
      <c r="J8">
        <v>0</v>
      </c>
      <c r="K8">
        <v>0</v>
      </c>
      <c r="M8">
        <v>0.3</v>
      </c>
      <c r="N8">
        <v>0</v>
      </c>
      <c r="O8">
        <v>0</v>
      </c>
      <c r="P8">
        <v>0</v>
      </c>
      <c r="R8">
        <v>0.3</v>
      </c>
      <c r="S8">
        <v>0.7</v>
      </c>
      <c r="T8">
        <v>0</v>
      </c>
      <c r="U8">
        <v>0</v>
      </c>
      <c r="V8">
        <v>0</v>
      </c>
      <c r="W8">
        <v>0</v>
      </c>
      <c r="X8">
        <v>0</v>
      </c>
      <c r="Y8">
        <v>3</v>
      </c>
      <c r="Z8">
        <v>3.3</v>
      </c>
      <c r="AA8">
        <v>9.8000000000000007</v>
      </c>
      <c r="AB8">
        <v>4.9000000000000002E-2</v>
      </c>
      <c r="AE8" s="12" t="s">
        <v>614</v>
      </c>
      <c r="AF8" s="13">
        <v>9.8000000000000007</v>
      </c>
      <c r="AH8" s="12" t="s">
        <v>614</v>
      </c>
      <c r="AI8" s="13">
        <v>21.8</v>
      </c>
      <c r="AK8" s="12" t="s">
        <v>614</v>
      </c>
      <c r="AL8" s="13">
        <v>18.7</v>
      </c>
      <c r="AN8" s="12" t="s">
        <v>614</v>
      </c>
      <c r="AO8" s="13">
        <v>1</v>
      </c>
      <c r="AQ8" s="12" t="s">
        <v>614</v>
      </c>
      <c r="AR8" s="13">
        <v>3.8</v>
      </c>
      <c r="AT8" s="12" t="s">
        <v>614</v>
      </c>
      <c r="AU8" s="13">
        <v>21</v>
      </c>
      <c r="AY8" s="17" t="s">
        <v>26</v>
      </c>
      <c r="AZ8" s="13">
        <v>212</v>
      </c>
      <c r="BB8" s="17" t="s">
        <v>33</v>
      </c>
      <c r="BC8" s="13">
        <v>35</v>
      </c>
    </row>
    <row r="9" spans="1:55" ht="15" thickBot="1" x14ac:dyDescent="0.4">
      <c r="A9" s="1" t="s">
        <v>2</v>
      </c>
      <c r="B9" s="1" t="s">
        <v>597</v>
      </c>
      <c r="C9" s="1" t="s">
        <v>23</v>
      </c>
      <c r="D9" s="1" t="s">
        <v>28</v>
      </c>
      <c r="E9" s="4">
        <v>0</v>
      </c>
      <c r="F9">
        <v>24</v>
      </c>
      <c r="G9">
        <v>3</v>
      </c>
      <c r="H9">
        <v>2</v>
      </c>
      <c r="I9">
        <v>0.7</v>
      </c>
      <c r="J9">
        <v>0</v>
      </c>
      <c r="K9">
        <v>0.3</v>
      </c>
      <c r="L9">
        <v>0</v>
      </c>
      <c r="M9">
        <v>0.3</v>
      </c>
      <c r="N9">
        <v>0</v>
      </c>
      <c r="O9">
        <v>0</v>
      </c>
      <c r="P9">
        <v>0</v>
      </c>
      <c r="R9">
        <v>0.7</v>
      </c>
      <c r="S9">
        <v>0</v>
      </c>
      <c r="T9">
        <v>0.3</v>
      </c>
      <c r="U9">
        <v>0</v>
      </c>
      <c r="V9">
        <v>0</v>
      </c>
      <c r="W9">
        <v>0</v>
      </c>
      <c r="X9">
        <v>0</v>
      </c>
      <c r="Y9">
        <v>0</v>
      </c>
      <c r="Z9">
        <v>-11.8</v>
      </c>
      <c r="AA9">
        <v>0.1</v>
      </c>
      <c r="AB9">
        <v>-0.19600000000000001</v>
      </c>
      <c r="AE9" s="14" t="s">
        <v>612</v>
      </c>
      <c r="AF9" s="15">
        <v>11.4</v>
      </c>
      <c r="AH9" s="14" t="s">
        <v>612</v>
      </c>
      <c r="AI9" s="15">
        <v>21.8</v>
      </c>
      <c r="AK9" s="14" t="s">
        <v>612</v>
      </c>
      <c r="AL9" s="15">
        <v>18.7</v>
      </c>
      <c r="AN9" s="14" t="s">
        <v>612</v>
      </c>
      <c r="AO9" s="15">
        <v>1</v>
      </c>
      <c r="AQ9" s="14" t="s">
        <v>612</v>
      </c>
      <c r="AR9" s="15">
        <v>3.8</v>
      </c>
      <c r="AT9" s="14" t="s">
        <v>612</v>
      </c>
      <c r="AU9" s="15">
        <v>21</v>
      </c>
      <c r="AY9" s="17" t="s">
        <v>2</v>
      </c>
      <c r="AZ9" s="13">
        <v>254</v>
      </c>
      <c r="BB9" s="17" t="s">
        <v>23</v>
      </c>
      <c r="BC9" s="13">
        <v>415</v>
      </c>
    </row>
    <row r="10" spans="1:55" ht="15" thickBot="1" x14ac:dyDescent="0.4">
      <c r="A10" s="1" t="s">
        <v>26</v>
      </c>
      <c r="B10" s="1" t="s">
        <v>597</v>
      </c>
      <c r="C10" s="1" t="s">
        <v>23</v>
      </c>
      <c r="D10" s="1" t="s">
        <v>50</v>
      </c>
      <c r="E10" s="4">
        <v>-0.1</v>
      </c>
      <c r="F10">
        <v>39</v>
      </c>
      <c r="G10">
        <v>3</v>
      </c>
      <c r="H10">
        <v>19.3</v>
      </c>
      <c r="I10">
        <v>2.2999999999999998</v>
      </c>
      <c r="J10">
        <v>0.42899999999999999</v>
      </c>
      <c r="K10">
        <v>2</v>
      </c>
      <c r="L10">
        <v>0.5</v>
      </c>
      <c r="M10">
        <v>0.3</v>
      </c>
      <c r="N10">
        <v>0</v>
      </c>
      <c r="O10">
        <v>0.64300000000000002</v>
      </c>
      <c r="P10">
        <v>0</v>
      </c>
      <c r="R10">
        <v>2.7</v>
      </c>
      <c r="S10">
        <v>0</v>
      </c>
      <c r="T10">
        <v>0.3</v>
      </c>
      <c r="U10">
        <v>0.3</v>
      </c>
      <c r="V10">
        <v>0.3</v>
      </c>
      <c r="W10">
        <v>2.7</v>
      </c>
      <c r="X10">
        <v>3</v>
      </c>
      <c r="Y10">
        <v>13</v>
      </c>
      <c r="Z10">
        <v>-7.2</v>
      </c>
      <c r="AA10">
        <v>5.5</v>
      </c>
      <c r="AB10">
        <v>7.0000000000000007E-2</v>
      </c>
      <c r="AY10" s="18" t="s">
        <v>636</v>
      </c>
      <c r="AZ10" s="15">
        <v>569</v>
      </c>
      <c r="BB10" s="18" t="s">
        <v>636</v>
      </c>
      <c r="BC10" s="15">
        <v>569</v>
      </c>
    </row>
    <row r="11" spans="1:55" ht="15" thickBot="1" x14ac:dyDescent="0.4">
      <c r="A11" s="1" t="s">
        <v>26</v>
      </c>
      <c r="B11" s="1" t="s">
        <v>598</v>
      </c>
      <c r="C11" s="1" t="s">
        <v>19</v>
      </c>
      <c r="D11" s="1" t="s">
        <v>28</v>
      </c>
      <c r="E11" s="4">
        <v>-0.1</v>
      </c>
      <c r="F11">
        <v>37</v>
      </c>
      <c r="G11">
        <v>19</v>
      </c>
      <c r="H11">
        <v>6</v>
      </c>
      <c r="I11">
        <v>1.2</v>
      </c>
      <c r="J11">
        <v>0.26100000000000001</v>
      </c>
      <c r="K11">
        <v>0.8</v>
      </c>
      <c r="L11">
        <v>0.2</v>
      </c>
      <c r="M11">
        <v>0.4</v>
      </c>
      <c r="N11">
        <v>0.375</v>
      </c>
      <c r="O11">
        <v>0.32600000000000001</v>
      </c>
      <c r="P11">
        <v>0</v>
      </c>
      <c r="R11">
        <v>0.6</v>
      </c>
      <c r="S11">
        <v>1.2</v>
      </c>
      <c r="T11">
        <v>0.1</v>
      </c>
      <c r="U11">
        <v>0</v>
      </c>
      <c r="V11">
        <v>0.5</v>
      </c>
      <c r="W11">
        <v>0.6</v>
      </c>
      <c r="X11">
        <v>0.8</v>
      </c>
      <c r="Y11">
        <v>10</v>
      </c>
      <c r="Z11">
        <v>-7</v>
      </c>
      <c r="AA11">
        <v>2.4</v>
      </c>
      <c r="AB11">
        <v>-3.5000000000000003E-2</v>
      </c>
      <c r="AE11" s="22" t="s">
        <v>1</v>
      </c>
      <c r="AF11" s="23"/>
      <c r="AH11" s="22" t="s">
        <v>4</v>
      </c>
      <c r="AI11" s="23"/>
      <c r="AK11" s="46" t="s">
        <v>8</v>
      </c>
      <c r="AL11" s="47"/>
      <c r="AN11" s="22" t="s">
        <v>616</v>
      </c>
      <c r="AO11" s="23"/>
      <c r="AQ11" s="22" t="s">
        <v>620</v>
      </c>
      <c r="AR11" s="23"/>
      <c r="AT11" s="22" t="s">
        <v>625</v>
      </c>
      <c r="AU11" s="23"/>
    </row>
    <row r="12" spans="1:55" x14ac:dyDescent="0.35">
      <c r="A12" s="1" t="s">
        <v>26</v>
      </c>
      <c r="B12" s="1" t="s">
        <v>598</v>
      </c>
      <c r="C12" s="1" t="s">
        <v>19</v>
      </c>
      <c r="D12" s="1" t="s">
        <v>28</v>
      </c>
      <c r="E12" s="4">
        <v>-0.1</v>
      </c>
      <c r="F12">
        <v>28</v>
      </c>
      <c r="G12">
        <v>9</v>
      </c>
      <c r="H12">
        <v>4.8</v>
      </c>
      <c r="I12">
        <v>1.9</v>
      </c>
      <c r="J12">
        <v>0.29399999999999998</v>
      </c>
      <c r="K12">
        <v>1.4</v>
      </c>
      <c r="L12">
        <v>0.308</v>
      </c>
      <c r="M12">
        <v>0.4</v>
      </c>
      <c r="N12">
        <v>0.25</v>
      </c>
      <c r="O12">
        <v>0.41199999999999998</v>
      </c>
      <c r="P12">
        <v>0</v>
      </c>
      <c r="R12">
        <v>0.6</v>
      </c>
      <c r="S12">
        <v>0.1</v>
      </c>
      <c r="T12">
        <v>0</v>
      </c>
      <c r="U12">
        <v>0.2</v>
      </c>
      <c r="V12">
        <v>0.2</v>
      </c>
      <c r="W12">
        <v>0.3</v>
      </c>
      <c r="X12">
        <v>1.6</v>
      </c>
      <c r="Y12">
        <v>0</v>
      </c>
      <c r="Z12">
        <v>-7.7</v>
      </c>
      <c r="AA12">
        <v>4</v>
      </c>
      <c r="AB12">
        <v>-3.1E-2</v>
      </c>
      <c r="AE12" s="12" t="s">
        <v>615</v>
      </c>
      <c r="AF12" s="13">
        <v>569</v>
      </c>
      <c r="AH12" s="12" t="s">
        <v>615</v>
      </c>
      <c r="AI12" s="13">
        <v>566</v>
      </c>
      <c r="AK12" s="12" t="s">
        <v>615</v>
      </c>
      <c r="AL12" s="13">
        <v>561</v>
      </c>
      <c r="AN12" s="12" t="s">
        <v>615</v>
      </c>
      <c r="AO12" s="13">
        <v>569</v>
      </c>
      <c r="AQ12" s="12" t="s">
        <v>615</v>
      </c>
      <c r="AR12" s="13">
        <v>569</v>
      </c>
      <c r="AT12" s="12" t="s">
        <v>615</v>
      </c>
      <c r="AU12" s="13">
        <v>569</v>
      </c>
      <c r="AY12" s="33" t="s">
        <v>595</v>
      </c>
      <c r="AZ12" s="34"/>
      <c r="BB12" s="33" t="s">
        <v>607</v>
      </c>
      <c r="BC12" s="34"/>
    </row>
    <row r="13" spans="1:55" x14ac:dyDescent="0.35">
      <c r="A13" s="1" t="s">
        <v>2</v>
      </c>
      <c r="B13" s="1" t="s">
        <v>597</v>
      </c>
      <c r="C13" s="1" t="s">
        <v>23</v>
      </c>
      <c r="D13" s="1" t="s">
        <v>28</v>
      </c>
      <c r="E13" s="4">
        <v>0</v>
      </c>
      <c r="F13">
        <v>26</v>
      </c>
      <c r="G13">
        <v>2</v>
      </c>
      <c r="H13">
        <v>5</v>
      </c>
      <c r="I13">
        <v>1</v>
      </c>
      <c r="J13">
        <v>0</v>
      </c>
      <c r="K13">
        <v>0.5</v>
      </c>
      <c r="L13">
        <v>0</v>
      </c>
      <c r="M13">
        <v>0.5</v>
      </c>
      <c r="N13">
        <v>0</v>
      </c>
      <c r="O13">
        <v>0</v>
      </c>
      <c r="P13">
        <v>0</v>
      </c>
      <c r="R13">
        <v>0.5</v>
      </c>
      <c r="S13">
        <v>1.5</v>
      </c>
      <c r="T13">
        <v>0</v>
      </c>
      <c r="U13">
        <v>0</v>
      </c>
      <c r="V13">
        <v>0</v>
      </c>
      <c r="W13">
        <v>1</v>
      </c>
      <c r="X13">
        <v>0</v>
      </c>
      <c r="Y13">
        <v>2</v>
      </c>
      <c r="Z13">
        <v>-11</v>
      </c>
      <c r="AA13">
        <v>-0.3</v>
      </c>
      <c r="AB13">
        <v>-4.7E-2</v>
      </c>
      <c r="AE13" s="12" t="s">
        <v>608</v>
      </c>
      <c r="AF13" s="13">
        <v>25.810193321616872</v>
      </c>
      <c r="AH13" s="12" t="s">
        <v>608</v>
      </c>
      <c r="AI13" s="13">
        <v>0.44847349823321564</v>
      </c>
      <c r="AK13" s="12" t="s">
        <v>608</v>
      </c>
      <c r="AL13" s="13">
        <v>0.5245597147950084</v>
      </c>
      <c r="AN13" s="12" t="s">
        <v>608</v>
      </c>
      <c r="AO13" s="13">
        <v>3.5956063268892784</v>
      </c>
      <c r="AQ13" s="12" t="s">
        <v>608</v>
      </c>
      <c r="AR13" s="13">
        <v>1.0892794376098407</v>
      </c>
      <c r="AT13" s="12" t="s">
        <v>608</v>
      </c>
      <c r="AU13" s="13">
        <v>-1.4864674868189816</v>
      </c>
      <c r="AY13" s="12" t="s">
        <v>635</v>
      </c>
      <c r="AZ13" s="13">
        <f>GETPIVOTDATA("Conference",$AY$16)</f>
        <v>569</v>
      </c>
      <c r="BB13" s="12" t="s">
        <v>635</v>
      </c>
      <c r="BC13" s="13">
        <f>GETPIVOTDATA("Draft_Group",$BB$16)</f>
        <v>569</v>
      </c>
    </row>
    <row r="14" spans="1:55" x14ac:dyDescent="0.35">
      <c r="A14" s="1" t="s">
        <v>26</v>
      </c>
      <c r="B14" s="1" t="s">
        <v>598</v>
      </c>
      <c r="C14" s="1" t="s">
        <v>23</v>
      </c>
      <c r="D14" s="1" t="s">
        <v>50</v>
      </c>
      <c r="E14" s="4">
        <v>0</v>
      </c>
      <c r="F14">
        <v>22</v>
      </c>
      <c r="G14">
        <v>5</v>
      </c>
      <c r="H14">
        <v>7</v>
      </c>
      <c r="I14">
        <v>0.8</v>
      </c>
      <c r="J14">
        <v>0.5</v>
      </c>
      <c r="K14">
        <v>0.2</v>
      </c>
      <c r="L14">
        <v>0</v>
      </c>
      <c r="M14">
        <v>0.6</v>
      </c>
      <c r="N14">
        <v>0.66700000000000004</v>
      </c>
      <c r="O14">
        <v>0.5</v>
      </c>
      <c r="P14">
        <v>0</v>
      </c>
      <c r="R14">
        <v>1.8</v>
      </c>
      <c r="S14">
        <v>0.6</v>
      </c>
      <c r="T14">
        <v>0.6</v>
      </c>
      <c r="U14">
        <v>0</v>
      </c>
      <c r="V14">
        <v>0.2</v>
      </c>
      <c r="W14">
        <v>0.4</v>
      </c>
      <c r="X14">
        <v>0.8</v>
      </c>
      <c r="Y14">
        <v>0</v>
      </c>
      <c r="Z14">
        <v>-1.2</v>
      </c>
      <c r="AA14">
        <v>10.9</v>
      </c>
      <c r="AB14">
        <v>9.2999999999999999E-2</v>
      </c>
      <c r="AE14" s="12" t="s">
        <v>609</v>
      </c>
      <c r="AF14" s="13">
        <v>25</v>
      </c>
      <c r="AH14" s="12" t="s">
        <v>609</v>
      </c>
      <c r="AI14" s="13">
        <v>0.44800000000000001</v>
      </c>
      <c r="AK14" s="12" t="s">
        <v>609</v>
      </c>
      <c r="AL14" s="13">
        <v>0.53</v>
      </c>
      <c r="AN14" s="12" t="s">
        <v>609</v>
      </c>
      <c r="AO14" s="13">
        <v>3.2</v>
      </c>
      <c r="AQ14" s="12" t="s">
        <v>609</v>
      </c>
      <c r="AR14" s="13">
        <v>0.9</v>
      </c>
      <c r="AT14" s="12" t="s">
        <v>609</v>
      </c>
      <c r="AU14" s="13">
        <v>-1.2</v>
      </c>
      <c r="AY14" s="12" t="s">
        <v>610</v>
      </c>
      <c r="AZ14" s="13" t="str">
        <f>AY17</f>
        <v>Eastern</v>
      </c>
      <c r="BB14" s="12" t="s">
        <v>610</v>
      </c>
      <c r="BC14" s="13" t="str">
        <f>BB17</f>
        <v>Rnd 1</v>
      </c>
    </row>
    <row r="15" spans="1:55" x14ac:dyDescent="0.35">
      <c r="A15" s="1" t="s">
        <v>26</v>
      </c>
      <c r="B15" s="1" t="s">
        <v>35</v>
      </c>
      <c r="C15" s="1" t="s">
        <v>23</v>
      </c>
      <c r="D15" s="1" t="s">
        <v>28</v>
      </c>
      <c r="E15" s="4">
        <v>0</v>
      </c>
      <c r="F15">
        <v>24</v>
      </c>
      <c r="G15">
        <v>17</v>
      </c>
      <c r="H15">
        <v>4.5</v>
      </c>
      <c r="I15">
        <v>1.3</v>
      </c>
      <c r="J15">
        <v>0.40899999999999997</v>
      </c>
      <c r="K15">
        <v>0.6</v>
      </c>
      <c r="L15">
        <v>0.5</v>
      </c>
      <c r="M15">
        <v>0.7</v>
      </c>
      <c r="N15">
        <v>0.33300000000000002</v>
      </c>
      <c r="O15">
        <v>0.52300000000000002</v>
      </c>
      <c r="P15">
        <v>0</v>
      </c>
      <c r="R15">
        <v>0.9</v>
      </c>
      <c r="S15">
        <v>0.4</v>
      </c>
      <c r="T15">
        <v>0.1</v>
      </c>
      <c r="U15">
        <v>0</v>
      </c>
      <c r="V15">
        <v>0.2</v>
      </c>
      <c r="W15">
        <v>0.2</v>
      </c>
      <c r="X15">
        <v>1.4</v>
      </c>
      <c r="Y15">
        <v>1</v>
      </c>
      <c r="Z15">
        <v>-2.6</v>
      </c>
      <c r="AA15">
        <v>9.1999999999999993</v>
      </c>
      <c r="AB15">
        <v>0.03</v>
      </c>
      <c r="AE15" s="12" t="s">
        <v>611</v>
      </c>
      <c r="AF15" s="13">
        <v>4.1857195350311338</v>
      </c>
      <c r="AH15" s="12" t="s">
        <v>611</v>
      </c>
      <c r="AI15" s="13">
        <v>0.11022528099646341</v>
      </c>
      <c r="AK15" s="12" t="s">
        <v>611</v>
      </c>
      <c r="AL15" s="13">
        <v>0.12101788717814331</v>
      </c>
      <c r="AN15" s="12" t="s">
        <v>611</v>
      </c>
      <c r="AO15" s="13">
        <v>2.4225317828905442</v>
      </c>
      <c r="AQ15" s="12" t="s">
        <v>611</v>
      </c>
      <c r="AR15" s="13">
        <v>0.82901244125951834</v>
      </c>
      <c r="AT15" s="12" t="s">
        <v>611</v>
      </c>
      <c r="AU15" s="13">
        <v>4.5615944595575009</v>
      </c>
      <c r="AY15" s="12" t="s">
        <v>633</v>
      </c>
      <c r="AZ15" s="13">
        <v>3</v>
      </c>
      <c r="BB15" s="12" t="s">
        <v>633</v>
      </c>
      <c r="BC15" s="13">
        <v>3</v>
      </c>
    </row>
    <row r="16" spans="1:55" x14ac:dyDescent="0.35">
      <c r="A16" s="1" t="s">
        <v>26</v>
      </c>
      <c r="B16" s="1" t="s">
        <v>598</v>
      </c>
      <c r="C16" s="1" t="s">
        <v>19</v>
      </c>
      <c r="D16" s="1" t="s">
        <v>20</v>
      </c>
      <c r="E16" s="4">
        <v>0</v>
      </c>
      <c r="F16">
        <v>28</v>
      </c>
      <c r="G16">
        <v>4</v>
      </c>
      <c r="H16">
        <v>3</v>
      </c>
      <c r="I16">
        <v>1</v>
      </c>
      <c r="J16">
        <v>0.5</v>
      </c>
      <c r="K16">
        <v>0.3</v>
      </c>
      <c r="L16">
        <v>1</v>
      </c>
      <c r="M16">
        <v>0.8</v>
      </c>
      <c r="N16">
        <v>0.33300000000000002</v>
      </c>
      <c r="O16">
        <v>0.625</v>
      </c>
      <c r="P16">
        <v>0</v>
      </c>
      <c r="R16">
        <v>0.8</v>
      </c>
      <c r="S16">
        <v>0.3</v>
      </c>
      <c r="T16">
        <v>0</v>
      </c>
      <c r="U16">
        <v>0</v>
      </c>
      <c r="V16">
        <v>0</v>
      </c>
      <c r="W16">
        <v>0.3</v>
      </c>
      <c r="X16">
        <v>1.3</v>
      </c>
      <c r="Y16">
        <v>4</v>
      </c>
      <c r="Z16">
        <v>2.1</v>
      </c>
      <c r="AA16">
        <v>15.9</v>
      </c>
      <c r="AB16">
        <v>0.16500000000000001</v>
      </c>
      <c r="AE16" s="12" t="s">
        <v>613</v>
      </c>
      <c r="AF16" s="13">
        <v>19</v>
      </c>
      <c r="AH16" s="12" t="s">
        <v>613</v>
      </c>
      <c r="AI16" s="13">
        <v>0</v>
      </c>
      <c r="AK16" s="12" t="s">
        <v>613</v>
      </c>
      <c r="AL16" s="13">
        <v>0</v>
      </c>
      <c r="AN16" s="12" t="s">
        <v>613</v>
      </c>
      <c r="AO16" s="13">
        <v>0</v>
      </c>
      <c r="AQ16" s="12" t="s">
        <v>613</v>
      </c>
      <c r="AR16" s="13">
        <v>0</v>
      </c>
      <c r="AT16" s="12" t="s">
        <v>613</v>
      </c>
      <c r="AU16" s="13">
        <v>-24.9</v>
      </c>
      <c r="AY16" s="16" t="s">
        <v>603</v>
      </c>
      <c r="AZ16" s="13" t="s">
        <v>637</v>
      </c>
      <c r="BB16" s="16" t="s">
        <v>603</v>
      </c>
      <c r="BC16" s="13" t="s">
        <v>639</v>
      </c>
    </row>
    <row r="17" spans="1:55" x14ac:dyDescent="0.35">
      <c r="A17" s="1" t="s">
        <v>26</v>
      </c>
      <c r="B17" s="1" t="s">
        <v>598</v>
      </c>
      <c r="C17" s="1" t="s">
        <v>19</v>
      </c>
      <c r="D17" s="1" t="s">
        <v>50</v>
      </c>
      <c r="E17" s="4">
        <v>-0.2</v>
      </c>
      <c r="F17">
        <v>27</v>
      </c>
      <c r="G17">
        <v>13</v>
      </c>
      <c r="H17">
        <v>10.5</v>
      </c>
      <c r="I17">
        <v>2</v>
      </c>
      <c r="J17">
        <v>0.38500000000000001</v>
      </c>
      <c r="K17">
        <v>1.2</v>
      </c>
      <c r="L17">
        <v>0.26700000000000002</v>
      </c>
      <c r="M17">
        <v>0.8</v>
      </c>
      <c r="N17">
        <v>0.54500000000000004</v>
      </c>
      <c r="O17">
        <v>0.46200000000000002</v>
      </c>
      <c r="P17">
        <v>0</v>
      </c>
      <c r="R17">
        <v>2.5</v>
      </c>
      <c r="S17">
        <v>0.7</v>
      </c>
      <c r="T17">
        <v>0.2</v>
      </c>
      <c r="U17">
        <v>0.2</v>
      </c>
      <c r="V17">
        <v>0.8</v>
      </c>
      <c r="W17">
        <v>0.8</v>
      </c>
      <c r="X17">
        <v>1.8</v>
      </c>
      <c r="Y17">
        <v>5</v>
      </c>
      <c r="Z17">
        <v>-7.1</v>
      </c>
      <c r="AA17">
        <v>4.5999999999999996</v>
      </c>
      <c r="AB17">
        <v>-3.4000000000000002E-2</v>
      </c>
      <c r="AE17" s="12" t="s">
        <v>614</v>
      </c>
      <c r="AF17" s="13">
        <v>40</v>
      </c>
      <c r="AH17" s="12" t="s">
        <v>614</v>
      </c>
      <c r="AI17" s="13">
        <v>1</v>
      </c>
      <c r="AK17" s="12" t="s">
        <v>614</v>
      </c>
      <c r="AL17" s="13">
        <v>1</v>
      </c>
      <c r="AN17" s="12" t="s">
        <v>614</v>
      </c>
      <c r="AO17" s="13">
        <v>13.9</v>
      </c>
      <c r="AQ17" s="12" t="s">
        <v>614</v>
      </c>
      <c r="AR17" s="13">
        <v>4.7</v>
      </c>
      <c r="AT17" s="12" t="s">
        <v>614</v>
      </c>
      <c r="AU17" s="13">
        <v>44.1</v>
      </c>
      <c r="AY17" s="17" t="s">
        <v>597</v>
      </c>
      <c r="AZ17" s="13">
        <v>246</v>
      </c>
      <c r="BB17" s="17" t="s">
        <v>20</v>
      </c>
      <c r="BC17" s="13">
        <v>293</v>
      </c>
    </row>
    <row r="18" spans="1:55" ht="15" thickBot="1" x14ac:dyDescent="0.4">
      <c r="A18" s="1" t="s">
        <v>26</v>
      </c>
      <c r="B18" s="1" t="s">
        <v>597</v>
      </c>
      <c r="C18" s="1" t="s">
        <v>23</v>
      </c>
      <c r="D18" s="1" t="s">
        <v>50</v>
      </c>
      <c r="E18" s="4">
        <v>0</v>
      </c>
      <c r="F18">
        <v>21</v>
      </c>
      <c r="G18">
        <v>10</v>
      </c>
      <c r="H18">
        <v>7.5</v>
      </c>
      <c r="I18">
        <v>3.8</v>
      </c>
      <c r="J18">
        <v>0.34200000000000003</v>
      </c>
      <c r="K18">
        <v>3</v>
      </c>
      <c r="L18">
        <v>0.36699999999999999</v>
      </c>
      <c r="M18">
        <v>0.8</v>
      </c>
      <c r="N18">
        <v>0.25</v>
      </c>
      <c r="O18">
        <v>0.48699999999999999</v>
      </c>
      <c r="P18">
        <v>0</v>
      </c>
      <c r="R18">
        <v>0.7</v>
      </c>
      <c r="S18">
        <v>0.8</v>
      </c>
      <c r="T18">
        <v>0.1</v>
      </c>
      <c r="U18">
        <v>0.1</v>
      </c>
      <c r="V18">
        <v>0.2</v>
      </c>
      <c r="W18">
        <v>0.4</v>
      </c>
      <c r="X18">
        <v>3.7</v>
      </c>
      <c r="Y18">
        <v>1</v>
      </c>
      <c r="Z18">
        <v>-1.5</v>
      </c>
      <c r="AA18">
        <v>9.8000000000000007</v>
      </c>
      <c r="AB18">
        <v>3.7999999999999999E-2</v>
      </c>
      <c r="AE18" s="14" t="s">
        <v>612</v>
      </c>
      <c r="AF18" s="15">
        <v>21</v>
      </c>
      <c r="AH18" s="14" t="s">
        <v>612</v>
      </c>
      <c r="AI18" s="15">
        <v>1</v>
      </c>
      <c r="AK18" s="14" t="s">
        <v>612</v>
      </c>
      <c r="AL18" s="15">
        <v>1</v>
      </c>
      <c r="AN18" s="14" t="s">
        <v>612</v>
      </c>
      <c r="AO18" s="15">
        <v>13.9</v>
      </c>
      <c r="AQ18" s="14" t="s">
        <v>612</v>
      </c>
      <c r="AR18" s="15">
        <v>4.7</v>
      </c>
      <c r="AT18" s="14" t="s">
        <v>612</v>
      </c>
      <c r="AU18" s="15">
        <v>69</v>
      </c>
      <c r="AY18" s="17" t="s">
        <v>35</v>
      </c>
      <c r="AZ18" s="13">
        <v>81</v>
      </c>
      <c r="BB18" s="17" t="s">
        <v>50</v>
      </c>
      <c r="BC18" s="13">
        <v>130</v>
      </c>
    </row>
    <row r="19" spans="1:55" ht="15" thickBot="1" x14ac:dyDescent="0.4">
      <c r="A19" s="1" t="s">
        <v>26</v>
      </c>
      <c r="B19" s="1" t="s">
        <v>597</v>
      </c>
      <c r="C19" s="1" t="s">
        <v>23</v>
      </c>
      <c r="D19" s="1" t="s">
        <v>50</v>
      </c>
      <c r="E19" s="4">
        <v>0</v>
      </c>
      <c r="F19">
        <v>24</v>
      </c>
      <c r="G19">
        <v>9</v>
      </c>
      <c r="H19">
        <v>2.4</v>
      </c>
      <c r="I19">
        <v>1</v>
      </c>
      <c r="J19">
        <v>0.44400000000000001</v>
      </c>
      <c r="K19">
        <v>0.1</v>
      </c>
      <c r="L19">
        <v>0</v>
      </c>
      <c r="M19">
        <v>0.9</v>
      </c>
      <c r="N19">
        <v>0.5</v>
      </c>
      <c r="O19">
        <v>0.44400000000000001</v>
      </c>
      <c r="P19">
        <v>0</v>
      </c>
      <c r="R19">
        <v>0.3</v>
      </c>
      <c r="S19">
        <v>0.2</v>
      </c>
      <c r="T19">
        <v>0.1</v>
      </c>
      <c r="U19">
        <v>0</v>
      </c>
      <c r="V19">
        <v>0.2</v>
      </c>
      <c r="W19">
        <v>0.3</v>
      </c>
      <c r="X19">
        <v>0.9</v>
      </c>
      <c r="Y19">
        <v>0</v>
      </c>
      <c r="Z19">
        <v>-10.1</v>
      </c>
      <c r="AA19">
        <v>5.9</v>
      </c>
      <c r="AB19">
        <v>-7.0000000000000007E-2</v>
      </c>
      <c r="AY19" s="17" t="s">
        <v>598</v>
      </c>
      <c r="AZ19" s="13">
        <v>242</v>
      </c>
      <c r="BB19" s="17" t="s">
        <v>28</v>
      </c>
      <c r="BC19" s="13">
        <v>146</v>
      </c>
    </row>
    <row r="20" spans="1:55" ht="15" thickBot="1" x14ac:dyDescent="0.4">
      <c r="A20" s="1" t="s">
        <v>2</v>
      </c>
      <c r="B20" s="1" t="s">
        <v>598</v>
      </c>
      <c r="C20" s="1" t="s">
        <v>23</v>
      </c>
      <c r="D20" s="1" t="s">
        <v>28</v>
      </c>
      <c r="E20" s="4">
        <v>0</v>
      </c>
      <c r="F20">
        <v>27</v>
      </c>
      <c r="G20">
        <v>1</v>
      </c>
      <c r="H20">
        <v>8</v>
      </c>
      <c r="I20">
        <v>2</v>
      </c>
      <c r="J20">
        <v>0</v>
      </c>
      <c r="K20">
        <v>1</v>
      </c>
      <c r="L20">
        <v>0</v>
      </c>
      <c r="M20">
        <v>1</v>
      </c>
      <c r="N20">
        <v>0</v>
      </c>
      <c r="O20">
        <v>0</v>
      </c>
      <c r="P20">
        <v>0</v>
      </c>
      <c r="R20">
        <v>1</v>
      </c>
      <c r="S20">
        <v>1</v>
      </c>
      <c r="T20">
        <v>0</v>
      </c>
      <c r="U20">
        <v>0</v>
      </c>
      <c r="V20">
        <v>0</v>
      </c>
      <c r="W20">
        <v>0</v>
      </c>
      <c r="X20">
        <v>0</v>
      </c>
      <c r="Y20">
        <v>4</v>
      </c>
      <c r="Z20">
        <v>-16.899999999999999</v>
      </c>
      <c r="AA20">
        <v>-4</v>
      </c>
      <c r="AB20">
        <v>-0.191</v>
      </c>
      <c r="AE20" s="22" t="s">
        <v>621</v>
      </c>
      <c r="AF20" s="23"/>
      <c r="AH20" s="22" t="s">
        <v>5</v>
      </c>
      <c r="AI20" s="23"/>
      <c r="AK20" s="22" t="s">
        <v>9</v>
      </c>
      <c r="AL20" s="23"/>
      <c r="AN20" s="22" t="s">
        <v>617</v>
      </c>
      <c r="AO20" s="23"/>
      <c r="AQ20" s="22" t="s">
        <v>623</v>
      </c>
      <c r="AR20" s="23"/>
      <c r="AT20" s="22" t="s">
        <v>15</v>
      </c>
      <c r="AU20" s="23"/>
      <c r="AY20" s="18" t="s">
        <v>636</v>
      </c>
      <c r="AZ20" s="15">
        <v>569</v>
      </c>
      <c r="BB20" s="18" t="s">
        <v>636</v>
      </c>
      <c r="BC20" s="15">
        <v>569</v>
      </c>
    </row>
    <row r="21" spans="1:55" ht="15" thickBot="1" x14ac:dyDescent="0.4">
      <c r="A21" s="1" t="s">
        <v>2</v>
      </c>
      <c r="B21" s="1" t="s">
        <v>597</v>
      </c>
      <c r="C21" s="1" t="s">
        <v>23</v>
      </c>
      <c r="D21" s="1" t="s">
        <v>28</v>
      </c>
      <c r="E21" s="4">
        <v>0</v>
      </c>
      <c r="F21">
        <v>25</v>
      </c>
      <c r="G21">
        <v>1</v>
      </c>
      <c r="H21">
        <v>4</v>
      </c>
      <c r="I21">
        <v>2</v>
      </c>
      <c r="J21">
        <v>1</v>
      </c>
      <c r="K21">
        <v>1</v>
      </c>
      <c r="L21">
        <v>1</v>
      </c>
      <c r="M21">
        <v>1</v>
      </c>
      <c r="N21">
        <v>1</v>
      </c>
      <c r="O21">
        <v>1.25</v>
      </c>
      <c r="P21">
        <v>0</v>
      </c>
      <c r="R21">
        <v>0</v>
      </c>
      <c r="S21">
        <v>1</v>
      </c>
      <c r="T21">
        <v>0</v>
      </c>
      <c r="U21">
        <v>0</v>
      </c>
      <c r="V21">
        <v>0</v>
      </c>
      <c r="W21">
        <v>0</v>
      </c>
      <c r="X21">
        <v>5</v>
      </c>
      <c r="Y21">
        <v>2</v>
      </c>
      <c r="Z21">
        <v>44.1</v>
      </c>
      <c r="AA21">
        <v>53.4</v>
      </c>
      <c r="AB21">
        <v>0.56499999999999995</v>
      </c>
      <c r="AE21" s="12" t="s">
        <v>615</v>
      </c>
      <c r="AF21" s="13">
        <v>569</v>
      </c>
      <c r="AH21" s="12" t="s">
        <v>615</v>
      </c>
      <c r="AI21" s="13">
        <v>569</v>
      </c>
      <c r="AK21" s="12" t="s">
        <v>615</v>
      </c>
      <c r="AL21" s="13">
        <v>566</v>
      </c>
      <c r="AN21" s="12" t="s">
        <v>615</v>
      </c>
      <c r="AO21" s="13">
        <v>569</v>
      </c>
      <c r="AQ21" s="12" t="s">
        <v>615</v>
      </c>
      <c r="AR21" s="13">
        <v>569</v>
      </c>
      <c r="AT21" s="12" t="s">
        <v>615</v>
      </c>
      <c r="AU21" s="13">
        <v>569</v>
      </c>
    </row>
    <row r="22" spans="1:55" x14ac:dyDescent="0.35">
      <c r="A22" s="1" t="s">
        <v>2</v>
      </c>
      <c r="B22" s="1" t="s">
        <v>598</v>
      </c>
      <c r="C22" s="1" t="s">
        <v>23</v>
      </c>
      <c r="D22" s="1" t="s">
        <v>28</v>
      </c>
      <c r="E22" s="4">
        <v>0</v>
      </c>
      <c r="F22">
        <v>23</v>
      </c>
      <c r="G22">
        <v>2</v>
      </c>
      <c r="H22">
        <v>8</v>
      </c>
      <c r="I22">
        <v>1.5</v>
      </c>
      <c r="J22">
        <v>0.33300000000000002</v>
      </c>
      <c r="K22">
        <v>0</v>
      </c>
      <c r="M22">
        <v>1.5</v>
      </c>
      <c r="N22">
        <v>0.33300000000000002</v>
      </c>
      <c r="O22">
        <v>0.33300000000000002</v>
      </c>
      <c r="P22">
        <v>0</v>
      </c>
      <c r="R22">
        <v>1.5</v>
      </c>
      <c r="S22">
        <v>2</v>
      </c>
      <c r="T22">
        <v>1</v>
      </c>
      <c r="U22">
        <v>0</v>
      </c>
      <c r="V22">
        <v>0</v>
      </c>
      <c r="W22">
        <v>2.5</v>
      </c>
      <c r="X22">
        <v>1</v>
      </c>
      <c r="Y22">
        <v>0</v>
      </c>
      <c r="Z22">
        <v>0.3</v>
      </c>
      <c r="AA22">
        <v>13.9</v>
      </c>
      <c r="AB22">
        <v>0.214</v>
      </c>
      <c r="AE22" s="12" t="s">
        <v>608</v>
      </c>
      <c r="AF22" s="13">
        <v>46.231985940246048</v>
      </c>
      <c r="AH22" s="12" t="s">
        <v>608</v>
      </c>
      <c r="AI22" s="13">
        <v>2.9785588752196817</v>
      </c>
      <c r="AK22" s="12" t="s">
        <v>608</v>
      </c>
      <c r="AL22" s="13">
        <v>0.51993286219081281</v>
      </c>
      <c r="AN22" s="12" t="s">
        <v>608</v>
      </c>
      <c r="AO22" s="13">
        <v>2.0852372583479784</v>
      </c>
      <c r="AQ22" s="12" t="s">
        <v>608</v>
      </c>
      <c r="AR22" s="13">
        <v>1.5442882249560628</v>
      </c>
      <c r="AT22" s="12" t="s">
        <v>608</v>
      </c>
      <c r="AU22" s="13">
        <v>13.185764499121255</v>
      </c>
      <c r="AY22" s="35" t="s">
        <v>640</v>
      </c>
      <c r="AZ22" s="36"/>
      <c r="BA22" s="36"/>
      <c r="BB22" s="36"/>
      <c r="BC22" s="37"/>
    </row>
    <row r="23" spans="1:55" x14ac:dyDescent="0.35">
      <c r="A23" s="1" t="s">
        <v>18</v>
      </c>
      <c r="B23" s="1" t="s">
        <v>597</v>
      </c>
      <c r="C23" s="1" t="s">
        <v>19</v>
      </c>
      <c r="D23" s="1" t="s">
        <v>28</v>
      </c>
      <c r="E23" s="4">
        <v>0</v>
      </c>
      <c r="F23">
        <v>22</v>
      </c>
      <c r="G23">
        <v>4</v>
      </c>
      <c r="H23">
        <v>5.3</v>
      </c>
      <c r="I23">
        <v>1.8</v>
      </c>
      <c r="J23">
        <v>0.57099999999999995</v>
      </c>
      <c r="K23">
        <v>0</v>
      </c>
      <c r="M23">
        <v>1.8</v>
      </c>
      <c r="N23">
        <v>0.57099999999999995</v>
      </c>
      <c r="O23">
        <v>0.57099999999999995</v>
      </c>
      <c r="P23">
        <v>0</v>
      </c>
      <c r="R23">
        <v>1.5</v>
      </c>
      <c r="S23">
        <v>0.3</v>
      </c>
      <c r="T23">
        <v>0</v>
      </c>
      <c r="U23">
        <v>0</v>
      </c>
      <c r="V23">
        <v>0.3</v>
      </c>
      <c r="W23">
        <v>0.3</v>
      </c>
      <c r="X23">
        <v>2</v>
      </c>
      <c r="Y23">
        <v>1</v>
      </c>
      <c r="Z23">
        <v>-2.6</v>
      </c>
      <c r="AA23">
        <v>15.2</v>
      </c>
      <c r="AB23">
        <v>0.105</v>
      </c>
      <c r="AE23" s="12" t="s">
        <v>609</v>
      </c>
      <c r="AF23" s="13">
        <v>50</v>
      </c>
      <c r="AH23" s="12" t="s">
        <v>609</v>
      </c>
      <c r="AI23" s="13">
        <v>2.6</v>
      </c>
      <c r="AK23" s="12" t="s">
        <v>609</v>
      </c>
      <c r="AL23" s="13">
        <v>0.53350000000000009</v>
      </c>
      <c r="AN23" s="12" t="s">
        <v>609</v>
      </c>
      <c r="AO23" s="13">
        <v>1.5</v>
      </c>
      <c r="AQ23" s="12" t="s">
        <v>609</v>
      </c>
      <c r="AR23" s="13">
        <v>1.6</v>
      </c>
      <c r="AT23" s="12" t="s">
        <v>609</v>
      </c>
      <c r="AU23" s="13">
        <v>12.9</v>
      </c>
      <c r="AY23" s="38"/>
      <c r="AZ23" s="39"/>
      <c r="BA23" s="39"/>
      <c r="BB23" s="39"/>
      <c r="BC23" s="40"/>
    </row>
    <row r="24" spans="1:55" ht="15" thickBot="1" x14ac:dyDescent="0.4">
      <c r="A24" s="1" t="s">
        <v>2</v>
      </c>
      <c r="B24" s="1" t="s">
        <v>598</v>
      </c>
      <c r="C24" s="1" t="s">
        <v>23</v>
      </c>
      <c r="D24" s="1" t="s">
        <v>20</v>
      </c>
      <c r="E24" s="4">
        <v>-0.1</v>
      </c>
      <c r="F24">
        <v>26</v>
      </c>
      <c r="G24">
        <v>21</v>
      </c>
      <c r="H24">
        <v>8.8000000000000007</v>
      </c>
      <c r="I24">
        <v>3.2</v>
      </c>
      <c r="J24">
        <v>0.41799999999999998</v>
      </c>
      <c r="K24">
        <v>0.4</v>
      </c>
      <c r="L24">
        <v>0.5</v>
      </c>
      <c r="M24">
        <v>2.8</v>
      </c>
      <c r="N24">
        <v>0.40699999999999997</v>
      </c>
      <c r="O24">
        <v>0.44800000000000001</v>
      </c>
      <c r="P24">
        <v>0</v>
      </c>
      <c r="Q24">
        <v>1</v>
      </c>
      <c r="R24">
        <v>1</v>
      </c>
      <c r="S24">
        <v>1.3</v>
      </c>
      <c r="T24">
        <v>0.5</v>
      </c>
      <c r="U24">
        <v>0.1</v>
      </c>
      <c r="V24">
        <v>0.7</v>
      </c>
      <c r="W24">
        <v>0.6</v>
      </c>
      <c r="X24">
        <v>2.9</v>
      </c>
      <c r="Y24">
        <v>7</v>
      </c>
      <c r="Z24">
        <v>-4.7</v>
      </c>
      <c r="AA24">
        <v>8.9</v>
      </c>
      <c r="AB24">
        <v>-2.5999999999999999E-2</v>
      </c>
      <c r="AE24" s="12" t="s">
        <v>611</v>
      </c>
      <c r="AF24" s="13">
        <v>24.357135123746016</v>
      </c>
      <c r="AH24" s="12" t="s">
        <v>611</v>
      </c>
      <c r="AI24" s="13">
        <v>2.3557908940320611</v>
      </c>
      <c r="AK24" s="12" t="s">
        <v>611</v>
      </c>
      <c r="AL24" s="13">
        <v>0.11614512929846746</v>
      </c>
      <c r="AN24" s="12" t="s">
        <v>611</v>
      </c>
      <c r="AO24" s="13">
        <v>1.8194643969720343</v>
      </c>
      <c r="AQ24" s="12" t="s">
        <v>611</v>
      </c>
      <c r="AR24" s="13">
        <v>0.76347511734717688</v>
      </c>
      <c r="AT24" s="12" t="s">
        <v>611</v>
      </c>
      <c r="AU24" s="13">
        <v>5.7115392668311813</v>
      </c>
      <c r="AY24" s="41"/>
      <c r="AZ24" s="42"/>
      <c r="BA24" s="42"/>
      <c r="BB24" s="42"/>
      <c r="BC24" s="43"/>
    </row>
    <row r="25" spans="1:55" x14ac:dyDescent="0.35">
      <c r="A25" s="1" t="s">
        <v>2</v>
      </c>
      <c r="B25" s="1" t="s">
        <v>598</v>
      </c>
      <c r="C25" s="1" t="s">
        <v>19</v>
      </c>
      <c r="D25" s="1" t="s">
        <v>28</v>
      </c>
      <c r="E25" s="4">
        <v>0</v>
      </c>
      <c r="F25">
        <v>24</v>
      </c>
      <c r="G25">
        <v>21</v>
      </c>
      <c r="H25">
        <v>6</v>
      </c>
      <c r="I25">
        <v>1.4</v>
      </c>
      <c r="J25">
        <v>0.4</v>
      </c>
      <c r="K25">
        <v>1</v>
      </c>
      <c r="L25">
        <v>0.47599999999999998</v>
      </c>
      <c r="M25">
        <v>0.4</v>
      </c>
      <c r="N25">
        <v>0.222</v>
      </c>
      <c r="O25">
        <v>0.56699999999999995</v>
      </c>
      <c r="P25">
        <v>0.1</v>
      </c>
      <c r="Q25">
        <v>1</v>
      </c>
      <c r="R25">
        <v>1.2</v>
      </c>
      <c r="S25">
        <v>0.2</v>
      </c>
      <c r="T25">
        <v>0.2</v>
      </c>
      <c r="U25">
        <v>0</v>
      </c>
      <c r="V25">
        <v>0.2</v>
      </c>
      <c r="W25">
        <v>0.6</v>
      </c>
      <c r="X25">
        <v>1.7</v>
      </c>
      <c r="Y25">
        <v>0</v>
      </c>
      <c r="Z25">
        <v>-2</v>
      </c>
      <c r="AA25">
        <v>10.1</v>
      </c>
      <c r="AB25">
        <v>0.125</v>
      </c>
      <c r="AE25" s="12" t="s">
        <v>613</v>
      </c>
      <c r="AF25" s="13">
        <v>1</v>
      </c>
      <c r="AH25" s="12" t="s">
        <v>613</v>
      </c>
      <c r="AI25" s="13">
        <v>0</v>
      </c>
      <c r="AK25" s="12" t="s">
        <v>613</v>
      </c>
      <c r="AL25" s="13">
        <v>0</v>
      </c>
      <c r="AN25" s="12" t="s">
        <v>613</v>
      </c>
      <c r="AO25" s="13">
        <v>0</v>
      </c>
      <c r="AQ25" s="12" t="s">
        <v>613</v>
      </c>
      <c r="AR25" s="13">
        <v>0</v>
      </c>
      <c r="AT25" s="12" t="s">
        <v>613</v>
      </c>
      <c r="AU25" s="13">
        <v>-11.7</v>
      </c>
    </row>
    <row r="26" spans="1:55" x14ac:dyDescent="0.35">
      <c r="A26" s="1" t="s">
        <v>26</v>
      </c>
      <c r="B26" s="1" t="s">
        <v>598</v>
      </c>
      <c r="C26" s="1" t="s">
        <v>23</v>
      </c>
      <c r="D26" s="1" t="s">
        <v>20</v>
      </c>
      <c r="E26" s="4">
        <v>-0.1</v>
      </c>
      <c r="F26">
        <v>33</v>
      </c>
      <c r="G26">
        <v>42</v>
      </c>
      <c r="H26">
        <v>8.1</v>
      </c>
      <c r="I26">
        <v>2.8</v>
      </c>
      <c r="J26">
        <v>0.42699999999999999</v>
      </c>
      <c r="K26">
        <v>2.4</v>
      </c>
      <c r="L26">
        <v>0.436</v>
      </c>
      <c r="M26">
        <v>0.4</v>
      </c>
      <c r="N26">
        <v>0.375</v>
      </c>
      <c r="O26">
        <v>0.61499999999999999</v>
      </c>
      <c r="P26">
        <v>0.1</v>
      </c>
      <c r="Q26">
        <v>0.6</v>
      </c>
      <c r="R26">
        <v>0.5</v>
      </c>
      <c r="S26">
        <v>0.2</v>
      </c>
      <c r="T26">
        <v>0.1</v>
      </c>
      <c r="U26">
        <v>0</v>
      </c>
      <c r="V26">
        <v>0.1</v>
      </c>
      <c r="W26">
        <v>0.7</v>
      </c>
      <c r="X26">
        <v>3.5</v>
      </c>
      <c r="Y26">
        <v>10</v>
      </c>
      <c r="Z26">
        <v>-3.2</v>
      </c>
      <c r="AA26">
        <v>9.5</v>
      </c>
      <c r="AB26">
        <v>6.0999999999999999E-2</v>
      </c>
      <c r="AE26" s="12" t="s">
        <v>614</v>
      </c>
      <c r="AF26" s="13">
        <v>82</v>
      </c>
      <c r="AH26" s="12" t="s">
        <v>614</v>
      </c>
      <c r="AI26" s="13">
        <v>11.2</v>
      </c>
      <c r="AK26" s="12" t="s">
        <v>614</v>
      </c>
      <c r="AL26" s="13">
        <v>1.25</v>
      </c>
      <c r="AN26" s="12" t="s">
        <v>614</v>
      </c>
      <c r="AO26" s="13">
        <v>11.6</v>
      </c>
      <c r="AQ26" s="12" t="s">
        <v>614</v>
      </c>
      <c r="AR26" s="13">
        <v>3.5</v>
      </c>
      <c r="AT26" s="12" t="s">
        <v>614</v>
      </c>
      <c r="AU26" s="13">
        <v>53.4</v>
      </c>
    </row>
    <row r="27" spans="1:55" ht="15" thickBot="1" x14ac:dyDescent="0.4">
      <c r="A27" s="1" t="s">
        <v>2</v>
      </c>
      <c r="B27" s="1" t="s">
        <v>35</v>
      </c>
      <c r="C27" s="1" t="s">
        <v>23</v>
      </c>
      <c r="D27" s="1" t="s">
        <v>50</v>
      </c>
      <c r="E27" s="4">
        <v>-0.1</v>
      </c>
      <c r="F27">
        <v>23</v>
      </c>
      <c r="G27">
        <v>8</v>
      </c>
      <c r="H27">
        <v>2</v>
      </c>
      <c r="I27">
        <v>1</v>
      </c>
      <c r="J27">
        <v>0.125</v>
      </c>
      <c r="K27">
        <v>0.4</v>
      </c>
      <c r="L27">
        <v>0</v>
      </c>
      <c r="M27">
        <v>0.6</v>
      </c>
      <c r="N27">
        <v>0.2</v>
      </c>
      <c r="O27">
        <v>0.125</v>
      </c>
      <c r="P27">
        <v>0.1</v>
      </c>
      <c r="Q27">
        <v>1</v>
      </c>
      <c r="R27">
        <v>0.5</v>
      </c>
      <c r="S27">
        <v>0.3</v>
      </c>
      <c r="T27">
        <v>0.1</v>
      </c>
      <c r="U27">
        <v>0</v>
      </c>
      <c r="V27">
        <v>0.3</v>
      </c>
      <c r="W27">
        <v>0.5</v>
      </c>
      <c r="X27">
        <v>0.4</v>
      </c>
      <c r="Y27">
        <v>0</v>
      </c>
      <c r="Z27">
        <v>-20.7</v>
      </c>
      <c r="AA27">
        <v>-6.1</v>
      </c>
      <c r="AB27">
        <v>-0.33</v>
      </c>
      <c r="AE27" s="14" t="s">
        <v>612</v>
      </c>
      <c r="AF27" s="15">
        <v>81</v>
      </c>
      <c r="AH27" s="14" t="s">
        <v>612</v>
      </c>
      <c r="AI27" s="15">
        <v>11.2</v>
      </c>
      <c r="AK27" s="14" t="s">
        <v>612</v>
      </c>
      <c r="AL27" s="15">
        <v>1.25</v>
      </c>
      <c r="AN27" s="14" t="s">
        <v>612</v>
      </c>
      <c r="AO27" s="15">
        <v>11.6</v>
      </c>
      <c r="AQ27" s="14" t="s">
        <v>612</v>
      </c>
      <c r="AR27" s="15">
        <v>3.5</v>
      </c>
      <c r="AT27" s="14" t="s">
        <v>612</v>
      </c>
      <c r="AU27" s="15">
        <v>65.099999999999994</v>
      </c>
    </row>
    <row r="28" spans="1:55" ht="15" thickBot="1" x14ac:dyDescent="0.4">
      <c r="A28" s="1" t="s">
        <v>26</v>
      </c>
      <c r="B28" s="1" t="s">
        <v>598</v>
      </c>
      <c r="C28" s="1" t="s">
        <v>33</v>
      </c>
      <c r="D28" s="1" t="s">
        <v>28</v>
      </c>
      <c r="E28" s="4">
        <v>-0.1</v>
      </c>
      <c r="F28">
        <v>25</v>
      </c>
      <c r="G28">
        <v>19</v>
      </c>
      <c r="H28">
        <v>5.3</v>
      </c>
      <c r="I28">
        <v>1.1000000000000001</v>
      </c>
      <c r="J28">
        <v>0.38100000000000001</v>
      </c>
      <c r="K28">
        <v>0.5</v>
      </c>
      <c r="L28">
        <v>0.2</v>
      </c>
      <c r="M28">
        <v>0.6</v>
      </c>
      <c r="N28">
        <v>0.54500000000000004</v>
      </c>
      <c r="O28">
        <v>0.42899999999999999</v>
      </c>
      <c r="P28">
        <v>0.1</v>
      </c>
      <c r="Q28">
        <v>0</v>
      </c>
      <c r="R28">
        <v>0.5</v>
      </c>
      <c r="S28">
        <v>0.4</v>
      </c>
      <c r="T28">
        <v>0.3</v>
      </c>
      <c r="U28">
        <v>0.1</v>
      </c>
      <c r="V28">
        <v>0.3</v>
      </c>
      <c r="W28">
        <v>0.6</v>
      </c>
      <c r="X28">
        <v>0.9</v>
      </c>
      <c r="Y28">
        <v>2</v>
      </c>
      <c r="Z28">
        <v>-5.4</v>
      </c>
      <c r="AA28">
        <v>5</v>
      </c>
      <c r="AB28">
        <v>-7.0000000000000001E-3</v>
      </c>
    </row>
    <row r="29" spans="1:55" x14ac:dyDescent="0.35">
      <c r="A29" s="1" t="s">
        <v>26</v>
      </c>
      <c r="B29" s="1" t="s">
        <v>597</v>
      </c>
      <c r="C29" s="1" t="s">
        <v>23</v>
      </c>
      <c r="D29" s="1" t="s">
        <v>28</v>
      </c>
      <c r="E29" s="4">
        <v>-0.1</v>
      </c>
      <c r="F29">
        <v>27</v>
      </c>
      <c r="G29">
        <v>19</v>
      </c>
      <c r="H29">
        <v>3.6</v>
      </c>
      <c r="I29">
        <v>1.6</v>
      </c>
      <c r="J29">
        <v>0.32300000000000001</v>
      </c>
      <c r="K29">
        <v>1</v>
      </c>
      <c r="L29">
        <v>0.316</v>
      </c>
      <c r="M29">
        <v>0.6</v>
      </c>
      <c r="N29">
        <v>0.33300000000000002</v>
      </c>
      <c r="O29">
        <v>0.41899999999999998</v>
      </c>
      <c r="P29">
        <v>0.1</v>
      </c>
      <c r="Q29">
        <v>1</v>
      </c>
      <c r="R29">
        <v>0.4</v>
      </c>
      <c r="S29">
        <v>0.2</v>
      </c>
      <c r="T29">
        <v>0.1</v>
      </c>
      <c r="U29">
        <v>0</v>
      </c>
      <c r="V29">
        <v>0.2</v>
      </c>
      <c r="W29">
        <v>0.1</v>
      </c>
      <c r="X29">
        <v>1.5</v>
      </c>
      <c r="Y29">
        <v>3</v>
      </c>
      <c r="Z29">
        <v>-7.5</v>
      </c>
      <c r="AA29">
        <v>6.1</v>
      </c>
      <c r="AB29">
        <v>-5.7000000000000002E-2</v>
      </c>
      <c r="AE29" s="22" t="s">
        <v>622</v>
      </c>
      <c r="AF29" s="23"/>
      <c r="AH29" s="22" t="s">
        <v>6</v>
      </c>
      <c r="AI29" s="23"/>
      <c r="AK29" s="22" t="s">
        <v>10</v>
      </c>
      <c r="AL29" s="23"/>
      <c r="AN29" s="22" t="s">
        <v>618</v>
      </c>
      <c r="AO29" s="23"/>
      <c r="AQ29" s="22" t="s">
        <v>624</v>
      </c>
      <c r="AR29" s="23"/>
      <c r="AT29" s="22" t="s">
        <v>626</v>
      </c>
      <c r="AU29" s="23"/>
    </row>
    <row r="30" spans="1:55" x14ac:dyDescent="0.35">
      <c r="A30" s="1" t="s">
        <v>18</v>
      </c>
      <c r="B30" s="1" t="s">
        <v>597</v>
      </c>
      <c r="C30" s="1" t="s">
        <v>23</v>
      </c>
      <c r="D30" s="1" t="s">
        <v>50</v>
      </c>
      <c r="E30" s="4">
        <v>-0.4</v>
      </c>
      <c r="F30">
        <v>26</v>
      </c>
      <c r="G30">
        <v>33</v>
      </c>
      <c r="H30">
        <v>7</v>
      </c>
      <c r="I30">
        <v>1.6</v>
      </c>
      <c r="J30">
        <v>0.245</v>
      </c>
      <c r="K30">
        <v>1</v>
      </c>
      <c r="L30">
        <v>0.156</v>
      </c>
      <c r="M30">
        <v>0.6</v>
      </c>
      <c r="N30">
        <v>0.38100000000000001</v>
      </c>
      <c r="O30">
        <v>0.29199999999999998</v>
      </c>
      <c r="P30">
        <v>0.1</v>
      </c>
      <c r="Q30">
        <v>0.75</v>
      </c>
      <c r="R30">
        <v>1.3</v>
      </c>
      <c r="S30">
        <v>0.2</v>
      </c>
      <c r="T30">
        <v>0.3</v>
      </c>
      <c r="U30">
        <v>0.2</v>
      </c>
      <c r="V30">
        <v>0.4</v>
      </c>
      <c r="W30">
        <v>0.5</v>
      </c>
      <c r="X30">
        <v>1</v>
      </c>
      <c r="Y30">
        <v>4</v>
      </c>
      <c r="Z30">
        <v>-8.1</v>
      </c>
      <c r="AA30">
        <v>2.4</v>
      </c>
      <c r="AB30">
        <v>-5.7000000000000002E-2</v>
      </c>
      <c r="AE30" s="12" t="s">
        <v>615</v>
      </c>
      <c r="AF30" s="13">
        <v>569</v>
      </c>
      <c r="AH30" s="12" t="s">
        <v>615</v>
      </c>
      <c r="AI30" s="13">
        <v>541</v>
      </c>
      <c r="AK30" s="12" t="s">
        <v>615</v>
      </c>
      <c r="AL30" s="13">
        <v>569</v>
      </c>
      <c r="AN30" s="12" t="s">
        <v>615</v>
      </c>
      <c r="AO30" s="13">
        <v>569</v>
      </c>
      <c r="AQ30" s="12" t="s">
        <v>615</v>
      </c>
      <c r="AR30" s="13">
        <v>569</v>
      </c>
      <c r="AT30" s="12" t="s">
        <v>615</v>
      </c>
      <c r="AU30" s="13">
        <v>569</v>
      </c>
    </row>
    <row r="31" spans="1:55" x14ac:dyDescent="0.35">
      <c r="A31" s="1" t="s">
        <v>2</v>
      </c>
      <c r="B31" s="1" t="s">
        <v>598</v>
      </c>
      <c r="C31" s="1" t="s">
        <v>23</v>
      </c>
      <c r="D31" s="1" t="s">
        <v>28</v>
      </c>
      <c r="E31" s="4">
        <v>-0.4</v>
      </c>
      <c r="F31">
        <v>25</v>
      </c>
      <c r="G31">
        <v>37</v>
      </c>
      <c r="H31">
        <v>5.5</v>
      </c>
      <c r="I31">
        <v>2.6</v>
      </c>
      <c r="J31">
        <v>0.26</v>
      </c>
      <c r="K31">
        <v>1.9</v>
      </c>
      <c r="L31">
        <v>0.19400000000000001</v>
      </c>
      <c r="M31">
        <v>0.6</v>
      </c>
      <c r="N31">
        <v>0.45800000000000002</v>
      </c>
      <c r="O31">
        <v>0.33300000000000002</v>
      </c>
      <c r="P31">
        <v>0.1</v>
      </c>
      <c r="Q31">
        <v>0.5</v>
      </c>
      <c r="R31">
        <v>0.7</v>
      </c>
      <c r="S31">
        <v>0.3</v>
      </c>
      <c r="T31">
        <v>0.2</v>
      </c>
      <c r="U31">
        <v>0.1</v>
      </c>
      <c r="V31">
        <v>0.1</v>
      </c>
      <c r="W31">
        <v>0.4</v>
      </c>
      <c r="X31">
        <v>1.8</v>
      </c>
      <c r="Y31">
        <v>1</v>
      </c>
      <c r="Z31">
        <v>-10.3</v>
      </c>
      <c r="AA31">
        <v>3.7</v>
      </c>
      <c r="AB31">
        <v>-6.2E-2</v>
      </c>
      <c r="AE31" s="12" t="s">
        <v>608</v>
      </c>
      <c r="AF31" s="13">
        <v>19.433040421792622</v>
      </c>
      <c r="AH31" s="12" t="s">
        <v>608</v>
      </c>
      <c r="AI31" s="13">
        <v>0.31450092421441789</v>
      </c>
      <c r="AK31" s="12" t="s">
        <v>608</v>
      </c>
      <c r="AL31" s="13">
        <v>1.7181019332161687</v>
      </c>
      <c r="AN31" s="12" t="s">
        <v>608</v>
      </c>
      <c r="AO31" s="13">
        <v>0.66871704745166938</v>
      </c>
      <c r="AQ31" s="12" t="s">
        <v>608</v>
      </c>
      <c r="AR31" s="13">
        <v>8.8871704745166937</v>
      </c>
      <c r="AT31" s="12" t="s">
        <v>608</v>
      </c>
      <c r="AU31" s="13">
        <v>7.8344463971880496E-2</v>
      </c>
    </row>
    <row r="32" spans="1:55" x14ac:dyDescent="0.35">
      <c r="A32" s="1" t="s">
        <v>26</v>
      </c>
      <c r="B32" s="1" t="s">
        <v>597</v>
      </c>
      <c r="C32" s="1" t="s">
        <v>23</v>
      </c>
      <c r="D32" s="1" t="s">
        <v>20</v>
      </c>
      <c r="E32" s="4">
        <v>-0.1</v>
      </c>
      <c r="F32">
        <v>37</v>
      </c>
      <c r="G32">
        <v>12</v>
      </c>
      <c r="H32">
        <v>3.1</v>
      </c>
      <c r="I32">
        <v>0.9</v>
      </c>
      <c r="J32">
        <v>0.36399999999999999</v>
      </c>
      <c r="K32">
        <v>0.3</v>
      </c>
      <c r="L32">
        <v>0</v>
      </c>
      <c r="M32">
        <v>0.7</v>
      </c>
      <c r="N32">
        <v>0.5</v>
      </c>
      <c r="O32">
        <v>0.36399999999999999</v>
      </c>
      <c r="P32">
        <v>0.1</v>
      </c>
      <c r="Q32">
        <v>0</v>
      </c>
      <c r="R32">
        <v>0.5</v>
      </c>
      <c r="S32">
        <v>0.3</v>
      </c>
      <c r="T32">
        <v>0</v>
      </c>
      <c r="U32">
        <v>0.2</v>
      </c>
      <c r="V32">
        <v>0.3</v>
      </c>
      <c r="W32">
        <v>0.4</v>
      </c>
      <c r="X32">
        <v>0.7</v>
      </c>
      <c r="Y32">
        <v>15</v>
      </c>
      <c r="Z32">
        <v>-9.6999999999999993</v>
      </c>
      <c r="AA32">
        <v>0</v>
      </c>
      <c r="AB32">
        <v>-0.16200000000000001</v>
      </c>
      <c r="AE32" s="12" t="s">
        <v>609</v>
      </c>
      <c r="AF32" s="13">
        <v>19.5</v>
      </c>
      <c r="AH32" s="12" t="s">
        <v>609</v>
      </c>
      <c r="AI32" s="13">
        <v>0.34200000000000003</v>
      </c>
      <c r="AK32" s="12" t="s">
        <v>609</v>
      </c>
      <c r="AL32" s="13">
        <v>1.2</v>
      </c>
      <c r="AN32" s="12" t="s">
        <v>609</v>
      </c>
      <c r="AO32" s="13">
        <v>0.6</v>
      </c>
      <c r="AQ32" s="12" t="s">
        <v>609</v>
      </c>
      <c r="AR32" s="13">
        <v>7.2</v>
      </c>
      <c r="AT32" s="12" t="s">
        <v>609</v>
      </c>
      <c r="AU32" s="13">
        <v>8.5999999999999993E-2</v>
      </c>
    </row>
    <row r="33" spans="1:47" x14ac:dyDescent="0.35">
      <c r="A33" s="1" t="s">
        <v>26</v>
      </c>
      <c r="B33" s="1" t="s">
        <v>35</v>
      </c>
      <c r="C33" s="1" t="s">
        <v>23</v>
      </c>
      <c r="D33" s="1" t="s">
        <v>28</v>
      </c>
      <c r="E33" s="4">
        <v>-0.2</v>
      </c>
      <c r="F33">
        <v>25</v>
      </c>
      <c r="G33">
        <v>10</v>
      </c>
      <c r="H33">
        <v>16.899999999999999</v>
      </c>
      <c r="I33">
        <v>6.3</v>
      </c>
      <c r="J33">
        <v>0.34899999999999998</v>
      </c>
      <c r="K33">
        <v>4.7</v>
      </c>
      <c r="L33">
        <v>0.31900000000000001</v>
      </c>
      <c r="M33">
        <v>1.6</v>
      </c>
      <c r="N33">
        <v>0.438</v>
      </c>
      <c r="O33">
        <v>0.46800000000000003</v>
      </c>
      <c r="P33">
        <v>0.1</v>
      </c>
      <c r="Q33">
        <v>0</v>
      </c>
      <c r="R33">
        <v>2.7</v>
      </c>
      <c r="S33">
        <v>0.3</v>
      </c>
      <c r="T33">
        <v>0.4</v>
      </c>
      <c r="U33">
        <v>0.2</v>
      </c>
      <c r="V33">
        <v>0.4</v>
      </c>
      <c r="W33">
        <v>1.2</v>
      </c>
      <c r="X33">
        <v>5.9</v>
      </c>
      <c r="Y33">
        <v>2</v>
      </c>
      <c r="Z33">
        <v>-7.3</v>
      </c>
      <c r="AA33">
        <v>6.5</v>
      </c>
      <c r="AB33">
        <v>-8.9999999999999993E-3</v>
      </c>
      <c r="AE33" s="12" t="s">
        <v>611</v>
      </c>
      <c r="AF33" s="13">
        <v>9.5354249482540485</v>
      </c>
      <c r="AH33" s="12" t="s">
        <v>611</v>
      </c>
      <c r="AI33" s="13">
        <v>0.12282027858817784</v>
      </c>
      <c r="AK33" s="12" t="s">
        <v>611</v>
      </c>
      <c r="AL33" s="13">
        <v>1.6470650113347556</v>
      </c>
      <c r="AN33" s="12" t="s">
        <v>611</v>
      </c>
      <c r="AO33" s="13">
        <v>0.42114691542781807</v>
      </c>
      <c r="AQ33" s="12" t="s">
        <v>611</v>
      </c>
      <c r="AR33" s="13">
        <v>6.5682597252025783</v>
      </c>
      <c r="AT33" s="12" t="s">
        <v>611</v>
      </c>
      <c r="AU33" s="13">
        <v>8.8039488629857929E-2</v>
      </c>
    </row>
    <row r="34" spans="1:47" x14ac:dyDescent="0.35">
      <c r="A34" s="1" t="s">
        <v>26</v>
      </c>
      <c r="B34" s="1" t="s">
        <v>597</v>
      </c>
      <c r="C34" s="1" t="s">
        <v>23</v>
      </c>
      <c r="D34" s="1" t="s">
        <v>50</v>
      </c>
      <c r="E34" s="4">
        <v>0</v>
      </c>
      <c r="F34">
        <v>24</v>
      </c>
      <c r="G34">
        <v>12</v>
      </c>
      <c r="H34">
        <v>4.4000000000000004</v>
      </c>
      <c r="I34">
        <v>1.3</v>
      </c>
      <c r="J34">
        <v>0.53300000000000003</v>
      </c>
      <c r="K34">
        <v>0.8</v>
      </c>
      <c r="L34">
        <v>0.3</v>
      </c>
      <c r="M34">
        <v>0.4</v>
      </c>
      <c r="N34">
        <v>1</v>
      </c>
      <c r="O34">
        <v>0.63300000000000001</v>
      </c>
      <c r="P34">
        <v>0.2</v>
      </c>
      <c r="Q34">
        <v>1</v>
      </c>
      <c r="R34">
        <v>0.8</v>
      </c>
      <c r="S34">
        <v>0.3</v>
      </c>
      <c r="T34">
        <v>0.1</v>
      </c>
      <c r="U34">
        <v>0.1</v>
      </c>
      <c r="V34">
        <v>0.2</v>
      </c>
      <c r="W34">
        <v>0.9</v>
      </c>
      <c r="X34">
        <v>1.8</v>
      </c>
      <c r="Y34">
        <v>2</v>
      </c>
      <c r="Z34">
        <v>-4.0999999999999996</v>
      </c>
      <c r="AA34">
        <v>11.1</v>
      </c>
      <c r="AB34">
        <v>0.108</v>
      </c>
      <c r="AE34" s="12" t="s">
        <v>613</v>
      </c>
      <c r="AF34" s="13">
        <v>1</v>
      </c>
      <c r="AH34" s="12" t="s">
        <v>613</v>
      </c>
      <c r="AI34" s="13">
        <v>0</v>
      </c>
      <c r="AK34" s="12" t="s">
        <v>613</v>
      </c>
      <c r="AL34" s="13">
        <v>0</v>
      </c>
      <c r="AN34" s="12" t="s">
        <v>613</v>
      </c>
      <c r="AO34" s="13">
        <v>0</v>
      </c>
      <c r="AQ34" s="12" t="s">
        <v>613</v>
      </c>
      <c r="AR34" s="13">
        <v>0</v>
      </c>
      <c r="AT34" s="12" t="s">
        <v>613</v>
      </c>
      <c r="AU34" s="13">
        <v>-0.47299999999999998</v>
      </c>
    </row>
    <row r="35" spans="1:47" x14ac:dyDescent="0.35">
      <c r="A35" s="1" t="s">
        <v>2</v>
      </c>
      <c r="B35" s="1" t="s">
        <v>597</v>
      </c>
      <c r="C35" s="1" t="s">
        <v>23</v>
      </c>
      <c r="D35" s="1" t="s">
        <v>28</v>
      </c>
      <c r="E35" s="4">
        <v>-0.1</v>
      </c>
      <c r="F35">
        <v>25</v>
      </c>
      <c r="G35">
        <v>22</v>
      </c>
      <c r="H35">
        <v>3.9</v>
      </c>
      <c r="I35">
        <v>1.2</v>
      </c>
      <c r="J35">
        <v>0.192</v>
      </c>
      <c r="K35">
        <v>0.7</v>
      </c>
      <c r="L35">
        <v>0.2</v>
      </c>
      <c r="M35">
        <v>0.5</v>
      </c>
      <c r="N35">
        <v>0.182</v>
      </c>
      <c r="O35">
        <v>0.25</v>
      </c>
      <c r="P35">
        <v>0.2</v>
      </c>
      <c r="Q35">
        <v>0.5</v>
      </c>
      <c r="R35">
        <v>0.8</v>
      </c>
      <c r="S35">
        <v>0.2</v>
      </c>
      <c r="T35">
        <v>0.1</v>
      </c>
      <c r="U35">
        <v>0.3</v>
      </c>
      <c r="V35">
        <v>0.1</v>
      </c>
      <c r="W35">
        <v>0.4</v>
      </c>
      <c r="X35">
        <v>0.7</v>
      </c>
      <c r="Y35">
        <v>2</v>
      </c>
      <c r="Z35">
        <v>-8.1</v>
      </c>
      <c r="AA35">
        <v>3.4</v>
      </c>
      <c r="AB35">
        <v>-8.5999999999999993E-2</v>
      </c>
      <c r="AE35" s="12" t="s">
        <v>614</v>
      </c>
      <c r="AF35" s="13">
        <v>37.700000000000003</v>
      </c>
      <c r="AH35" s="12" t="s">
        <v>614</v>
      </c>
      <c r="AI35" s="13">
        <v>1</v>
      </c>
      <c r="AK35" s="12" t="s">
        <v>614</v>
      </c>
      <c r="AL35" s="13">
        <v>10.6</v>
      </c>
      <c r="AN35" s="12" t="s">
        <v>614</v>
      </c>
      <c r="AO35" s="13">
        <v>3</v>
      </c>
      <c r="AQ35" s="12" t="s">
        <v>614</v>
      </c>
      <c r="AR35" s="13">
        <v>32.700000000000003</v>
      </c>
      <c r="AT35" s="12" t="s">
        <v>614</v>
      </c>
      <c r="AU35" s="13">
        <v>0.56499999999999995</v>
      </c>
    </row>
    <row r="36" spans="1:47" ht="15" thickBot="1" x14ac:dyDescent="0.4">
      <c r="A36" s="1" t="s">
        <v>26</v>
      </c>
      <c r="B36" s="1" t="s">
        <v>35</v>
      </c>
      <c r="C36" s="1" t="s">
        <v>23</v>
      </c>
      <c r="D36" s="1" t="s">
        <v>20</v>
      </c>
      <c r="E36" s="4">
        <v>0.1</v>
      </c>
      <c r="F36">
        <v>22</v>
      </c>
      <c r="G36">
        <v>24</v>
      </c>
      <c r="H36">
        <v>4.5</v>
      </c>
      <c r="I36">
        <v>1.5</v>
      </c>
      <c r="J36">
        <v>0.54300000000000004</v>
      </c>
      <c r="K36">
        <v>1</v>
      </c>
      <c r="L36">
        <v>0.56499999999999995</v>
      </c>
      <c r="M36">
        <v>0.5</v>
      </c>
      <c r="N36">
        <v>0.5</v>
      </c>
      <c r="O36">
        <v>0.72899999999999998</v>
      </c>
      <c r="P36">
        <v>0.2</v>
      </c>
      <c r="Q36">
        <v>0.5</v>
      </c>
      <c r="R36">
        <v>1</v>
      </c>
      <c r="S36">
        <v>0.1</v>
      </c>
      <c r="T36">
        <v>0.1</v>
      </c>
      <c r="U36">
        <v>0.1</v>
      </c>
      <c r="V36">
        <v>0.2</v>
      </c>
      <c r="W36">
        <v>0.3</v>
      </c>
      <c r="X36">
        <v>2.2000000000000002</v>
      </c>
      <c r="Y36">
        <v>2</v>
      </c>
      <c r="Z36">
        <v>1.5</v>
      </c>
      <c r="AA36">
        <v>16.2</v>
      </c>
      <c r="AB36">
        <v>9.8000000000000004E-2</v>
      </c>
      <c r="AE36" s="14" t="s">
        <v>612</v>
      </c>
      <c r="AF36" s="15">
        <v>36.700000000000003</v>
      </c>
      <c r="AH36" s="14" t="s">
        <v>612</v>
      </c>
      <c r="AI36" s="15">
        <v>1</v>
      </c>
      <c r="AK36" s="14" t="s">
        <v>612</v>
      </c>
      <c r="AL36" s="15">
        <v>10.6</v>
      </c>
      <c r="AN36" s="14" t="s">
        <v>612</v>
      </c>
      <c r="AO36" s="15">
        <v>3</v>
      </c>
      <c r="AQ36" s="14" t="s">
        <v>612</v>
      </c>
      <c r="AR36" s="15">
        <v>32.700000000000003</v>
      </c>
      <c r="AT36" s="14" t="s">
        <v>612</v>
      </c>
      <c r="AU36" s="15">
        <v>1.0379999999999998</v>
      </c>
    </row>
    <row r="37" spans="1:47" x14ac:dyDescent="0.35">
      <c r="A37" s="1" t="s">
        <v>26</v>
      </c>
      <c r="B37" s="1" t="s">
        <v>597</v>
      </c>
      <c r="C37" s="1" t="s">
        <v>23</v>
      </c>
      <c r="D37" s="1" t="s">
        <v>50</v>
      </c>
      <c r="E37" s="4">
        <v>-0.2</v>
      </c>
      <c r="F37">
        <v>20</v>
      </c>
      <c r="G37">
        <v>52</v>
      </c>
      <c r="H37">
        <v>7.8</v>
      </c>
      <c r="I37">
        <v>1.6</v>
      </c>
      <c r="J37">
        <v>0.36099999999999999</v>
      </c>
      <c r="K37">
        <v>1.1000000000000001</v>
      </c>
      <c r="L37">
        <v>0.27300000000000002</v>
      </c>
      <c r="M37">
        <v>0.5</v>
      </c>
      <c r="N37">
        <v>0.53600000000000003</v>
      </c>
      <c r="O37">
        <v>0.45200000000000001</v>
      </c>
      <c r="P37">
        <v>0.2</v>
      </c>
      <c r="Q37">
        <v>0.58299999999999996</v>
      </c>
      <c r="R37">
        <v>1.3</v>
      </c>
      <c r="S37">
        <v>0.4</v>
      </c>
      <c r="T37">
        <v>0.2</v>
      </c>
      <c r="U37">
        <v>0.2</v>
      </c>
      <c r="V37">
        <v>0.3</v>
      </c>
      <c r="W37">
        <v>0.6</v>
      </c>
      <c r="X37">
        <v>1.6</v>
      </c>
      <c r="Y37">
        <v>1</v>
      </c>
      <c r="Z37">
        <v>-3.9</v>
      </c>
      <c r="AA37">
        <v>6.9</v>
      </c>
      <c r="AB37">
        <v>4.3999999999999997E-2</v>
      </c>
    </row>
    <row r="38" spans="1:47" ht="15" thickBot="1" x14ac:dyDescent="0.4">
      <c r="A38" s="1" t="s">
        <v>2</v>
      </c>
      <c r="B38" s="1" t="s">
        <v>598</v>
      </c>
      <c r="C38" s="1" t="s">
        <v>23</v>
      </c>
      <c r="D38" s="1" t="s">
        <v>28</v>
      </c>
      <c r="E38" s="4">
        <v>0.5</v>
      </c>
      <c r="F38">
        <v>28</v>
      </c>
      <c r="G38">
        <v>46</v>
      </c>
      <c r="H38">
        <v>12.1</v>
      </c>
      <c r="I38">
        <v>2</v>
      </c>
      <c r="J38">
        <v>0.45100000000000001</v>
      </c>
      <c r="K38">
        <v>1.3</v>
      </c>
      <c r="L38">
        <v>0.371</v>
      </c>
      <c r="M38">
        <v>0.6</v>
      </c>
      <c r="N38">
        <v>0.621</v>
      </c>
      <c r="O38">
        <v>0.57699999999999996</v>
      </c>
      <c r="P38">
        <v>0.2</v>
      </c>
      <c r="Q38">
        <v>0.875</v>
      </c>
      <c r="R38">
        <v>3.3</v>
      </c>
      <c r="S38">
        <v>0.9</v>
      </c>
      <c r="T38">
        <v>0.7</v>
      </c>
      <c r="U38">
        <v>0.3</v>
      </c>
      <c r="V38">
        <v>0.3</v>
      </c>
      <c r="W38">
        <v>0.7</v>
      </c>
      <c r="X38">
        <v>2.4</v>
      </c>
      <c r="Y38">
        <v>5</v>
      </c>
      <c r="Z38">
        <v>1.7</v>
      </c>
      <c r="AA38">
        <v>12.1</v>
      </c>
      <c r="AB38">
        <v>0.13100000000000001</v>
      </c>
    </row>
    <row r="39" spans="1:47" ht="14.5" customHeight="1" x14ac:dyDescent="0.35">
      <c r="A39" s="1" t="s">
        <v>18</v>
      </c>
      <c r="B39" s="1" t="s">
        <v>35</v>
      </c>
      <c r="C39" s="1" t="s">
        <v>23</v>
      </c>
      <c r="D39" s="1" t="s">
        <v>28</v>
      </c>
      <c r="E39" s="4">
        <v>-0.1</v>
      </c>
      <c r="F39">
        <v>24</v>
      </c>
      <c r="G39">
        <v>13</v>
      </c>
      <c r="H39">
        <v>10.6</v>
      </c>
      <c r="I39">
        <v>2.5</v>
      </c>
      <c r="J39">
        <v>0.438</v>
      </c>
      <c r="K39">
        <v>1.8</v>
      </c>
      <c r="L39">
        <v>0.375</v>
      </c>
      <c r="M39">
        <v>0.6</v>
      </c>
      <c r="N39">
        <v>0.625</v>
      </c>
      <c r="O39">
        <v>0.57799999999999996</v>
      </c>
      <c r="P39">
        <v>0.2</v>
      </c>
      <c r="Q39">
        <v>0.5</v>
      </c>
      <c r="R39">
        <v>1.6</v>
      </c>
      <c r="S39">
        <v>0.8</v>
      </c>
      <c r="T39">
        <v>0.2</v>
      </c>
      <c r="U39">
        <v>0.2</v>
      </c>
      <c r="V39">
        <v>0.3</v>
      </c>
      <c r="W39">
        <v>1.3</v>
      </c>
      <c r="X39">
        <v>2.9</v>
      </c>
      <c r="Y39">
        <v>1</v>
      </c>
      <c r="Z39">
        <v>-4.9000000000000004</v>
      </c>
      <c r="AA39">
        <v>8.5</v>
      </c>
      <c r="AB39">
        <v>6.4000000000000001E-2</v>
      </c>
      <c r="AE39" s="24" t="s">
        <v>632</v>
      </c>
      <c r="AF39" s="25"/>
      <c r="AG39" s="25"/>
      <c r="AH39" s="25"/>
      <c r="AI39" s="25"/>
      <c r="AJ39" s="25"/>
      <c r="AK39" s="25"/>
      <c r="AL39" s="25"/>
      <c r="AM39" s="25"/>
      <c r="AN39" s="25"/>
      <c r="AO39" s="25"/>
      <c r="AP39" s="25"/>
      <c r="AQ39" s="25"/>
      <c r="AR39" s="25"/>
      <c r="AS39" s="25"/>
      <c r="AT39" s="25"/>
      <c r="AU39" s="26"/>
    </row>
    <row r="40" spans="1:47" ht="14.5" customHeight="1" x14ac:dyDescent="0.35">
      <c r="A40" s="1" t="s">
        <v>18</v>
      </c>
      <c r="B40" s="1" t="s">
        <v>598</v>
      </c>
      <c r="C40" s="1" t="s">
        <v>23</v>
      </c>
      <c r="D40" s="1" t="s">
        <v>28</v>
      </c>
      <c r="E40" s="4">
        <v>0</v>
      </c>
      <c r="F40">
        <v>22</v>
      </c>
      <c r="G40">
        <v>19</v>
      </c>
      <c r="H40">
        <v>3.5</v>
      </c>
      <c r="I40">
        <v>1.3</v>
      </c>
      <c r="J40">
        <v>0.58299999999999996</v>
      </c>
      <c r="K40">
        <v>0.4</v>
      </c>
      <c r="L40">
        <v>0.25</v>
      </c>
      <c r="M40">
        <v>0.8</v>
      </c>
      <c r="N40">
        <v>0.75</v>
      </c>
      <c r="O40">
        <v>0.625</v>
      </c>
      <c r="P40">
        <v>0.2</v>
      </c>
      <c r="Q40">
        <v>0.75</v>
      </c>
      <c r="R40">
        <v>1.2</v>
      </c>
      <c r="S40">
        <v>0.2</v>
      </c>
      <c r="T40">
        <v>0</v>
      </c>
      <c r="U40">
        <v>0.2</v>
      </c>
      <c r="V40">
        <v>0.1</v>
      </c>
      <c r="W40">
        <v>0.6</v>
      </c>
      <c r="X40">
        <v>1.7</v>
      </c>
      <c r="Y40">
        <v>0</v>
      </c>
      <c r="Z40">
        <v>-1.3</v>
      </c>
      <c r="AA40">
        <v>18.3</v>
      </c>
      <c r="AB40">
        <v>0.16800000000000001</v>
      </c>
      <c r="AE40" s="27"/>
      <c r="AF40" s="28"/>
      <c r="AG40" s="28"/>
      <c r="AH40" s="28"/>
      <c r="AI40" s="28"/>
      <c r="AJ40" s="28"/>
      <c r="AK40" s="28"/>
      <c r="AL40" s="28"/>
      <c r="AM40" s="28"/>
      <c r="AN40" s="28"/>
      <c r="AO40" s="28"/>
      <c r="AP40" s="28"/>
      <c r="AQ40" s="28"/>
      <c r="AR40" s="28"/>
      <c r="AS40" s="28"/>
      <c r="AT40" s="28"/>
      <c r="AU40" s="29"/>
    </row>
    <row r="41" spans="1:47" ht="14.5" customHeight="1" x14ac:dyDescent="0.35">
      <c r="A41" s="1" t="s">
        <v>2</v>
      </c>
      <c r="B41" s="1" t="s">
        <v>597</v>
      </c>
      <c r="C41" s="1" t="s">
        <v>19</v>
      </c>
      <c r="D41" s="1" t="s">
        <v>50</v>
      </c>
      <c r="E41" s="4">
        <v>-0.2</v>
      </c>
      <c r="F41">
        <v>23</v>
      </c>
      <c r="G41">
        <v>12</v>
      </c>
      <c r="H41">
        <v>7.3</v>
      </c>
      <c r="I41">
        <v>1.7</v>
      </c>
      <c r="J41">
        <v>0.25</v>
      </c>
      <c r="K41">
        <v>0.8</v>
      </c>
      <c r="L41">
        <v>0</v>
      </c>
      <c r="M41">
        <v>0.9</v>
      </c>
      <c r="N41">
        <v>0.45500000000000002</v>
      </c>
      <c r="O41">
        <v>0.25</v>
      </c>
      <c r="P41">
        <v>0.2</v>
      </c>
      <c r="Q41">
        <v>1</v>
      </c>
      <c r="R41">
        <v>1.7</v>
      </c>
      <c r="S41">
        <v>0.7</v>
      </c>
      <c r="T41">
        <v>0.1</v>
      </c>
      <c r="U41">
        <v>0.1</v>
      </c>
      <c r="V41">
        <v>0.7</v>
      </c>
      <c r="W41">
        <v>0.5</v>
      </c>
      <c r="X41">
        <v>1</v>
      </c>
      <c r="Y41">
        <v>0</v>
      </c>
      <c r="Z41">
        <v>-9.6999999999999993</v>
      </c>
      <c r="AA41">
        <v>1.9</v>
      </c>
      <c r="AB41">
        <v>-8.2000000000000003E-2</v>
      </c>
      <c r="AE41" s="27"/>
      <c r="AF41" s="28"/>
      <c r="AG41" s="28"/>
      <c r="AH41" s="28"/>
      <c r="AI41" s="28"/>
      <c r="AJ41" s="28"/>
      <c r="AK41" s="28"/>
      <c r="AL41" s="28"/>
      <c r="AM41" s="28"/>
      <c r="AN41" s="28"/>
      <c r="AO41" s="28"/>
      <c r="AP41" s="28"/>
      <c r="AQ41" s="28"/>
      <c r="AR41" s="28"/>
      <c r="AS41" s="28"/>
      <c r="AT41" s="28"/>
      <c r="AU41" s="29"/>
    </row>
    <row r="42" spans="1:47" ht="14.5" customHeight="1" x14ac:dyDescent="0.35">
      <c r="A42" s="1" t="s">
        <v>26</v>
      </c>
      <c r="B42" s="1" t="s">
        <v>598</v>
      </c>
      <c r="C42" s="1" t="s">
        <v>23</v>
      </c>
      <c r="D42" s="1" t="s">
        <v>28</v>
      </c>
      <c r="E42" s="4">
        <v>-0.2</v>
      </c>
      <c r="F42">
        <v>23</v>
      </c>
      <c r="G42">
        <v>20</v>
      </c>
      <c r="H42">
        <v>6.3</v>
      </c>
      <c r="I42">
        <v>1.7</v>
      </c>
      <c r="J42">
        <v>0.32400000000000001</v>
      </c>
      <c r="K42">
        <v>0.9</v>
      </c>
      <c r="L42">
        <v>5.8999999999999997E-2</v>
      </c>
      <c r="M42">
        <v>0.9</v>
      </c>
      <c r="N42">
        <v>0.58799999999999997</v>
      </c>
      <c r="O42">
        <v>0.33800000000000002</v>
      </c>
      <c r="P42">
        <v>0.2</v>
      </c>
      <c r="Q42">
        <v>1</v>
      </c>
      <c r="R42">
        <v>0.9</v>
      </c>
      <c r="S42">
        <v>0.3</v>
      </c>
      <c r="T42">
        <v>0.3</v>
      </c>
      <c r="U42">
        <v>0.3</v>
      </c>
      <c r="V42">
        <v>0.3</v>
      </c>
      <c r="W42">
        <v>0.9</v>
      </c>
      <c r="X42">
        <v>1.3</v>
      </c>
      <c r="Y42">
        <v>0</v>
      </c>
      <c r="Z42">
        <v>-8.5</v>
      </c>
      <c r="AA42">
        <v>4.5</v>
      </c>
      <c r="AB42">
        <v>-3.1E-2</v>
      </c>
      <c r="AE42" s="27"/>
      <c r="AF42" s="28"/>
      <c r="AG42" s="28"/>
      <c r="AH42" s="28"/>
      <c r="AI42" s="28"/>
      <c r="AJ42" s="28"/>
      <c r="AK42" s="28"/>
      <c r="AL42" s="28"/>
      <c r="AM42" s="28"/>
      <c r="AN42" s="28"/>
      <c r="AO42" s="28"/>
      <c r="AP42" s="28"/>
      <c r="AQ42" s="28"/>
      <c r="AR42" s="28"/>
      <c r="AS42" s="28"/>
      <c r="AT42" s="28"/>
      <c r="AU42" s="29"/>
    </row>
    <row r="43" spans="1:47" ht="14.5" customHeight="1" x14ac:dyDescent="0.35">
      <c r="A43" s="1" t="s">
        <v>2</v>
      </c>
      <c r="B43" s="1" t="s">
        <v>598</v>
      </c>
      <c r="C43" s="1" t="s">
        <v>23</v>
      </c>
      <c r="D43" s="1" t="s">
        <v>28</v>
      </c>
      <c r="E43" s="4">
        <v>-0.2</v>
      </c>
      <c r="F43">
        <v>21</v>
      </c>
      <c r="G43">
        <v>24</v>
      </c>
      <c r="H43">
        <v>4.9000000000000004</v>
      </c>
      <c r="I43">
        <v>1.7</v>
      </c>
      <c r="J43">
        <v>0.317</v>
      </c>
      <c r="K43">
        <v>0.7</v>
      </c>
      <c r="L43">
        <v>0.17599999999999999</v>
      </c>
      <c r="M43">
        <v>1</v>
      </c>
      <c r="N43">
        <v>0.41699999999999998</v>
      </c>
      <c r="O43">
        <v>0.35399999999999998</v>
      </c>
      <c r="P43">
        <v>0.2</v>
      </c>
      <c r="Q43">
        <v>0.75</v>
      </c>
      <c r="R43">
        <v>0.5</v>
      </c>
      <c r="S43">
        <v>0.5</v>
      </c>
      <c r="T43">
        <v>0.1</v>
      </c>
      <c r="U43">
        <v>0</v>
      </c>
      <c r="V43">
        <v>0.2</v>
      </c>
      <c r="W43">
        <v>0.4</v>
      </c>
      <c r="X43">
        <v>1.3</v>
      </c>
      <c r="Y43">
        <v>0</v>
      </c>
      <c r="Z43">
        <v>-9.6999999999999993</v>
      </c>
      <c r="AA43">
        <v>2.9</v>
      </c>
      <c r="AB43">
        <v>-7.6999999999999999E-2</v>
      </c>
      <c r="AE43" s="27"/>
      <c r="AF43" s="28"/>
      <c r="AG43" s="28"/>
      <c r="AH43" s="28"/>
      <c r="AI43" s="28"/>
      <c r="AJ43" s="28"/>
      <c r="AK43" s="28"/>
      <c r="AL43" s="28"/>
      <c r="AM43" s="28"/>
      <c r="AN43" s="28"/>
      <c r="AO43" s="28"/>
      <c r="AP43" s="28"/>
      <c r="AQ43" s="28"/>
      <c r="AR43" s="28"/>
      <c r="AS43" s="28"/>
      <c r="AT43" s="28"/>
      <c r="AU43" s="29"/>
    </row>
    <row r="44" spans="1:47" ht="15" thickBot="1" x14ac:dyDescent="0.4">
      <c r="A44" s="1" t="s">
        <v>2</v>
      </c>
      <c r="B44" s="1" t="s">
        <v>597</v>
      </c>
      <c r="C44" s="1" t="s">
        <v>23</v>
      </c>
      <c r="D44" s="1" t="s">
        <v>28</v>
      </c>
      <c r="E44" s="4">
        <v>0</v>
      </c>
      <c r="F44">
        <v>23</v>
      </c>
      <c r="G44">
        <v>11</v>
      </c>
      <c r="H44">
        <v>6.4</v>
      </c>
      <c r="I44">
        <v>3</v>
      </c>
      <c r="J44">
        <v>0.33300000000000002</v>
      </c>
      <c r="K44">
        <v>1.9</v>
      </c>
      <c r="L44">
        <v>0.28599999999999998</v>
      </c>
      <c r="M44">
        <v>1.1000000000000001</v>
      </c>
      <c r="N44">
        <v>0.41699999999999998</v>
      </c>
      <c r="O44">
        <v>0.42399999999999999</v>
      </c>
      <c r="P44">
        <v>0.2</v>
      </c>
      <c r="Q44">
        <v>1</v>
      </c>
      <c r="R44">
        <v>1.1000000000000001</v>
      </c>
      <c r="S44">
        <v>1.3</v>
      </c>
      <c r="T44">
        <v>0.6</v>
      </c>
      <c r="U44">
        <v>0.2</v>
      </c>
      <c r="V44">
        <v>0.5</v>
      </c>
      <c r="W44">
        <v>0.6</v>
      </c>
      <c r="X44">
        <v>2.7</v>
      </c>
      <c r="Y44">
        <v>0</v>
      </c>
      <c r="Z44">
        <v>0.7</v>
      </c>
      <c r="AA44">
        <v>13.9</v>
      </c>
      <c r="AB44">
        <v>3.5999999999999997E-2</v>
      </c>
      <c r="AE44" s="30"/>
      <c r="AF44" s="31"/>
      <c r="AG44" s="31"/>
      <c r="AH44" s="31"/>
      <c r="AI44" s="31"/>
      <c r="AJ44" s="31"/>
      <c r="AK44" s="31"/>
      <c r="AL44" s="31"/>
      <c r="AM44" s="31"/>
      <c r="AN44" s="31"/>
      <c r="AO44" s="31"/>
      <c r="AP44" s="31"/>
      <c r="AQ44" s="31"/>
      <c r="AR44" s="31"/>
      <c r="AS44" s="31"/>
      <c r="AT44" s="31"/>
      <c r="AU44" s="32"/>
    </row>
    <row r="45" spans="1:47" x14ac:dyDescent="0.35">
      <c r="A45" s="1" t="s">
        <v>26</v>
      </c>
      <c r="B45" s="1" t="s">
        <v>597</v>
      </c>
      <c r="C45" s="1" t="s">
        <v>23</v>
      </c>
      <c r="D45" s="1" t="s">
        <v>28</v>
      </c>
      <c r="E45" s="4">
        <v>1.1000000000000001</v>
      </c>
      <c r="F45">
        <v>27</v>
      </c>
      <c r="G45">
        <v>71</v>
      </c>
      <c r="H45">
        <v>21.7</v>
      </c>
      <c r="I45">
        <v>6.7</v>
      </c>
      <c r="J45">
        <v>0.45100000000000001</v>
      </c>
      <c r="K45">
        <v>5.6</v>
      </c>
      <c r="L45">
        <v>0.41599999999999998</v>
      </c>
      <c r="M45">
        <v>1.1000000000000001</v>
      </c>
      <c r="N45">
        <v>0.64</v>
      </c>
      <c r="O45">
        <v>0.627</v>
      </c>
      <c r="P45">
        <v>0.2</v>
      </c>
      <c r="Q45">
        <v>1</v>
      </c>
      <c r="R45">
        <v>3.2</v>
      </c>
      <c r="S45">
        <v>0.9</v>
      </c>
      <c r="T45">
        <v>0.6</v>
      </c>
      <c r="U45">
        <v>0.2</v>
      </c>
      <c r="V45">
        <v>0.3</v>
      </c>
      <c r="W45">
        <v>1.2</v>
      </c>
      <c r="X45">
        <v>8.5</v>
      </c>
      <c r="Y45">
        <v>3</v>
      </c>
      <c r="Z45">
        <v>0.8</v>
      </c>
      <c r="AA45">
        <v>12.8</v>
      </c>
      <c r="AB45">
        <v>0.13600000000000001</v>
      </c>
    </row>
    <row r="46" spans="1:47" x14ac:dyDescent="0.35">
      <c r="A46" s="1" t="s">
        <v>26</v>
      </c>
      <c r="B46" s="1" t="s">
        <v>598</v>
      </c>
      <c r="C46" s="1" t="s">
        <v>23</v>
      </c>
      <c r="D46" s="1" t="s">
        <v>20</v>
      </c>
      <c r="E46" s="4">
        <v>0</v>
      </c>
      <c r="F46">
        <v>25</v>
      </c>
      <c r="G46">
        <v>40</v>
      </c>
      <c r="H46">
        <v>6.8</v>
      </c>
      <c r="I46">
        <v>1.8</v>
      </c>
      <c r="J46">
        <v>0.45800000000000002</v>
      </c>
      <c r="K46">
        <v>0.7</v>
      </c>
      <c r="L46">
        <v>0.23100000000000001</v>
      </c>
      <c r="M46">
        <v>1.2</v>
      </c>
      <c r="N46">
        <v>0.58699999999999997</v>
      </c>
      <c r="O46">
        <v>0.5</v>
      </c>
      <c r="P46">
        <v>0.2</v>
      </c>
      <c r="Q46">
        <v>0.71399999999999997</v>
      </c>
      <c r="R46">
        <v>1.6</v>
      </c>
      <c r="S46">
        <v>0.6</v>
      </c>
      <c r="T46">
        <v>0.2</v>
      </c>
      <c r="U46">
        <v>0.1</v>
      </c>
      <c r="V46">
        <v>0.3</v>
      </c>
      <c r="W46">
        <v>0.6</v>
      </c>
      <c r="X46">
        <v>1.9</v>
      </c>
      <c r="Y46">
        <v>1</v>
      </c>
      <c r="Z46">
        <v>-2.1</v>
      </c>
      <c r="AA46">
        <v>10.8</v>
      </c>
      <c r="AB46">
        <v>8.5000000000000006E-2</v>
      </c>
    </row>
    <row r="47" spans="1:47" x14ac:dyDescent="0.35">
      <c r="A47" s="1" t="s">
        <v>2</v>
      </c>
      <c r="B47" s="1" t="s">
        <v>35</v>
      </c>
      <c r="C47" s="1" t="s">
        <v>23</v>
      </c>
      <c r="D47" s="1" t="s">
        <v>28</v>
      </c>
      <c r="E47" s="4">
        <v>-0.2</v>
      </c>
      <c r="F47">
        <v>27</v>
      </c>
      <c r="G47">
        <v>52</v>
      </c>
      <c r="H47">
        <v>15</v>
      </c>
      <c r="I47">
        <v>4.8</v>
      </c>
      <c r="J47">
        <v>0.36899999999999999</v>
      </c>
      <c r="K47">
        <v>3.6</v>
      </c>
      <c r="L47">
        <v>0.34399999999999997</v>
      </c>
      <c r="M47">
        <v>1.2</v>
      </c>
      <c r="N47">
        <v>0.44400000000000001</v>
      </c>
      <c r="O47">
        <v>0.498</v>
      </c>
      <c r="P47">
        <v>0.2</v>
      </c>
      <c r="Q47">
        <v>0.72699999999999998</v>
      </c>
      <c r="R47">
        <v>2.1</v>
      </c>
      <c r="S47">
        <v>1</v>
      </c>
      <c r="T47">
        <v>0.5</v>
      </c>
      <c r="U47">
        <v>0.2</v>
      </c>
      <c r="V47">
        <v>0.4</v>
      </c>
      <c r="W47">
        <v>1.2</v>
      </c>
      <c r="X47">
        <v>4.9000000000000004</v>
      </c>
      <c r="Y47">
        <v>3</v>
      </c>
      <c r="Z47">
        <v>-2.8</v>
      </c>
      <c r="AA47">
        <v>8.8000000000000007</v>
      </c>
      <c r="AB47">
        <v>6.2E-2</v>
      </c>
    </row>
    <row r="48" spans="1:47" x14ac:dyDescent="0.35">
      <c r="A48" s="1" t="s">
        <v>18</v>
      </c>
      <c r="B48" s="1" t="s">
        <v>35</v>
      </c>
      <c r="C48" s="1" t="s">
        <v>23</v>
      </c>
      <c r="D48" s="1" t="s">
        <v>50</v>
      </c>
      <c r="E48" s="4">
        <v>-0.2</v>
      </c>
      <c r="F48">
        <v>26</v>
      </c>
      <c r="G48">
        <v>53</v>
      </c>
      <c r="H48">
        <v>11.9</v>
      </c>
      <c r="I48">
        <v>1.3</v>
      </c>
      <c r="J48">
        <v>0.63400000000000001</v>
      </c>
      <c r="K48">
        <v>0</v>
      </c>
      <c r="M48">
        <v>1.3</v>
      </c>
      <c r="N48">
        <v>0.63400000000000001</v>
      </c>
      <c r="O48">
        <v>0.63400000000000001</v>
      </c>
      <c r="P48">
        <v>0.2</v>
      </c>
      <c r="Q48">
        <v>0.61499999999999999</v>
      </c>
      <c r="R48">
        <v>3.7</v>
      </c>
      <c r="S48">
        <v>0.6</v>
      </c>
      <c r="T48">
        <v>0.2</v>
      </c>
      <c r="U48">
        <v>0.4</v>
      </c>
      <c r="V48">
        <v>0.6</v>
      </c>
      <c r="W48">
        <v>1.2</v>
      </c>
      <c r="X48">
        <v>1.8</v>
      </c>
      <c r="Y48">
        <v>3</v>
      </c>
      <c r="Z48">
        <v>-3</v>
      </c>
      <c r="AA48">
        <v>10</v>
      </c>
      <c r="AB48">
        <v>9.6000000000000002E-2</v>
      </c>
    </row>
    <row r="49" spans="1:28" x14ac:dyDescent="0.35">
      <c r="A49" s="1" t="s">
        <v>2</v>
      </c>
      <c r="B49" s="1" t="s">
        <v>598</v>
      </c>
      <c r="C49" s="1" t="s">
        <v>23</v>
      </c>
      <c r="D49" s="1" t="s">
        <v>50</v>
      </c>
      <c r="E49" s="4">
        <v>0.1</v>
      </c>
      <c r="F49">
        <v>25</v>
      </c>
      <c r="G49">
        <v>49</v>
      </c>
      <c r="H49">
        <v>13.6</v>
      </c>
      <c r="I49">
        <v>3.7</v>
      </c>
      <c r="J49">
        <v>0.42799999999999999</v>
      </c>
      <c r="K49">
        <v>2.1</v>
      </c>
      <c r="L49">
        <v>0.39600000000000002</v>
      </c>
      <c r="M49">
        <v>1.6</v>
      </c>
      <c r="N49">
        <v>0.46800000000000003</v>
      </c>
      <c r="O49">
        <v>0.53900000000000003</v>
      </c>
      <c r="P49">
        <v>0.2</v>
      </c>
      <c r="Q49">
        <v>0.75</v>
      </c>
      <c r="R49">
        <v>1.4</v>
      </c>
      <c r="S49">
        <v>2.2000000000000002</v>
      </c>
      <c r="T49">
        <v>0.4</v>
      </c>
      <c r="U49">
        <v>0.1</v>
      </c>
      <c r="V49">
        <v>0.5</v>
      </c>
      <c r="W49">
        <v>0.8</v>
      </c>
      <c r="X49">
        <v>4.0999999999999996</v>
      </c>
      <c r="Y49">
        <v>1</v>
      </c>
      <c r="Z49">
        <v>-1.5</v>
      </c>
      <c r="AA49">
        <v>10.9</v>
      </c>
      <c r="AB49">
        <v>7.8E-2</v>
      </c>
    </row>
    <row r="50" spans="1:28" x14ac:dyDescent="0.35">
      <c r="A50" s="1" t="s">
        <v>26</v>
      </c>
      <c r="B50" s="1" t="s">
        <v>598</v>
      </c>
      <c r="C50" s="1" t="s">
        <v>23</v>
      </c>
      <c r="D50" s="1" t="s">
        <v>28</v>
      </c>
      <c r="E50" s="4">
        <v>0</v>
      </c>
      <c r="F50">
        <v>23</v>
      </c>
      <c r="G50">
        <v>15</v>
      </c>
      <c r="H50">
        <v>3.1</v>
      </c>
      <c r="I50">
        <v>0.7</v>
      </c>
      <c r="J50">
        <v>0.45500000000000002</v>
      </c>
      <c r="K50">
        <v>0.3</v>
      </c>
      <c r="L50">
        <v>0.2</v>
      </c>
      <c r="M50">
        <v>0.4</v>
      </c>
      <c r="N50">
        <v>0.66700000000000004</v>
      </c>
      <c r="O50">
        <v>0.5</v>
      </c>
      <c r="P50">
        <v>0.3</v>
      </c>
      <c r="Q50">
        <v>0.5</v>
      </c>
      <c r="R50">
        <v>0.5</v>
      </c>
      <c r="S50">
        <v>0.1</v>
      </c>
      <c r="T50">
        <v>0.1</v>
      </c>
      <c r="U50">
        <v>0.1</v>
      </c>
      <c r="V50">
        <v>0.1</v>
      </c>
      <c r="W50">
        <v>0.1</v>
      </c>
      <c r="X50">
        <v>0.9</v>
      </c>
      <c r="Y50">
        <v>0</v>
      </c>
      <c r="Z50">
        <v>-4.0999999999999996</v>
      </c>
      <c r="AA50">
        <v>9.1999999999999993</v>
      </c>
      <c r="AB50">
        <v>3.6999999999999998E-2</v>
      </c>
    </row>
    <row r="51" spans="1:28" x14ac:dyDescent="0.35">
      <c r="A51" s="1" t="s">
        <v>2</v>
      </c>
      <c r="B51" s="1" t="s">
        <v>597</v>
      </c>
      <c r="C51" s="1" t="s">
        <v>23</v>
      </c>
      <c r="D51" s="1" t="s">
        <v>28</v>
      </c>
      <c r="E51" s="4">
        <v>-0.1</v>
      </c>
      <c r="F51">
        <v>23</v>
      </c>
      <c r="G51">
        <v>7</v>
      </c>
      <c r="H51">
        <v>3.3</v>
      </c>
      <c r="I51">
        <v>1.4</v>
      </c>
      <c r="J51">
        <v>0.3</v>
      </c>
      <c r="K51">
        <v>1</v>
      </c>
      <c r="L51">
        <v>0.14299999999999999</v>
      </c>
      <c r="M51">
        <v>0.4</v>
      </c>
      <c r="N51">
        <v>0.66700000000000004</v>
      </c>
      <c r="O51">
        <v>0.35</v>
      </c>
      <c r="P51">
        <v>0.3</v>
      </c>
      <c r="Q51">
        <v>0</v>
      </c>
      <c r="R51">
        <v>0.3</v>
      </c>
      <c r="S51">
        <v>0.4</v>
      </c>
      <c r="T51">
        <v>0</v>
      </c>
      <c r="U51">
        <v>0</v>
      </c>
      <c r="V51">
        <v>0.1</v>
      </c>
      <c r="W51">
        <v>0.3</v>
      </c>
      <c r="X51">
        <v>1</v>
      </c>
      <c r="Y51">
        <v>0</v>
      </c>
      <c r="Z51">
        <v>-15.8</v>
      </c>
      <c r="AA51">
        <v>-0.1</v>
      </c>
      <c r="AB51">
        <v>-0.15</v>
      </c>
    </row>
    <row r="52" spans="1:28" x14ac:dyDescent="0.35">
      <c r="A52" s="1" t="s">
        <v>26</v>
      </c>
      <c r="B52" s="1" t="s">
        <v>598</v>
      </c>
      <c r="C52" s="1" t="s">
        <v>19</v>
      </c>
      <c r="D52" s="1" t="s">
        <v>20</v>
      </c>
      <c r="E52" s="4">
        <v>1</v>
      </c>
      <c r="F52">
        <v>36</v>
      </c>
      <c r="G52">
        <v>78</v>
      </c>
      <c r="H52">
        <v>17.5</v>
      </c>
      <c r="I52">
        <v>3.1</v>
      </c>
      <c r="J52">
        <v>0.437</v>
      </c>
      <c r="K52">
        <v>2.6</v>
      </c>
      <c r="L52">
        <v>0.433</v>
      </c>
      <c r="M52">
        <v>0.4</v>
      </c>
      <c r="N52">
        <v>0.45700000000000002</v>
      </c>
      <c r="O52">
        <v>0.622</v>
      </c>
      <c r="P52">
        <v>0.3</v>
      </c>
      <c r="Q52">
        <v>0.81</v>
      </c>
      <c r="R52">
        <v>2.8</v>
      </c>
      <c r="S52">
        <v>1.1000000000000001</v>
      </c>
      <c r="T52">
        <v>0.7</v>
      </c>
      <c r="U52">
        <v>0.5</v>
      </c>
      <c r="V52">
        <v>0.4</v>
      </c>
      <c r="W52">
        <v>1.4</v>
      </c>
      <c r="X52">
        <v>4</v>
      </c>
      <c r="Y52">
        <v>16</v>
      </c>
      <c r="Z52">
        <v>0.8</v>
      </c>
      <c r="AA52">
        <v>10.3</v>
      </c>
      <c r="AB52">
        <v>0.124</v>
      </c>
    </row>
    <row r="53" spans="1:28" x14ac:dyDescent="0.35">
      <c r="A53" s="1" t="s">
        <v>2</v>
      </c>
      <c r="B53" s="1" t="s">
        <v>597</v>
      </c>
      <c r="C53" s="1" t="s">
        <v>23</v>
      </c>
      <c r="D53" s="1" t="s">
        <v>28</v>
      </c>
      <c r="E53" s="4">
        <v>0</v>
      </c>
      <c r="F53">
        <v>24</v>
      </c>
      <c r="G53">
        <v>6</v>
      </c>
      <c r="H53">
        <v>5</v>
      </c>
      <c r="I53">
        <v>0.8</v>
      </c>
      <c r="J53">
        <v>0.8</v>
      </c>
      <c r="K53">
        <v>0.3</v>
      </c>
      <c r="L53">
        <v>0.5</v>
      </c>
      <c r="M53">
        <v>0.5</v>
      </c>
      <c r="N53">
        <v>1</v>
      </c>
      <c r="O53">
        <v>0.9</v>
      </c>
      <c r="P53">
        <v>0.3</v>
      </c>
      <c r="Q53">
        <v>1</v>
      </c>
      <c r="R53">
        <v>0.5</v>
      </c>
      <c r="S53">
        <v>1</v>
      </c>
      <c r="T53">
        <v>0</v>
      </c>
      <c r="U53">
        <v>0</v>
      </c>
      <c r="V53">
        <v>0.2</v>
      </c>
      <c r="W53">
        <v>0.3</v>
      </c>
      <c r="X53">
        <v>1.8</v>
      </c>
      <c r="Y53">
        <v>0</v>
      </c>
      <c r="Z53">
        <v>0.5</v>
      </c>
      <c r="AA53">
        <v>16.8</v>
      </c>
      <c r="AB53">
        <v>0.22</v>
      </c>
    </row>
    <row r="54" spans="1:28" x14ac:dyDescent="0.35">
      <c r="A54" s="1" t="s">
        <v>26</v>
      </c>
      <c r="B54" s="1" t="s">
        <v>597</v>
      </c>
      <c r="C54" s="1" t="s">
        <v>19</v>
      </c>
      <c r="D54" s="1" t="s">
        <v>50</v>
      </c>
      <c r="E54" s="4">
        <v>0</v>
      </c>
      <c r="F54">
        <v>22</v>
      </c>
      <c r="G54">
        <v>58</v>
      </c>
      <c r="H54">
        <v>13.6</v>
      </c>
      <c r="I54">
        <v>3.3</v>
      </c>
      <c r="J54">
        <v>0.42099999999999999</v>
      </c>
      <c r="K54">
        <v>2.8</v>
      </c>
      <c r="L54">
        <v>0.4</v>
      </c>
      <c r="M54">
        <v>0.5</v>
      </c>
      <c r="N54">
        <v>0.53300000000000003</v>
      </c>
      <c r="O54">
        <v>0.58899999999999997</v>
      </c>
      <c r="P54">
        <v>0.3</v>
      </c>
      <c r="Q54">
        <v>0.88200000000000001</v>
      </c>
      <c r="R54">
        <v>1.3</v>
      </c>
      <c r="S54">
        <v>0.6</v>
      </c>
      <c r="T54">
        <v>0.4</v>
      </c>
      <c r="U54">
        <v>0.1</v>
      </c>
      <c r="V54">
        <v>0.2</v>
      </c>
      <c r="W54">
        <v>1.1000000000000001</v>
      </c>
      <c r="X54">
        <v>4.0999999999999996</v>
      </c>
      <c r="Y54">
        <v>2</v>
      </c>
      <c r="Z54">
        <v>-2.2000000000000002</v>
      </c>
      <c r="AA54">
        <v>9.4</v>
      </c>
      <c r="AB54">
        <v>0.109</v>
      </c>
    </row>
    <row r="55" spans="1:28" x14ac:dyDescent="0.35">
      <c r="A55" s="1" t="s">
        <v>26</v>
      </c>
      <c r="B55" s="1" t="s">
        <v>597</v>
      </c>
      <c r="C55" s="1" t="s">
        <v>19</v>
      </c>
      <c r="D55" s="1" t="s">
        <v>50</v>
      </c>
      <c r="E55" s="4">
        <v>0</v>
      </c>
      <c r="F55">
        <v>21</v>
      </c>
      <c r="G55">
        <v>8</v>
      </c>
      <c r="H55">
        <v>5.3</v>
      </c>
      <c r="I55">
        <v>1.3</v>
      </c>
      <c r="J55">
        <v>0.6</v>
      </c>
      <c r="K55">
        <v>0.6</v>
      </c>
      <c r="L55">
        <v>0.4</v>
      </c>
      <c r="M55">
        <v>0.6</v>
      </c>
      <c r="N55">
        <v>0.8</v>
      </c>
      <c r="O55">
        <v>0.7</v>
      </c>
      <c r="P55">
        <v>0.3</v>
      </c>
      <c r="Q55">
        <v>0.5</v>
      </c>
      <c r="R55">
        <v>0.9</v>
      </c>
      <c r="S55">
        <v>0.9</v>
      </c>
      <c r="T55">
        <v>0.3</v>
      </c>
      <c r="U55">
        <v>0.1</v>
      </c>
      <c r="V55">
        <v>0.1</v>
      </c>
      <c r="W55">
        <v>1</v>
      </c>
      <c r="X55">
        <v>1.9</v>
      </c>
      <c r="Y55">
        <v>0</v>
      </c>
      <c r="Z55">
        <v>1</v>
      </c>
      <c r="AA55">
        <v>15.9</v>
      </c>
      <c r="AB55">
        <v>0.20799999999999999</v>
      </c>
    </row>
    <row r="56" spans="1:28" x14ac:dyDescent="0.35">
      <c r="A56" s="1" t="s">
        <v>26</v>
      </c>
      <c r="B56" s="1" t="s">
        <v>597</v>
      </c>
      <c r="C56" s="1" t="s">
        <v>19</v>
      </c>
      <c r="D56" s="1" t="s">
        <v>50</v>
      </c>
      <c r="E56" s="4">
        <v>0</v>
      </c>
      <c r="F56">
        <v>19</v>
      </c>
      <c r="G56">
        <v>7</v>
      </c>
      <c r="H56">
        <v>4.5999999999999996</v>
      </c>
      <c r="I56">
        <v>0.7</v>
      </c>
      <c r="J56">
        <v>0.4</v>
      </c>
      <c r="K56">
        <v>0</v>
      </c>
      <c r="M56">
        <v>0.7</v>
      </c>
      <c r="N56">
        <v>0.4</v>
      </c>
      <c r="O56">
        <v>0.4</v>
      </c>
      <c r="P56">
        <v>0.3</v>
      </c>
      <c r="Q56">
        <v>0.5</v>
      </c>
      <c r="R56">
        <v>1.1000000000000001</v>
      </c>
      <c r="S56">
        <v>0.3</v>
      </c>
      <c r="T56">
        <v>0</v>
      </c>
      <c r="U56">
        <v>0.1</v>
      </c>
      <c r="V56">
        <v>0.3</v>
      </c>
      <c r="W56">
        <v>0.7</v>
      </c>
      <c r="X56">
        <v>0.7</v>
      </c>
      <c r="Y56">
        <v>0</v>
      </c>
      <c r="Z56">
        <v>-7.4</v>
      </c>
      <c r="AA56">
        <v>5.2</v>
      </c>
      <c r="AB56">
        <v>1E-3</v>
      </c>
    </row>
    <row r="57" spans="1:28" x14ac:dyDescent="0.35">
      <c r="A57" s="1" t="s">
        <v>2</v>
      </c>
      <c r="B57" s="1" t="s">
        <v>597</v>
      </c>
      <c r="C57" s="1" t="s">
        <v>19</v>
      </c>
      <c r="D57" s="1" t="s">
        <v>20</v>
      </c>
      <c r="E57" s="4">
        <v>-0.1</v>
      </c>
      <c r="F57">
        <v>19</v>
      </c>
      <c r="G57">
        <v>18</v>
      </c>
      <c r="H57">
        <v>6.2</v>
      </c>
      <c r="I57">
        <v>1.7</v>
      </c>
      <c r="J57">
        <v>0.32300000000000001</v>
      </c>
      <c r="K57">
        <v>1.1000000000000001</v>
      </c>
      <c r="L57">
        <v>0.316</v>
      </c>
      <c r="M57">
        <v>0.7</v>
      </c>
      <c r="N57">
        <v>0.33300000000000002</v>
      </c>
      <c r="O57">
        <v>0.41899999999999998</v>
      </c>
      <c r="P57">
        <v>0.3</v>
      </c>
      <c r="Q57">
        <v>0.66700000000000004</v>
      </c>
      <c r="R57">
        <v>1</v>
      </c>
      <c r="S57">
        <v>0.3</v>
      </c>
      <c r="T57">
        <v>0.2</v>
      </c>
      <c r="U57">
        <v>0.1</v>
      </c>
      <c r="V57">
        <v>0.2</v>
      </c>
      <c r="W57">
        <v>0.4</v>
      </c>
      <c r="X57">
        <v>1.7</v>
      </c>
      <c r="Y57">
        <v>0</v>
      </c>
      <c r="Z57">
        <v>-6.5</v>
      </c>
      <c r="AA57">
        <v>6.3</v>
      </c>
      <c r="AB57">
        <v>2E-3</v>
      </c>
    </row>
    <row r="58" spans="1:28" x14ac:dyDescent="0.35">
      <c r="A58" s="1" t="s">
        <v>2</v>
      </c>
      <c r="B58" s="1" t="s">
        <v>597</v>
      </c>
      <c r="C58" s="1" t="s">
        <v>23</v>
      </c>
      <c r="D58" s="1" t="s">
        <v>20</v>
      </c>
      <c r="E58" s="4">
        <v>-0.1</v>
      </c>
      <c r="F58">
        <v>30</v>
      </c>
      <c r="G58">
        <v>48</v>
      </c>
      <c r="H58">
        <v>14.8</v>
      </c>
      <c r="I58">
        <v>2.8</v>
      </c>
      <c r="J58">
        <v>0.38300000000000001</v>
      </c>
      <c r="K58">
        <v>2.1</v>
      </c>
      <c r="L58">
        <v>0.35599999999999998</v>
      </c>
      <c r="M58">
        <v>0.7</v>
      </c>
      <c r="N58">
        <v>0.46899999999999997</v>
      </c>
      <c r="O58">
        <v>0.51900000000000002</v>
      </c>
      <c r="P58">
        <v>0.3</v>
      </c>
      <c r="Q58">
        <v>0.58299999999999996</v>
      </c>
      <c r="R58">
        <v>1.3</v>
      </c>
      <c r="S58">
        <v>0.6</v>
      </c>
      <c r="T58">
        <v>0.5</v>
      </c>
      <c r="U58">
        <v>0.3</v>
      </c>
      <c r="V58">
        <v>0.4</v>
      </c>
      <c r="W58">
        <v>0.9</v>
      </c>
      <c r="X58">
        <v>3</v>
      </c>
      <c r="Y58">
        <v>10</v>
      </c>
      <c r="Z58">
        <v>-2.7</v>
      </c>
      <c r="AA58">
        <v>6.9</v>
      </c>
      <c r="AB58">
        <v>6.7000000000000004E-2</v>
      </c>
    </row>
    <row r="59" spans="1:28" x14ac:dyDescent="0.35">
      <c r="A59" s="1" t="s">
        <v>2</v>
      </c>
      <c r="B59" s="1" t="s">
        <v>598</v>
      </c>
      <c r="C59" s="1" t="s">
        <v>23</v>
      </c>
      <c r="D59" s="1" t="s">
        <v>28</v>
      </c>
      <c r="E59" s="4">
        <v>-0.1</v>
      </c>
      <c r="F59">
        <v>21</v>
      </c>
      <c r="G59">
        <v>16</v>
      </c>
      <c r="H59">
        <v>3.6</v>
      </c>
      <c r="I59">
        <v>1.4</v>
      </c>
      <c r="J59">
        <v>0.39100000000000001</v>
      </c>
      <c r="K59">
        <v>0.7</v>
      </c>
      <c r="L59">
        <v>0.36399999999999999</v>
      </c>
      <c r="M59">
        <v>0.8</v>
      </c>
      <c r="N59">
        <v>0.41699999999999998</v>
      </c>
      <c r="O59">
        <v>0.47799999999999998</v>
      </c>
      <c r="P59">
        <v>0.3</v>
      </c>
      <c r="Q59">
        <v>0.5</v>
      </c>
      <c r="R59">
        <v>0.3</v>
      </c>
      <c r="S59">
        <v>0.4</v>
      </c>
      <c r="T59">
        <v>0.1</v>
      </c>
      <c r="U59">
        <v>0.1</v>
      </c>
      <c r="V59">
        <v>0.3</v>
      </c>
      <c r="W59">
        <v>0.6</v>
      </c>
      <c r="X59">
        <v>1.5</v>
      </c>
      <c r="Y59">
        <v>0</v>
      </c>
      <c r="Z59">
        <v>-6.3</v>
      </c>
      <c r="AA59">
        <v>6.5</v>
      </c>
      <c r="AB59">
        <v>-5.6000000000000001E-2</v>
      </c>
    </row>
    <row r="60" spans="1:28" x14ac:dyDescent="0.35">
      <c r="A60" s="1" t="s">
        <v>2</v>
      </c>
      <c r="B60" s="1" t="s">
        <v>598</v>
      </c>
      <c r="C60" s="1" t="s">
        <v>23</v>
      </c>
      <c r="D60" s="1" t="s">
        <v>50</v>
      </c>
      <c r="E60" s="4">
        <v>0</v>
      </c>
      <c r="F60">
        <v>19</v>
      </c>
      <c r="G60">
        <v>13</v>
      </c>
      <c r="H60">
        <v>4.5</v>
      </c>
      <c r="I60">
        <v>1.8</v>
      </c>
      <c r="J60">
        <v>0.29199999999999998</v>
      </c>
      <c r="K60">
        <v>1</v>
      </c>
      <c r="L60">
        <v>0.154</v>
      </c>
      <c r="M60">
        <v>0.8</v>
      </c>
      <c r="N60">
        <v>0.45500000000000002</v>
      </c>
      <c r="O60">
        <v>0.33300000000000002</v>
      </c>
      <c r="P60">
        <v>0.3</v>
      </c>
      <c r="Q60">
        <v>0.5</v>
      </c>
      <c r="R60">
        <v>0.9</v>
      </c>
      <c r="S60">
        <v>0.5</v>
      </c>
      <c r="T60">
        <v>0.4</v>
      </c>
      <c r="U60">
        <v>0.1</v>
      </c>
      <c r="V60">
        <v>0.2</v>
      </c>
      <c r="W60">
        <v>0.3</v>
      </c>
      <c r="X60">
        <v>1.4</v>
      </c>
      <c r="Y60">
        <v>0</v>
      </c>
      <c r="Z60">
        <v>-2.5</v>
      </c>
      <c r="AA60">
        <v>9.1</v>
      </c>
      <c r="AB60">
        <v>-5.0000000000000001E-3</v>
      </c>
    </row>
    <row r="61" spans="1:28" x14ac:dyDescent="0.35">
      <c r="A61" s="1" t="s">
        <v>26</v>
      </c>
      <c r="B61" s="1" t="s">
        <v>597</v>
      </c>
      <c r="C61" s="1" t="s">
        <v>23</v>
      </c>
      <c r="D61" s="1" t="s">
        <v>50</v>
      </c>
      <c r="E61" s="4">
        <v>0</v>
      </c>
      <c r="F61">
        <v>20</v>
      </c>
      <c r="G61">
        <v>23</v>
      </c>
      <c r="H61">
        <v>5.3</v>
      </c>
      <c r="I61">
        <v>2.2000000000000002</v>
      </c>
      <c r="J61">
        <v>0.48</v>
      </c>
      <c r="K61">
        <v>1.3</v>
      </c>
      <c r="L61">
        <v>0.433</v>
      </c>
      <c r="M61">
        <v>0.9</v>
      </c>
      <c r="N61">
        <v>0.55000000000000004</v>
      </c>
      <c r="O61">
        <v>0.61</v>
      </c>
      <c r="P61">
        <v>0.3</v>
      </c>
      <c r="Q61">
        <v>0.75</v>
      </c>
      <c r="R61">
        <v>1.1000000000000001</v>
      </c>
      <c r="S61">
        <v>0.2</v>
      </c>
      <c r="T61">
        <v>0.1</v>
      </c>
      <c r="U61">
        <v>0.2</v>
      </c>
      <c r="V61">
        <v>0.3</v>
      </c>
      <c r="W61">
        <v>0.5</v>
      </c>
      <c r="X61">
        <v>2.9</v>
      </c>
      <c r="Y61">
        <v>0</v>
      </c>
      <c r="Z61">
        <v>-0.9</v>
      </c>
      <c r="AA61">
        <v>15.2</v>
      </c>
      <c r="AB61">
        <v>8.3000000000000004E-2</v>
      </c>
    </row>
    <row r="62" spans="1:28" x14ac:dyDescent="0.35">
      <c r="A62" s="1" t="s">
        <v>2</v>
      </c>
      <c r="B62" s="1" t="s">
        <v>597</v>
      </c>
      <c r="C62" s="1" t="s">
        <v>23</v>
      </c>
      <c r="D62" s="1" t="s">
        <v>28</v>
      </c>
      <c r="E62" s="4">
        <v>-0.1</v>
      </c>
      <c r="F62">
        <v>24</v>
      </c>
      <c r="G62">
        <v>4</v>
      </c>
      <c r="H62">
        <v>8.3000000000000007</v>
      </c>
      <c r="I62">
        <v>1.8</v>
      </c>
      <c r="J62">
        <v>0.14299999999999999</v>
      </c>
      <c r="K62">
        <v>0.8</v>
      </c>
      <c r="L62">
        <v>0</v>
      </c>
      <c r="M62">
        <v>1</v>
      </c>
      <c r="N62">
        <v>0.25</v>
      </c>
      <c r="O62">
        <v>0.14299999999999999</v>
      </c>
      <c r="P62">
        <v>0.3</v>
      </c>
      <c r="Q62">
        <v>1</v>
      </c>
      <c r="R62">
        <v>1</v>
      </c>
      <c r="S62">
        <v>0.8</v>
      </c>
      <c r="T62">
        <v>0.5</v>
      </c>
      <c r="U62">
        <v>0</v>
      </c>
      <c r="V62">
        <v>1</v>
      </c>
      <c r="W62">
        <v>0.3</v>
      </c>
      <c r="X62">
        <v>0.8</v>
      </c>
      <c r="Y62">
        <v>1</v>
      </c>
      <c r="Z62">
        <v>-11.1</v>
      </c>
      <c r="AA62">
        <v>-2.6</v>
      </c>
      <c r="AB62">
        <v>-0.19900000000000001</v>
      </c>
    </row>
    <row r="63" spans="1:28" x14ac:dyDescent="0.35">
      <c r="A63" s="1" t="s">
        <v>2</v>
      </c>
      <c r="B63" s="1" t="s">
        <v>597</v>
      </c>
      <c r="C63" s="1" t="s">
        <v>23</v>
      </c>
      <c r="D63" s="1" t="s">
        <v>50</v>
      </c>
      <c r="E63" s="4">
        <v>0</v>
      </c>
      <c r="F63">
        <v>29</v>
      </c>
      <c r="G63">
        <v>36</v>
      </c>
      <c r="H63">
        <v>8.9</v>
      </c>
      <c r="I63">
        <v>4.0999999999999996</v>
      </c>
      <c r="J63">
        <v>0.377</v>
      </c>
      <c r="K63">
        <v>2.9</v>
      </c>
      <c r="L63">
        <v>0.33300000000000002</v>
      </c>
      <c r="M63">
        <v>1.1000000000000001</v>
      </c>
      <c r="N63">
        <v>0.48799999999999999</v>
      </c>
      <c r="O63">
        <v>0.497</v>
      </c>
      <c r="P63">
        <v>0.3</v>
      </c>
      <c r="Q63">
        <v>0.8</v>
      </c>
      <c r="R63">
        <v>1.1000000000000001</v>
      </c>
      <c r="S63">
        <v>1.1000000000000001</v>
      </c>
      <c r="T63">
        <v>0.4</v>
      </c>
      <c r="U63">
        <v>0.1</v>
      </c>
      <c r="V63">
        <v>0.3</v>
      </c>
      <c r="W63">
        <v>0.4</v>
      </c>
      <c r="X63">
        <v>4.3</v>
      </c>
      <c r="Y63">
        <v>6</v>
      </c>
      <c r="Z63">
        <v>-2.1</v>
      </c>
      <c r="AA63">
        <v>12.2</v>
      </c>
      <c r="AB63">
        <v>4.5999999999999999E-2</v>
      </c>
    </row>
    <row r="64" spans="1:28" x14ac:dyDescent="0.35">
      <c r="A64" s="1" t="s">
        <v>26</v>
      </c>
      <c r="B64" s="1" t="s">
        <v>597</v>
      </c>
      <c r="C64" s="1" t="s">
        <v>23</v>
      </c>
      <c r="D64" s="1" t="s">
        <v>20</v>
      </c>
      <c r="E64" s="4">
        <v>-0.1</v>
      </c>
      <c r="F64">
        <v>20</v>
      </c>
      <c r="G64">
        <v>20</v>
      </c>
      <c r="H64">
        <v>12.3</v>
      </c>
      <c r="I64">
        <v>4.8</v>
      </c>
      <c r="J64">
        <v>0.40600000000000003</v>
      </c>
      <c r="K64">
        <v>3.7</v>
      </c>
      <c r="L64">
        <v>0.44600000000000001</v>
      </c>
      <c r="M64">
        <v>1.1000000000000001</v>
      </c>
      <c r="N64">
        <v>0.27300000000000002</v>
      </c>
      <c r="O64">
        <v>0.57799999999999996</v>
      </c>
      <c r="P64">
        <v>0.3</v>
      </c>
      <c r="Q64">
        <v>0.6</v>
      </c>
      <c r="R64">
        <v>1.5</v>
      </c>
      <c r="S64">
        <v>0.6</v>
      </c>
      <c r="T64">
        <v>0.3</v>
      </c>
      <c r="U64">
        <v>0.1</v>
      </c>
      <c r="V64">
        <v>0.8</v>
      </c>
      <c r="W64">
        <v>1.1000000000000001</v>
      </c>
      <c r="X64">
        <v>5.7</v>
      </c>
      <c r="Y64">
        <v>1</v>
      </c>
      <c r="Z64">
        <v>-3.7</v>
      </c>
      <c r="AA64">
        <v>9.4</v>
      </c>
      <c r="AB64">
        <v>0.01</v>
      </c>
    </row>
    <row r="65" spans="1:28" x14ac:dyDescent="0.35">
      <c r="A65" s="1" t="s">
        <v>26</v>
      </c>
      <c r="B65" s="1" t="s">
        <v>597</v>
      </c>
      <c r="C65" s="1" t="s">
        <v>19</v>
      </c>
      <c r="D65" s="1" t="s">
        <v>28</v>
      </c>
      <c r="E65" s="4">
        <v>0</v>
      </c>
      <c r="F65">
        <v>24</v>
      </c>
      <c r="G65">
        <v>6</v>
      </c>
      <c r="H65">
        <v>4.2</v>
      </c>
      <c r="I65">
        <v>1.3</v>
      </c>
      <c r="J65">
        <v>0.5</v>
      </c>
      <c r="K65">
        <v>0.2</v>
      </c>
      <c r="L65">
        <v>0</v>
      </c>
      <c r="M65">
        <v>1.2</v>
      </c>
      <c r="N65">
        <v>0.57099999999999995</v>
      </c>
      <c r="O65">
        <v>0.5</v>
      </c>
      <c r="P65">
        <v>0.3</v>
      </c>
      <c r="Q65">
        <v>1</v>
      </c>
      <c r="R65">
        <v>1.3</v>
      </c>
      <c r="S65">
        <v>0.3</v>
      </c>
      <c r="T65">
        <v>0.2</v>
      </c>
      <c r="U65">
        <v>0</v>
      </c>
      <c r="V65">
        <v>0</v>
      </c>
      <c r="W65">
        <v>0.5</v>
      </c>
      <c r="X65">
        <v>1.7</v>
      </c>
      <c r="Y65">
        <v>0</v>
      </c>
      <c r="Z65">
        <v>-1.8</v>
      </c>
      <c r="AA65">
        <v>18.100000000000001</v>
      </c>
      <c r="AB65">
        <v>0.20100000000000001</v>
      </c>
    </row>
    <row r="66" spans="1:28" x14ac:dyDescent="0.35">
      <c r="A66" s="1" t="s">
        <v>2</v>
      </c>
      <c r="B66" s="1" t="s">
        <v>598</v>
      </c>
      <c r="C66" s="1" t="s">
        <v>23</v>
      </c>
      <c r="D66" s="1" t="s">
        <v>28</v>
      </c>
      <c r="E66" s="4">
        <v>0</v>
      </c>
      <c r="F66">
        <v>25</v>
      </c>
      <c r="G66">
        <v>6</v>
      </c>
      <c r="H66">
        <v>5.7</v>
      </c>
      <c r="I66">
        <v>2.2999999999999998</v>
      </c>
      <c r="J66">
        <v>0.42899999999999999</v>
      </c>
      <c r="K66">
        <v>1</v>
      </c>
      <c r="L66">
        <v>0.5</v>
      </c>
      <c r="M66">
        <v>1.3</v>
      </c>
      <c r="N66">
        <v>0.375</v>
      </c>
      <c r="O66">
        <v>0.53600000000000003</v>
      </c>
      <c r="P66">
        <v>0.3</v>
      </c>
      <c r="Q66">
        <v>0.5</v>
      </c>
      <c r="R66">
        <v>0.8</v>
      </c>
      <c r="S66">
        <v>0.7</v>
      </c>
      <c r="T66">
        <v>0.2</v>
      </c>
      <c r="U66">
        <v>0</v>
      </c>
      <c r="V66">
        <v>0.3</v>
      </c>
      <c r="W66">
        <v>0.2</v>
      </c>
      <c r="X66">
        <v>2.7</v>
      </c>
      <c r="Y66">
        <v>3</v>
      </c>
      <c r="Z66">
        <v>-1.5</v>
      </c>
      <c r="AA66">
        <v>12.2</v>
      </c>
      <c r="AB66">
        <v>2.3E-2</v>
      </c>
    </row>
    <row r="67" spans="1:28" x14ac:dyDescent="0.35">
      <c r="A67" s="1" t="s">
        <v>2</v>
      </c>
      <c r="B67" s="1" t="s">
        <v>597</v>
      </c>
      <c r="C67" s="1" t="s">
        <v>23</v>
      </c>
      <c r="D67" s="1" t="s">
        <v>28</v>
      </c>
      <c r="E67" s="4">
        <v>0</v>
      </c>
      <c r="F67">
        <v>26</v>
      </c>
      <c r="G67">
        <v>6</v>
      </c>
      <c r="H67">
        <v>12</v>
      </c>
      <c r="I67">
        <v>4.2</v>
      </c>
      <c r="J67">
        <v>0.64</v>
      </c>
      <c r="K67">
        <v>2.8</v>
      </c>
      <c r="L67">
        <v>0.52900000000000003</v>
      </c>
      <c r="M67">
        <v>1.3</v>
      </c>
      <c r="N67">
        <v>0.875</v>
      </c>
      <c r="O67">
        <v>0.82</v>
      </c>
      <c r="P67">
        <v>0.3</v>
      </c>
      <c r="Q67">
        <v>1</v>
      </c>
      <c r="R67">
        <v>1.8</v>
      </c>
      <c r="S67">
        <v>0.3</v>
      </c>
      <c r="T67">
        <v>0</v>
      </c>
      <c r="U67">
        <v>0</v>
      </c>
      <c r="V67">
        <v>0.7</v>
      </c>
      <c r="W67">
        <v>1.7</v>
      </c>
      <c r="X67">
        <v>7.2</v>
      </c>
      <c r="Y67">
        <v>0</v>
      </c>
      <c r="Z67">
        <v>-0.1</v>
      </c>
      <c r="AA67">
        <v>16.100000000000001</v>
      </c>
      <c r="AB67">
        <v>0.125</v>
      </c>
    </row>
    <row r="68" spans="1:28" x14ac:dyDescent="0.35">
      <c r="A68" s="1" t="s">
        <v>26</v>
      </c>
      <c r="B68" s="1" t="s">
        <v>35</v>
      </c>
      <c r="C68" s="1" t="s">
        <v>23</v>
      </c>
      <c r="D68" s="1" t="s">
        <v>20</v>
      </c>
      <c r="E68" s="4">
        <v>0.1</v>
      </c>
      <c r="F68">
        <v>26</v>
      </c>
      <c r="G68">
        <v>9</v>
      </c>
      <c r="H68">
        <v>21.8</v>
      </c>
      <c r="I68">
        <v>4.4000000000000004</v>
      </c>
      <c r="J68">
        <v>0.5</v>
      </c>
      <c r="K68">
        <v>3.1</v>
      </c>
      <c r="L68">
        <v>0.39300000000000002</v>
      </c>
      <c r="M68">
        <v>1.3</v>
      </c>
      <c r="N68">
        <v>0.75</v>
      </c>
      <c r="O68">
        <v>0.63800000000000001</v>
      </c>
      <c r="P68">
        <v>0.3</v>
      </c>
      <c r="Q68">
        <v>0.66700000000000004</v>
      </c>
      <c r="R68">
        <v>5.2</v>
      </c>
      <c r="S68">
        <v>1.7</v>
      </c>
      <c r="T68">
        <v>0.6</v>
      </c>
      <c r="U68">
        <v>0.4</v>
      </c>
      <c r="V68">
        <v>0.3</v>
      </c>
      <c r="W68">
        <v>0.6</v>
      </c>
      <c r="X68">
        <v>5.9</v>
      </c>
      <c r="Y68">
        <v>4</v>
      </c>
      <c r="Z68">
        <v>-0.2</v>
      </c>
      <c r="AA68">
        <v>15.3</v>
      </c>
      <c r="AB68">
        <v>0.14499999999999999</v>
      </c>
    </row>
    <row r="69" spans="1:28" x14ac:dyDescent="0.35">
      <c r="A69" s="1" t="s">
        <v>2</v>
      </c>
      <c r="B69" s="1" t="s">
        <v>598</v>
      </c>
      <c r="C69" s="1" t="s">
        <v>33</v>
      </c>
      <c r="D69" s="1" t="s">
        <v>28</v>
      </c>
      <c r="E69" s="4">
        <v>-0.8</v>
      </c>
      <c r="F69">
        <v>28</v>
      </c>
      <c r="G69">
        <v>72</v>
      </c>
      <c r="H69">
        <v>21.2</v>
      </c>
      <c r="I69">
        <v>5.8</v>
      </c>
      <c r="J69">
        <v>0.4</v>
      </c>
      <c r="K69">
        <v>4.3</v>
      </c>
      <c r="L69">
        <v>0.35299999999999998</v>
      </c>
      <c r="M69">
        <v>1.5</v>
      </c>
      <c r="N69">
        <v>0.53200000000000003</v>
      </c>
      <c r="O69">
        <v>0.53</v>
      </c>
      <c r="P69">
        <v>0.3</v>
      </c>
      <c r="Q69">
        <v>0.71399999999999997</v>
      </c>
      <c r="R69">
        <v>1.3</v>
      </c>
      <c r="S69">
        <v>1.4</v>
      </c>
      <c r="T69">
        <v>0.7</v>
      </c>
      <c r="U69">
        <v>0.2</v>
      </c>
      <c r="V69">
        <v>0.6</v>
      </c>
      <c r="W69">
        <v>2.1</v>
      </c>
      <c r="X69">
        <v>6.4</v>
      </c>
      <c r="Y69">
        <v>5</v>
      </c>
      <c r="Z69">
        <v>-4</v>
      </c>
      <c r="AA69">
        <v>7.4</v>
      </c>
      <c r="AB69">
        <v>3.9E-2</v>
      </c>
    </row>
    <row r="70" spans="1:28" x14ac:dyDescent="0.35">
      <c r="A70" s="1" t="s">
        <v>26</v>
      </c>
      <c r="B70" s="1" t="s">
        <v>597</v>
      </c>
      <c r="C70" s="1" t="s">
        <v>23</v>
      </c>
      <c r="D70" s="1" t="s">
        <v>28</v>
      </c>
      <c r="E70" s="4">
        <v>-0.1</v>
      </c>
      <c r="F70">
        <v>23</v>
      </c>
      <c r="G70">
        <v>59</v>
      </c>
      <c r="H70">
        <v>17.7</v>
      </c>
      <c r="I70">
        <v>5.9</v>
      </c>
      <c r="J70">
        <v>0.42899999999999999</v>
      </c>
      <c r="K70">
        <v>4.4000000000000004</v>
      </c>
      <c r="L70">
        <v>0.40500000000000003</v>
      </c>
      <c r="M70">
        <v>1.5</v>
      </c>
      <c r="N70">
        <v>0.5</v>
      </c>
      <c r="O70">
        <v>0.58099999999999996</v>
      </c>
      <c r="P70">
        <v>0.3</v>
      </c>
      <c r="Q70">
        <v>0.88900000000000001</v>
      </c>
      <c r="R70">
        <v>2.7</v>
      </c>
      <c r="S70">
        <v>0.9</v>
      </c>
      <c r="T70">
        <v>0.3</v>
      </c>
      <c r="U70">
        <v>0.2</v>
      </c>
      <c r="V70">
        <v>0.5</v>
      </c>
      <c r="W70">
        <v>1.6</v>
      </c>
      <c r="X70">
        <v>7.1</v>
      </c>
      <c r="Y70">
        <v>0</v>
      </c>
      <c r="Z70">
        <v>-2.2999999999999998</v>
      </c>
      <c r="AA70">
        <v>10.7</v>
      </c>
      <c r="AB70">
        <v>7.9000000000000001E-2</v>
      </c>
    </row>
    <row r="71" spans="1:28" x14ac:dyDescent="0.35">
      <c r="A71" s="1" t="s">
        <v>26</v>
      </c>
      <c r="B71" s="1" t="s">
        <v>598</v>
      </c>
      <c r="C71" s="1" t="s">
        <v>23</v>
      </c>
      <c r="D71" s="1" t="s">
        <v>28</v>
      </c>
      <c r="E71" s="4">
        <v>1</v>
      </c>
      <c r="F71">
        <v>31</v>
      </c>
      <c r="G71">
        <v>75</v>
      </c>
      <c r="H71">
        <v>24.5</v>
      </c>
      <c r="I71">
        <v>7.6</v>
      </c>
      <c r="J71">
        <v>0.42299999999999999</v>
      </c>
      <c r="K71">
        <v>5.9</v>
      </c>
      <c r="L71">
        <v>0.40600000000000003</v>
      </c>
      <c r="M71">
        <v>1.7</v>
      </c>
      <c r="N71">
        <v>0.48099999999999998</v>
      </c>
      <c r="O71">
        <v>0.57999999999999996</v>
      </c>
      <c r="P71">
        <v>0.3</v>
      </c>
      <c r="Q71">
        <v>0.73099999999999998</v>
      </c>
      <c r="R71">
        <v>4.7</v>
      </c>
      <c r="S71">
        <v>2.2000000000000002</v>
      </c>
      <c r="T71">
        <v>0.9</v>
      </c>
      <c r="U71">
        <v>0.5</v>
      </c>
      <c r="V71">
        <v>0.9</v>
      </c>
      <c r="W71">
        <v>2</v>
      </c>
      <c r="X71">
        <v>9.1</v>
      </c>
      <c r="Y71">
        <v>7</v>
      </c>
      <c r="Z71">
        <v>0.1</v>
      </c>
      <c r="AA71">
        <v>12.6</v>
      </c>
      <c r="AB71">
        <v>7.2999999999999995E-2</v>
      </c>
    </row>
    <row r="72" spans="1:28" x14ac:dyDescent="0.35">
      <c r="A72" s="1" t="s">
        <v>2</v>
      </c>
      <c r="B72" s="1" t="s">
        <v>597</v>
      </c>
      <c r="C72" s="1" t="s">
        <v>33</v>
      </c>
      <c r="D72" s="1" t="s">
        <v>20</v>
      </c>
      <c r="E72" s="4">
        <v>-0.2</v>
      </c>
      <c r="F72">
        <v>34</v>
      </c>
      <c r="G72">
        <v>31</v>
      </c>
      <c r="H72">
        <v>12.4</v>
      </c>
      <c r="I72">
        <v>4.3</v>
      </c>
      <c r="J72">
        <v>0.39100000000000001</v>
      </c>
      <c r="K72">
        <v>2.4</v>
      </c>
      <c r="L72">
        <v>0.33800000000000002</v>
      </c>
      <c r="M72">
        <v>1.9</v>
      </c>
      <c r="N72">
        <v>0.45800000000000002</v>
      </c>
      <c r="O72">
        <v>0.48499999999999999</v>
      </c>
      <c r="P72">
        <v>0.3</v>
      </c>
      <c r="Q72">
        <v>0.77800000000000002</v>
      </c>
      <c r="R72">
        <v>1.4</v>
      </c>
      <c r="S72">
        <v>1.5</v>
      </c>
      <c r="T72">
        <v>0.5</v>
      </c>
      <c r="U72">
        <v>0.1</v>
      </c>
      <c r="V72">
        <v>0.5</v>
      </c>
      <c r="W72">
        <v>1.1000000000000001</v>
      </c>
      <c r="X72">
        <v>4.4000000000000004</v>
      </c>
      <c r="Y72">
        <v>13</v>
      </c>
      <c r="Z72">
        <v>-4</v>
      </c>
      <c r="AA72">
        <v>9.8000000000000007</v>
      </c>
      <c r="AB72">
        <v>1.4999999999999999E-2</v>
      </c>
    </row>
    <row r="73" spans="1:28" x14ac:dyDescent="0.35">
      <c r="A73" s="1" t="s">
        <v>2</v>
      </c>
      <c r="B73" s="1" t="s">
        <v>598</v>
      </c>
      <c r="C73" s="1" t="s">
        <v>23</v>
      </c>
      <c r="D73" s="1" t="s">
        <v>20</v>
      </c>
      <c r="E73" s="4">
        <v>0.1</v>
      </c>
      <c r="F73">
        <v>20</v>
      </c>
      <c r="G73">
        <v>52</v>
      </c>
      <c r="H73">
        <v>12.6</v>
      </c>
      <c r="I73">
        <v>4.5999999999999996</v>
      </c>
      <c r="J73">
        <v>0.35099999999999998</v>
      </c>
      <c r="K73">
        <v>2.7</v>
      </c>
      <c r="L73">
        <v>0.33800000000000002</v>
      </c>
      <c r="M73">
        <v>1.9</v>
      </c>
      <c r="N73">
        <v>0.371</v>
      </c>
      <c r="O73">
        <v>0.45200000000000001</v>
      </c>
      <c r="P73">
        <v>0.3</v>
      </c>
      <c r="Q73">
        <v>0.81299999999999994</v>
      </c>
      <c r="R73">
        <v>1.5</v>
      </c>
      <c r="S73">
        <v>1.4</v>
      </c>
      <c r="T73">
        <v>0.7</v>
      </c>
      <c r="U73">
        <v>0.3</v>
      </c>
      <c r="V73">
        <v>0.7</v>
      </c>
      <c r="W73">
        <v>1</v>
      </c>
      <c r="X73">
        <v>4.4000000000000004</v>
      </c>
      <c r="Y73">
        <v>0</v>
      </c>
      <c r="Z73">
        <v>-1.7</v>
      </c>
      <c r="AA73">
        <v>9.6999999999999993</v>
      </c>
      <c r="AB73">
        <v>5.5E-2</v>
      </c>
    </row>
    <row r="74" spans="1:28" x14ac:dyDescent="0.35">
      <c r="A74" s="1" t="s">
        <v>26</v>
      </c>
      <c r="B74" s="1" t="s">
        <v>598</v>
      </c>
      <c r="C74" s="1" t="s">
        <v>23</v>
      </c>
      <c r="D74" s="1" t="s">
        <v>50</v>
      </c>
      <c r="E74" s="4">
        <v>0.1</v>
      </c>
      <c r="F74">
        <v>24</v>
      </c>
      <c r="G74">
        <v>40</v>
      </c>
      <c r="H74">
        <v>15.2</v>
      </c>
      <c r="I74">
        <v>3.4</v>
      </c>
      <c r="J74">
        <v>0.496</v>
      </c>
      <c r="K74">
        <v>1.4</v>
      </c>
      <c r="L74">
        <v>0.40699999999999997</v>
      </c>
      <c r="M74">
        <v>2</v>
      </c>
      <c r="N74">
        <v>0.55600000000000005</v>
      </c>
      <c r="O74">
        <v>0.57799999999999996</v>
      </c>
      <c r="P74">
        <v>0.3</v>
      </c>
      <c r="Q74">
        <v>0.92300000000000004</v>
      </c>
      <c r="R74">
        <v>2.9</v>
      </c>
      <c r="S74">
        <v>1.1000000000000001</v>
      </c>
      <c r="T74">
        <v>0.5</v>
      </c>
      <c r="U74">
        <v>0.5</v>
      </c>
      <c r="V74">
        <v>0.4</v>
      </c>
      <c r="W74">
        <v>1.6</v>
      </c>
      <c r="X74">
        <v>4.2</v>
      </c>
      <c r="Y74">
        <v>3</v>
      </c>
      <c r="Z74">
        <v>-1.4</v>
      </c>
      <c r="AA74">
        <v>11.3</v>
      </c>
      <c r="AB74">
        <v>9.6000000000000002E-2</v>
      </c>
    </row>
    <row r="75" spans="1:28" x14ac:dyDescent="0.35">
      <c r="A75" s="1" t="s">
        <v>2</v>
      </c>
      <c r="B75" s="1" t="s">
        <v>598</v>
      </c>
      <c r="C75" s="1" t="s">
        <v>23</v>
      </c>
      <c r="D75" s="1" t="s">
        <v>20</v>
      </c>
      <c r="E75" s="4">
        <v>-0.3</v>
      </c>
      <c r="F75">
        <v>20</v>
      </c>
      <c r="G75">
        <v>49</v>
      </c>
      <c r="H75">
        <v>10.5</v>
      </c>
      <c r="I75">
        <v>4.3</v>
      </c>
      <c r="J75">
        <v>0.441</v>
      </c>
      <c r="K75">
        <v>1.5</v>
      </c>
      <c r="L75">
        <v>0.33800000000000002</v>
      </c>
      <c r="M75">
        <v>2.8</v>
      </c>
      <c r="N75">
        <v>0.496</v>
      </c>
      <c r="O75">
        <v>0.5</v>
      </c>
      <c r="P75">
        <v>0.3</v>
      </c>
      <c r="Q75">
        <v>0.53300000000000003</v>
      </c>
      <c r="R75">
        <v>1</v>
      </c>
      <c r="S75">
        <v>2</v>
      </c>
      <c r="T75">
        <v>0.4</v>
      </c>
      <c r="U75">
        <v>0</v>
      </c>
      <c r="V75">
        <v>1.1000000000000001</v>
      </c>
      <c r="W75">
        <v>0.8</v>
      </c>
      <c r="X75">
        <v>4.5</v>
      </c>
      <c r="Y75">
        <v>0</v>
      </c>
      <c r="Z75">
        <v>-4.2</v>
      </c>
      <c r="AA75">
        <v>10.199999999999999</v>
      </c>
      <c r="AB75">
        <v>1.2E-2</v>
      </c>
    </row>
    <row r="76" spans="1:28" x14ac:dyDescent="0.35">
      <c r="A76" s="1" t="s">
        <v>2</v>
      </c>
      <c r="B76" s="1" t="s">
        <v>598</v>
      </c>
      <c r="C76" s="1" t="s">
        <v>23</v>
      </c>
      <c r="D76" s="1" t="s">
        <v>20</v>
      </c>
      <c r="E76" s="4">
        <v>1.2</v>
      </c>
      <c r="F76">
        <v>30</v>
      </c>
      <c r="G76">
        <v>74</v>
      </c>
      <c r="H76">
        <v>24.1</v>
      </c>
      <c r="I76">
        <v>5.9</v>
      </c>
      <c r="J76">
        <v>0.439</v>
      </c>
      <c r="K76">
        <v>3</v>
      </c>
      <c r="L76">
        <v>0.33500000000000002</v>
      </c>
      <c r="M76">
        <v>2.9</v>
      </c>
      <c r="N76">
        <v>0.54900000000000004</v>
      </c>
      <c r="O76">
        <v>0.52500000000000002</v>
      </c>
      <c r="P76">
        <v>0.3</v>
      </c>
      <c r="Q76">
        <v>0.68200000000000005</v>
      </c>
      <c r="R76">
        <v>3.4</v>
      </c>
      <c r="S76">
        <v>2.8</v>
      </c>
      <c r="T76">
        <v>1.7</v>
      </c>
      <c r="U76">
        <v>0.4</v>
      </c>
      <c r="V76">
        <v>1</v>
      </c>
      <c r="W76">
        <v>2.7</v>
      </c>
      <c r="X76">
        <v>6.4</v>
      </c>
      <c r="Y76">
        <v>8</v>
      </c>
      <c r="Z76">
        <v>0.6</v>
      </c>
      <c r="AA76">
        <v>11.3</v>
      </c>
      <c r="AB76">
        <v>0.108</v>
      </c>
    </row>
    <row r="77" spans="1:28" x14ac:dyDescent="0.35">
      <c r="A77" s="1" t="s">
        <v>2</v>
      </c>
      <c r="B77" s="1" t="s">
        <v>35</v>
      </c>
      <c r="C77" s="1" t="s">
        <v>23</v>
      </c>
      <c r="D77" s="1" t="s">
        <v>20</v>
      </c>
      <c r="E77" s="4">
        <v>-0.6</v>
      </c>
      <c r="F77">
        <v>30</v>
      </c>
      <c r="G77">
        <v>24</v>
      </c>
      <c r="H77">
        <v>21.3</v>
      </c>
      <c r="I77">
        <v>5.0999999999999996</v>
      </c>
      <c r="J77">
        <v>0.32800000000000001</v>
      </c>
      <c r="K77">
        <v>0.3</v>
      </c>
      <c r="L77">
        <v>0.16700000000000001</v>
      </c>
      <c r="M77">
        <v>4.8</v>
      </c>
      <c r="N77">
        <v>0.33600000000000002</v>
      </c>
      <c r="O77">
        <v>0.33200000000000002</v>
      </c>
      <c r="P77">
        <v>0.3</v>
      </c>
      <c r="Q77">
        <v>0.57099999999999995</v>
      </c>
      <c r="R77">
        <v>3.3</v>
      </c>
      <c r="S77">
        <v>6.9</v>
      </c>
      <c r="T77">
        <v>1</v>
      </c>
      <c r="U77">
        <v>0.5</v>
      </c>
      <c r="V77">
        <v>2.5</v>
      </c>
      <c r="W77">
        <v>1.5</v>
      </c>
      <c r="X77">
        <v>3.5</v>
      </c>
      <c r="Y77">
        <v>8</v>
      </c>
      <c r="Z77">
        <v>-6.4</v>
      </c>
      <c r="AA77">
        <v>8.5</v>
      </c>
      <c r="AB77">
        <v>-5.7000000000000002E-2</v>
      </c>
    </row>
    <row r="78" spans="1:28" x14ac:dyDescent="0.35">
      <c r="A78" s="1" t="s">
        <v>2</v>
      </c>
      <c r="B78" s="1" t="s">
        <v>598</v>
      </c>
      <c r="C78" s="1" t="s">
        <v>19</v>
      </c>
      <c r="D78" s="1" t="s">
        <v>28</v>
      </c>
      <c r="E78" s="4">
        <v>0</v>
      </c>
      <c r="F78">
        <v>23</v>
      </c>
      <c r="G78">
        <v>22</v>
      </c>
      <c r="H78">
        <v>4.2</v>
      </c>
      <c r="I78">
        <v>1.4</v>
      </c>
      <c r="J78">
        <v>0.36699999999999999</v>
      </c>
      <c r="K78">
        <v>1</v>
      </c>
      <c r="L78">
        <v>0.30399999999999999</v>
      </c>
      <c r="M78">
        <v>0.3</v>
      </c>
      <c r="N78">
        <v>0.57099999999999995</v>
      </c>
      <c r="O78">
        <v>0.48299999999999998</v>
      </c>
      <c r="P78">
        <v>0.4</v>
      </c>
      <c r="Q78">
        <v>0.77800000000000002</v>
      </c>
      <c r="R78">
        <v>0.5</v>
      </c>
      <c r="S78">
        <v>0.9</v>
      </c>
      <c r="T78">
        <v>0.1</v>
      </c>
      <c r="U78">
        <v>0</v>
      </c>
      <c r="V78">
        <v>0.2</v>
      </c>
      <c r="W78">
        <v>0.4</v>
      </c>
      <c r="X78">
        <v>1.6</v>
      </c>
      <c r="Y78">
        <v>0</v>
      </c>
      <c r="Z78">
        <v>-2.8</v>
      </c>
      <c r="AA78">
        <v>11</v>
      </c>
      <c r="AB78">
        <v>9.5000000000000001E-2</v>
      </c>
    </row>
    <row r="79" spans="1:28" x14ac:dyDescent="0.35">
      <c r="A79" s="1" t="s">
        <v>26</v>
      </c>
      <c r="B79" s="1" t="s">
        <v>597</v>
      </c>
      <c r="C79" s="1" t="s">
        <v>23</v>
      </c>
      <c r="D79" s="1" t="s">
        <v>28</v>
      </c>
      <c r="E79" s="4">
        <v>0.1</v>
      </c>
      <c r="F79">
        <v>25</v>
      </c>
      <c r="G79">
        <v>25</v>
      </c>
      <c r="H79">
        <v>7.4</v>
      </c>
      <c r="I79">
        <v>1.6</v>
      </c>
      <c r="J79">
        <v>0.41499999999999998</v>
      </c>
      <c r="K79">
        <v>1.3</v>
      </c>
      <c r="L79">
        <v>0.39400000000000002</v>
      </c>
      <c r="M79">
        <v>0.3</v>
      </c>
      <c r="N79">
        <v>0.5</v>
      </c>
      <c r="O79">
        <v>0.57299999999999995</v>
      </c>
      <c r="P79">
        <v>0.4</v>
      </c>
      <c r="Q79">
        <v>0.77800000000000002</v>
      </c>
      <c r="R79">
        <v>1.6</v>
      </c>
      <c r="S79">
        <v>0.5</v>
      </c>
      <c r="T79">
        <v>0.2</v>
      </c>
      <c r="U79">
        <v>0.1</v>
      </c>
      <c r="V79">
        <v>0.3</v>
      </c>
      <c r="W79">
        <v>0.7</v>
      </c>
      <c r="X79">
        <v>2.2000000000000002</v>
      </c>
      <c r="Y79">
        <v>1</v>
      </c>
      <c r="Z79">
        <v>-0.8</v>
      </c>
      <c r="AA79">
        <v>10.5</v>
      </c>
      <c r="AB79">
        <v>0.115</v>
      </c>
    </row>
    <row r="80" spans="1:28" x14ac:dyDescent="0.35">
      <c r="A80" s="1" t="s">
        <v>26</v>
      </c>
      <c r="B80" s="1" t="s">
        <v>35</v>
      </c>
      <c r="C80" s="1" t="s">
        <v>19</v>
      </c>
      <c r="D80" s="1" t="s">
        <v>50</v>
      </c>
      <c r="E80" s="4">
        <v>-0.1</v>
      </c>
      <c r="F80">
        <v>20</v>
      </c>
      <c r="G80">
        <v>22</v>
      </c>
      <c r="H80">
        <v>5.2</v>
      </c>
      <c r="I80">
        <v>1.4</v>
      </c>
      <c r="J80">
        <v>0.433</v>
      </c>
      <c r="K80">
        <v>0.6</v>
      </c>
      <c r="L80">
        <v>0.23100000000000001</v>
      </c>
      <c r="M80">
        <v>0.8</v>
      </c>
      <c r="N80">
        <v>0.58799999999999997</v>
      </c>
      <c r="O80">
        <v>0.48299999999999998</v>
      </c>
      <c r="P80">
        <v>0.4</v>
      </c>
      <c r="Q80">
        <v>0.33300000000000002</v>
      </c>
      <c r="R80">
        <v>1</v>
      </c>
      <c r="S80">
        <v>0.7</v>
      </c>
      <c r="T80">
        <v>0.1</v>
      </c>
      <c r="U80">
        <v>0</v>
      </c>
      <c r="V80">
        <v>0.5</v>
      </c>
      <c r="W80">
        <v>0.5</v>
      </c>
      <c r="X80">
        <v>1.5</v>
      </c>
      <c r="Y80">
        <v>1</v>
      </c>
      <c r="Z80">
        <v>-5.0999999999999996</v>
      </c>
      <c r="AA80">
        <v>6.7</v>
      </c>
      <c r="AB80">
        <v>-4.4999999999999998E-2</v>
      </c>
    </row>
    <row r="81" spans="1:28" x14ac:dyDescent="0.35">
      <c r="A81" s="1" t="s">
        <v>2</v>
      </c>
      <c r="B81" s="1" t="s">
        <v>597</v>
      </c>
      <c r="C81" s="1" t="s">
        <v>19</v>
      </c>
      <c r="D81" s="1" t="s">
        <v>28</v>
      </c>
      <c r="E81" s="4">
        <v>-0.1</v>
      </c>
      <c r="F81">
        <v>21</v>
      </c>
      <c r="G81">
        <v>5</v>
      </c>
      <c r="H81">
        <v>2</v>
      </c>
      <c r="I81">
        <v>1.4</v>
      </c>
      <c r="J81">
        <v>0.14299999999999999</v>
      </c>
      <c r="K81">
        <v>0.6</v>
      </c>
      <c r="L81">
        <v>0</v>
      </c>
      <c r="M81">
        <v>0.8</v>
      </c>
      <c r="N81">
        <v>0.25</v>
      </c>
      <c r="O81">
        <v>0.14299999999999999</v>
      </c>
      <c r="P81">
        <v>0.4</v>
      </c>
      <c r="Q81">
        <v>0.5</v>
      </c>
      <c r="R81">
        <v>0.4</v>
      </c>
      <c r="S81">
        <v>0</v>
      </c>
      <c r="T81">
        <v>0</v>
      </c>
      <c r="U81">
        <v>0</v>
      </c>
      <c r="V81">
        <v>0</v>
      </c>
      <c r="W81">
        <v>0</v>
      </c>
      <c r="X81">
        <v>0.6</v>
      </c>
      <c r="Y81">
        <v>0</v>
      </c>
      <c r="Z81">
        <v>-24.9</v>
      </c>
      <c r="AA81">
        <v>-10.7</v>
      </c>
      <c r="AB81">
        <v>-0.47299999999999998</v>
      </c>
    </row>
    <row r="82" spans="1:28" x14ac:dyDescent="0.35">
      <c r="A82" s="1" t="s">
        <v>2</v>
      </c>
      <c r="B82" s="1" t="s">
        <v>597</v>
      </c>
      <c r="C82" s="1" t="s">
        <v>19</v>
      </c>
      <c r="D82" s="1" t="s">
        <v>50</v>
      </c>
      <c r="E82" s="4">
        <v>0</v>
      </c>
      <c r="F82">
        <v>20</v>
      </c>
      <c r="G82">
        <v>50</v>
      </c>
      <c r="H82">
        <v>7.6</v>
      </c>
      <c r="I82">
        <v>1.8</v>
      </c>
      <c r="J82">
        <v>0.38</v>
      </c>
      <c r="K82">
        <v>1</v>
      </c>
      <c r="L82">
        <v>0.3</v>
      </c>
      <c r="M82">
        <v>0.8</v>
      </c>
      <c r="N82">
        <v>0.47599999999999998</v>
      </c>
      <c r="O82">
        <v>0.46200000000000002</v>
      </c>
      <c r="P82">
        <v>0.4</v>
      </c>
      <c r="Q82">
        <v>0.81799999999999995</v>
      </c>
      <c r="R82">
        <v>1.4</v>
      </c>
      <c r="S82">
        <v>0.4</v>
      </c>
      <c r="T82">
        <v>0.4</v>
      </c>
      <c r="U82">
        <v>0.2</v>
      </c>
      <c r="V82">
        <v>0.2</v>
      </c>
      <c r="W82">
        <v>0.8</v>
      </c>
      <c r="X82">
        <v>2.1</v>
      </c>
      <c r="Y82">
        <v>0</v>
      </c>
      <c r="Z82">
        <v>-2.5</v>
      </c>
      <c r="AA82">
        <v>9.8000000000000007</v>
      </c>
      <c r="AB82">
        <v>7.0000000000000007E-2</v>
      </c>
    </row>
    <row r="83" spans="1:28" x14ac:dyDescent="0.35">
      <c r="A83" s="1" t="s">
        <v>2</v>
      </c>
      <c r="B83" s="1" t="s">
        <v>597</v>
      </c>
      <c r="C83" s="1" t="s">
        <v>23</v>
      </c>
      <c r="D83" s="1" t="s">
        <v>28</v>
      </c>
      <c r="E83" s="4">
        <v>-0.1</v>
      </c>
      <c r="F83">
        <v>25</v>
      </c>
      <c r="G83">
        <v>73</v>
      </c>
      <c r="H83">
        <v>22.7</v>
      </c>
      <c r="I83">
        <v>5.8</v>
      </c>
      <c r="J83">
        <v>0.42899999999999999</v>
      </c>
      <c r="K83">
        <v>5</v>
      </c>
      <c r="L83">
        <v>0.42699999999999999</v>
      </c>
      <c r="M83">
        <v>0.8</v>
      </c>
      <c r="N83">
        <v>0.443</v>
      </c>
      <c r="O83">
        <v>0.61199999999999999</v>
      </c>
      <c r="P83">
        <v>0.4</v>
      </c>
      <c r="Q83">
        <v>0.81499999999999995</v>
      </c>
      <c r="R83">
        <v>2.4</v>
      </c>
      <c r="S83">
        <v>1.5</v>
      </c>
      <c r="T83">
        <v>0.5</v>
      </c>
      <c r="U83">
        <v>0.1</v>
      </c>
      <c r="V83">
        <v>0.5</v>
      </c>
      <c r="W83">
        <v>2.2000000000000002</v>
      </c>
      <c r="X83">
        <v>7.4</v>
      </c>
      <c r="Y83">
        <v>2</v>
      </c>
      <c r="Z83">
        <v>-2.2000000000000002</v>
      </c>
      <c r="AA83">
        <v>9.1999999999999993</v>
      </c>
      <c r="AB83">
        <v>8.2000000000000003E-2</v>
      </c>
    </row>
    <row r="84" spans="1:28" x14ac:dyDescent="0.35">
      <c r="A84" s="1" t="s">
        <v>2</v>
      </c>
      <c r="B84" s="1" t="s">
        <v>597</v>
      </c>
      <c r="C84" s="1" t="s">
        <v>23</v>
      </c>
      <c r="D84" s="1" t="s">
        <v>50</v>
      </c>
      <c r="E84" s="4">
        <v>0.8</v>
      </c>
      <c r="F84">
        <v>28</v>
      </c>
      <c r="G84">
        <v>71</v>
      </c>
      <c r="H84">
        <v>19.7</v>
      </c>
      <c r="I84">
        <v>6</v>
      </c>
      <c r="J84">
        <v>0.40600000000000003</v>
      </c>
      <c r="K84">
        <v>5.2</v>
      </c>
      <c r="L84">
        <v>0.372</v>
      </c>
      <c r="M84">
        <v>0.8</v>
      </c>
      <c r="N84">
        <v>0.625</v>
      </c>
      <c r="O84">
        <v>0.56699999999999995</v>
      </c>
      <c r="P84">
        <v>0.4</v>
      </c>
      <c r="Q84">
        <v>0.96599999999999997</v>
      </c>
      <c r="R84">
        <v>2.2000000000000002</v>
      </c>
      <c r="S84">
        <v>1.5</v>
      </c>
      <c r="T84">
        <v>0.7</v>
      </c>
      <c r="U84">
        <v>0.2</v>
      </c>
      <c r="V84">
        <v>0.5</v>
      </c>
      <c r="W84">
        <v>1.7</v>
      </c>
      <c r="X84">
        <v>7.2</v>
      </c>
      <c r="Y84">
        <v>4</v>
      </c>
      <c r="Z84">
        <v>0.3</v>
      </c>
      <c r="AA84">
        <v>11.1</v>
      </c>
      <c r="AB84">
        <v>0.113</v>
      </c>
    </row>
    <row r="85" spans="1:28" x14ac:dyDescent="0.35">
      <c r="A85" s="1" t="s">
        <v>2</v>
      </c>
      <c r="B85" s="1" t="s">
        <v>597</v>
      </c>
      <c r="C85" s="1" t="s">
        <v>23</v>
      </c>
      <c r="D85" s="1" t="s">
        <v>50</v>
      </c>
      <c r="E85" s="4">
        <v>-0.1</v>
      </c>
      <c r="F85">
        <v>23</v>
      </c>
      <c r="G85">
        <v>41</v>
      </c>
      <c r="H85">
        <v>7.2</v>
      </c>
      <c r="I85">
        <v>2</v>
      </c>
      <c r="J85">
        <v>0.32900000000000001</v>
      </c>
      <c r="K85">
        <v>1.1000000000000001</v>
      </c>
      <c r="L85">
        <v>0.29799999999999999</v>
      </c>
      <c r="M85">
        <v>0.9</v>
      </c>
      <c r="N85">
        <v>0.371</v>
      </c>
      <c r="O85">
        <v>0.41499999999999998</v>
      </c>
      <c r="P85">
        <v>0.4</v>
      </c>
      <c r="Q85">
        <v>0.76500000000000001</v>
      </c>
      <c r="R85">
        <v>0.7</v>
      </c>
      <c r="S85">
        <v>1.7</v>
      </c>
      <c r="T85">
        <v>0.3</v>
      </c>
      <c r="U85">
        <v>0.1</v>
      </c>
      <c r="V85">
        <v>0.4</v>
      </c>
      <c r="W85">
        <v>0.6</v>
      </c>
      <c r="X85">
        <v>2</v>
      </c>
      <c r="Y85">
        <v>0</v>
      </c>
      <c r="Z85">
        <v>-2.8</v>
      </c>
      <c r="AA85">
        <v>10.3</v>
      </c>
      <c r="AB85">
        <v>5.8000000000000003E-2</v>
      </c>
    </row>
    <row r="86" spans="1:28" x14ac:dyDescent="0.35">
      <c r="A86" s="1" t="s">
        <v>2</v>
      </c>
      <c r="B86" s="1" t="s">
        <v>597</v>
      </c>
      <c r="C86" s="1" t="s">
        <v>19</v>
      </c>
      <c r="D86" s="1" t="s">
        <v>20</v>
      </c>
      <c r="E86" s="4">
        <v>0.2</v>
      </c>
      <c r="F86">
        <v>33</v>
      </c>
      <c r="G86">
        <v>50</v>
      </c>
      <c r="H86">
        <v>12.2</v>
      </c>
      <c r="I86">
        <v>3.1</v>
      </c>
      <c r="J86">
        <v>0.40300000000000002</v>
      </c>
      <c r="K86">
        <v>2.1</v>
      </c>
      <c r="L86">
        <v>0.36399999999999999</v>
      </c>
      <c r="M86">
        <v>0.9</v>
      </c>
      <c r="N86">
        <v>0.48899999999999999</v>
      </c>
      <c r="O86">
        <v>0.52900000000000003</v>
      </c>
      <c r="P86">
        <v>0.4</v>
      </c>
      <c r="Q86">
        <v>0.77800000000000002</v>
      </c>
      <c r="R86">
        <v>1.5</v>
      </c>
      <c r="S86">
        <v>1.4</v>
      </c>
      <c r="T86">
        <v>0.5</v>
      </c>
      <c r="U86">
        <v>0.1</v>
      </c>
      <c r="V86">
        <v>0.4</v>
      </c>
      <c r="W86">
        <v>1</v>
      </c>
      <c r="X86">
        <v>3.5</v>
      </c>
      <c r="Y86">
        <v>13</v>
      </c>
      <c r="Z86">
        <v>-0.8</v>
      </c>
      <c r="AA86">
        <v>10.9</v>
      </c>
      <c r="AB86">
        <v>0.114</v>
      </c>
    </row>
    <row r="87" spans="1:28" x14ac:dyDescent="0.35">
      <c r="A87" s="1" t="s">
        <v>2</v>
      </c>
      <c r="B87" s="1" t="s">
        <v>597</v>
      </c>
      <c r="C87" s="1" t="s">
        <v>23</v>
      </c>
      <c r="D87" s="1" t="s">
        <v>20</v>
      </c>
      <c r="E87" s="4">
        <v>0</v>
      </c>
      <c r="F87">
        <v>24</v>
      </c>
      <c r="G87">
        <v>31</v>
      </c>
      <c r="H87">
        <v>12.4</v>
      </c>
      <c r="I87">
        <v>3.5</v>
      </c>
      <c r="J87">
        <v>0.35499999999999998</v>
      </c>
      <c r="K87">
        <v>2.6</v>
      </c>
      <c r="L87">
        <v>0.317</v>
      </c>
      <c r="M87">
        <v>0.9</v>
      </c>
      <c r="N87">
        <v>0.46400000000000002</v>
      </c>
      <c r="O87">
        <v>0.47299999999999998</v>
      </c>
      <c r="P87">
        <v>0.4</v>
      </c>
      <c r="Q87">
        <v>0.75</v>
      </c>
      <c r="R87">
        <v>2.1</v>
      </c>
      <c r="S87">
        <v>1.1000000000000001</v>
      </c>
      <c r="T87">
        <v>0.5</v>
      </c>
      <c r="U87">
        <v>0.1</v>
      </c>
      <c r="V87">
        <v>0.4</v>
      </c>
      <c r="W87">
        <v>0.7</v>
      </c>
      <c r="X87">
        <v>3.6</v>
      </c>
      <c r="Y87">
        <v>0</v>
      </c>
      <c r="Z87">
        <v>-1.7</v>
      </c>
      <c r="AA87">
        <v>10.3</v>
      </c>
      <c r="AB87">
        <v>8.8999999999999996E-2</v>
      </c>
    </row>
    <row r="88" spans="1:28" x14ac:dyDescent="0.35">
      <c r="A88" s="1" t="s">
        <v>26</v>
      </c>
      <c r="B88" s="1" t="s">
        <v>598</v>
      </c>
      <c r="C88" s="1" t="s">
        <v>23</v>
      </c>
      <c r="D88" s="1" t="s">
        <v>50</v>
      </c>
      <c r="E88" s="4">
        <v>0.3</v>
      </c>
      <c r="F88">
        <v>22</v>
      </c>
      <c r="G88">
        <v>46</v>
      </c>
      <c r="H88">
        <v>6</v>
      </c>
      <c r="I88">
        <v>2</v>
      </c>
      <c r="J88">
        <v>0.48899999999999999</v>
      </c>
      <c r="K88">
        <v>0.9</v>
      </c>
      <c r="L88">
        <v>0.32600000000000001</v>
      </c>
      <c r="M88">
        <v>1</v>
      </c>
      <c r="N88">
        <v>0.63800000000000001</v>
      </c>
      <c r="O88">
        <v>0.56699999999999995</v>
      </c>
      <c r="P88">
        <v>0.4</v>
      </c>
      <c r="Q88">
        <v>0.89500000000000002</v>
      </c>
      <c r="R88">
        <v>1</v>
      </c>
      <c r="S88">
        <v>0.4</v>
      </c>
      <c r="T88">
        <v>0.3</v>
      </c>
      <c r="U88">
        <v>0.3</v>
      </c>
      <c r="V88">
        <v>0.2</v>
      </c>
      <c r="W88">
        <v>0.7</v>
      </c>
      <c r="X88">
        <v>2.6</v>
      </c>
      <c r="Y88">
        <v>2</v>
      </c>
      <c r="Z88">
        <v>2.2000000000000002</v>
      </c>
      <c r="AA88">
        <v>15.5</v>
      </c>
      <c r="AB88">
        <v>0.153</v>
      </c>
    </row>
    <row r="89" spans="1:28" x14ac:dyDescent="0.35">
      <c r="A89" s="1" t="s">
        <v>2</v>
      </c>
      <c r="B89" s="1" t="s">
        <v>597</v>
      </c>
      <c r="C89" s="1" t="s">
        <v>23</v>
      </c>
      <c r="D89" s="1" t="s">
        <v>50</v>
      </c>
      <c r="E89" s="4">
        <v>-0.1</v>
      </c>
      <c r="F89">
        <v>22</v>
      </c>
      <c r="G89">
        <v>16</v>
      </c>
      <c r="H89">
        <v>5.8</v>
      </c>
      <c r="I89">
        <v>2.1</v>
      </c>
      <c r="J89">
        <v>0.35299999999999998</v>
      </c>
      <c r="K89">
        <v>1.1000000000000001</v>
      </c>
      <c r="L89">
        <v>0.222</v>
      </c>
      <c r="M89">
        <v>1</v>
      </c>
      <c r="N89">
        <v>0.5</v>
      </c>
      <c r="O89">
        <v>0.41199999999999998</v>
      </c>
      <c r="P89">
        <v>0.4</v>
      </c>
      <c r="Q89">
        <v>0.71399999999999997</v>
      </c>
      <c r="R89">
        <v>0.8</v>
      </c>
      <c r="S89">
        <v>0.8</v>
      </c>
      <c r="T89">
        <v>0.3</v>
      </c>
      <c r="U89">
        <v>0.1</v>
      </c>
      <c r="V89">
        <v>0.8</v>
      </c>
      <c r="W89">
        <v>0.1</v>
      </c>
      <c r="X89">
        <v>2.1</v>
      </c>
      <c r="Y89">
        <v>2</v>
      </c>
      <c r="Z89">
        <v>-6.2</v>
      </c>
      <c r="AA89">
        <v>6.5</v>
      </c>
      <c r="AB89">
        <v>-8.1000000000000003E-2</v>
      </c>
    </row>
    <row r="90" spans="1:28" x14ac:dyDescent="0.35">
      <c r="A90" s="1" t="s">
        <v>2</v>
      </c>
      <c r="B90" s="1" t="s">
        <v>597</v>
      </c>
      <c r="C90" s="1" t="s">
        <v>23</v>
      </c>
      <c r="D90" s="1" t="s">
        <v>28</v>
      </c>
      <c r="E90" s="4">
        <v>-0.1</v>
      </c>
      <c r="F90">
        <v>38</v>
      </c>
      <c r="G90">
        <v>28</v>
      </c>
      <c r="H90">
        <v>8.1</v>
      </c>
      <c r="I90">
        <v>2.1</v>
      </c>
      <c r="J90">
        <v>0.3</v>
      </c>
      <c r="K90">
        <v>1</v>
      </c>
      <c r="L90">
        <v>0.214</v>
      </c>
      <c r="M90">
        <v>1.1000000000000001</v>
      </c>
      <c r="N90">
        <v>0.375</v>
      </c>
      <c r="O90">
        <v>0.35</v>
      </c>
      <c r="P90">
        <v>0.4</v>
      </c>
      <c r="Q90">
        <v>0.91700000000000004</v>
      </c>
      <c r="R90">
        <v>1</v>
      </c>
      <c r="S90">
        <v>1.1000000000000001</v>
      </c>
      <c r="T90">
        <v>0.6</v>
      </c>
      <c r="U90">
        <v>0.1</v>
      </c>
      <c r="V90">
        <v>0.4</v>
      </c>
      <c r="W90">
        <v>0.8</v>
      </c>
      <c r="X90">
        <v>1.9</v>
      </c>
      <c r="Y90">
        <v>14</v>
      </c>
      <c r="Z90">
        <v>-3.6</v>
      </c>
      <c r="AA90">
        <v>8.5</v>
      </c>
      <c r="AB90">
        <v>3.3000000000000002E-2</v>
      </c>
    </row>
    <row r="91" spans="1:28" x14ac:dyDescent="0.35">
      <c r="A91" s="1" t="s">
        <v>18</v>
      </c>
      <c r="B91" s="1" t="s">
        <v>35</v>
      </c>
      <c r="C91" s="1" t="s">
        <v>19</v>
      </c>
      <c r="D91" s="1" t="s">
        <v>20</v>
      </c>
      <c r="E91" s="4">
        <v>-0.1</v>
      </c>
      <c r="F91">
        <v>31</v>
      </c>
      <c r="G91">
        <v>46</v>
      </c>
      <c r="H91">
        <v>8.3000000000000007</v>
      </c>
      <c r="I91">
        <v>1.4</v>
      </c>
      <c r="J91">
        <v>0.50800000000000001</v>
      </c>
      <c r="K91">
        <v>0.2</v>
      </c>
      <c r="L91">
        <v>0.222</v>
      </c>
      <c r="M91">
        <v>1.2</v>
      </c>
      <c r="N91">
        <v>0.55600000000000005</v>
      </c>
      <c r="O91">
        <v>0.52400000000000002</v>
      </c>
      <c r="P91">
        <v>0.4</v>
      </c>
      <c r="Q91">
        <v>0.47099999999999997</v>
      </c>
      <c r="R91">
        <v>2.1</v>
      </c>
      <c r="S91">
        <v>0.8</v>
      </c>
      <c r="T91">
        <v>0.2</v>
      </c>
      <c r="U91">
        <v>0.5</v>
      </c>
      <c r="V91">
        <v>0.4</v>
      </c>
      <c r="W91">
        <v>1.2</v>
      </c>
      <c r="X91">
        <v>1.6</v>
      </c>
      <c r="Y91">
        <v>11</v>
      </c>
      <c r="Z91">
        <v>-2.6</v>
      </c>
      <c r="AA91">
        <v>10.6</v>
      </c>
      <c r="AB91">
        <v>8.3000000000000004E-2</v>
      </c>
    </row>
    <row r="92" spans="1:28" x14ac:dyDescent="0.35">
      <c r="A92" s="1" t="s">
        <v>26</v>
      </c>
      <c r="B92" s="1" t="s">
        <v>597</v>
      </c>
      <c r="C92" s="1" t="s">
        <v>23</v>
      </c>
      <c r="D92" s="1" t="s">
        <v>20</v>
      </c>
      <c r="E92" s="4">
        <v>-0.6</v>
      </c>
      <c r="F92">
        <v>21</v>
      </c>
      <c r="G92">
        <v>60</v>
      </c>
      <c r="H92">
        <v>11.7</v>
      </c>
      <c r="I92">
        <v>4.4000000000000004</v>
      </c>
      <c r="J92">
        <v>0.374</v>
      </c>
      <c r="K92">
        <v>3.1</v>
      </c>
      <c r="L92">
        <v>0.29599999999999999</v>
      </c>
      <c r="M92">
        <v>1.3</v>
      </c>
      <c r="N92">
        <v>0.56599999999999995</v>
      </c>
      <c r="O92">
        <v>0.47899999999999998</v>
      </c>
      <c r="P92">
        <v>0.4</v>
      </c>
      <c r="Q92">
        <v>0.69599999999999995</v>
      </c>
      <c r="R92">
        <v>1.2</v>
      </c>
      <c r="S92">
        <v>0.7</v>
      </c>
      <c r="T92">
        <v>0.2</v>
      </c>
      <c r="U92">
        <v>0.2</v>
      </c>
      <c r="V92">
        <v>0.6</v>
      </c>
      <c r="W92">
        <v>1.1000000000000001</v>
      </c>
      <c r="X92">
        <v>4.5</v>
      </c>
      <c r="Y92">
        <v>1</v>
      </c>
      <c r="Z92">
        <v>-5.3</v>
      </c>
      <c r="AA92">
        <v>7.1</v>
      </c>
      <c r="AB92">
        <v>0.01</v>
      </c>
    </row>
    <row r="93" spans="1:28" x14ac:dyDescent="0.35">
      <c r="A93" s="1" t="s">
        <v>2</v>
      </c>
      <c r="B93" s="1" t="s">
        <v>597</v>
      </c>
      <c r="C93" s="1" t="s">
        <v>23</v>
      </c>
      <c r="D93" s="1" t="s">
        <v>20</v>
      </c>
      <c r="E93" s="4">
        <v>-0.1</v>
      </c>
      <c r="F93">
        <v>23</v>
      </c>
      <c r="G93">
        <v>14</v>
      </c>
      <c r="H93">
        <v>4.9000000000000004</v>
      </c>
      <c r="I93">
        <v>2.2000000000000002</v>
      </c>
      <c r="J93">
        <v>0.35499999999999998</v>
      </c>
      <c r="K93">
        <v>0.8</v>
      </c>
      <c r="L93">
        <v>0.182</v>
      </c>
      <c r="M93">
        <v>1.4</v>
      </c>
      <c r="N93">
        <v>0.45</v>
      </c>
      <c r="O93">
        <v>0.38700000000000001</v>
      </c>
      <c r="P93">
        <v>0.4</v>
      </c>
      <c r="Q93">
        <v>0.66700000000000004</v>
      </c>
      <c r="R93">
        <v>0.6</v>
      </c>
      <c r="S93">
        <v>0.6</v>
      </c>
      <c r="T93">
        <v>0.4</v>
      </c>
      <c r="U93">
        <v>0.2</v>
      </c>
      <c r="V93">
        <v>0.4</v>
      </c>
      <c r="W93">
        <v>0.1</v>
      </c>
      <c r="X93">
        <v>2</v>
      </c>
      <c r="Y93">
        <v>3</v>
      </c>
      <c r="Z93">
        <v>-7.9</v>
      </c>
      <c r="AA93">
        <v>9.4</v>
      </c>
      <c r="AB93">
        <v>-7.2999999999999995E-2</v>
      </c>
    </row>
    <row r="94" spans="1:28" x14ac:dyDescent="0.35">
      <c r="A94" s="1" t="s">
        <v>2</v>
      </c>
      <c r="B94" s="1" t="s">
        <v>597</v>
      </c>
      <c r="C94" s="1" t="s">
        <v>23</v>
      </c>
      <c r="D94" s="1" t="s">
        <v>20</v>
      </c>
      <c r="E94" s="4">
        <v>0</v>
      </c>
      <c r="F94">
        <v>22</v>
      </c>
      <c r="G94">
        <v>34</v>
      </c>
      <c r="H94">
        <v>7.1</v>
      </c>
      <c r="I94">
        <v>2.2999999999999998</v>
      </c>
      <c r="J94">
        <v>0.41</v>
      </c>
      <c r="K94">
        <v>0.9</v>
      </c>
      <c r="L94">
        <v>0.24099999999999999</v>
      </c>
      <c r="M94">
        <v>1.4</v>
      </c>
      <c r="N94">
        <v>0.51</v>
      </c>
      <c r="O94">
        <v>0.45500000000000002</v>
      </c>
      <c r="P94">
        <v>0.4</v>
      </c>
      <c r="Q94">
        <v>0.6</v>
      </c>
      <c r="R94">
        <v>1.1000000000000001</v>
      </c>
      <c r="S94">
        <v>0.3</v>
      </c>
      <c r="T94">
        <v>0.4</v>
      </c>
      <c r="U94">
        <v>0.2</v>
      </c>
      <c r="V94">
        <v>0.2</v>
      </c>
      <c r="W94">
        <v>0.5</v>
      </c>
      <c r="X94">
        <v>2.4</v>
      </c>
      <c r="Y94">
        <v>2</v>
      </c>
      <c r="Z94">
        <v>-2.8</v>
      </c>
      <c r="AA94">
        <v>10.199999999999999</v>
      </c>
      <c r="AB94">
        <v>0.01</v>
      </c>
    </row>
    <row r="95" spans="1:28" x14ac:dyDescent="0.35">
      <c r="A95" s="1" t="s">
        <v>2</v>
      </c>
      <c r="B95" s="1" t="s">
        <v>597</v>
      </c>
      <c r="C95" s="1" t="s">
        <v>23</v>
      </c>
      <c r="D95" s="1" t="s">
        <v>20</v>
      </c>
      <c r="E95" s="4">
        <v>0</v>
      </c>
      <c r="F95">
        <v>23</v>
      </c>
      <c r="G95">
        <v>63</v>
      </c>
      <c r="H95">
        <v>19.5</v>
      </c>
      <c r="I95">
        <v>4.5999999999999996</v>
      </c>
      <c r="J95">
        <v>0.41799999999999998</v>
      </c>
      <c r="K95">
        <v>3.2</v>
      </c>
      <c r="L95">
        <v>0.34200000000000003</v>
      </c>
      <c r="M95">
        <v>1.4</v>
      </c>
      <c r="N95">
        <v>0.59099999999999997</v>
      </c>
      <c r="O95">
        <v>0.53700000000000003</v>
      </c>
      <c r="P95">
        <v>0.4</v>
      </c>
      <c r="Q95">
        <v>0.88900000000000001</v>
      </c>
      <c r="R95">
        <v>2.8</v>
      </c>
      <c r="S95">
        <v>1.3</v>
      </c>
      <c r="T95">
        <v>0.6</v>
      </c>
      <c r="U95">
        <v>0.2</v>
      </c>
      <c r="V95">
        <v>0.3</v>
      </c>
      <c r="W95">
        <v>2</v>
      </c>
      <c r="X95">
        <v>5.3</v>
      </c>
      <c r="Y95">
        <v>1</v>
      </c>
      <c r="Z95">
        <v>-2</v>
      </c>
      <c r="AA95">
        <v>9.1999999999999993</v>
      </c>
      <c r="AB95">
        <v>8.1000000000000003E-2</v>
      </c>
    </row>
    <row r="96" spans="1:28" x14ac:dyDescent="0.35">
      <c r="A96" s="1" t="s">
        <v>2</v>
      </c>
      <c r="B96" s="1" t="s">
        <v>598</v>
      </c>
      <c r="C96" s="1" t="s">
        <v>23</v>
      </c>
      <c r="D96" s="1" t="s">
        <v>20</v>
      </c>
      <c r="E96" s="4">
        <v>-0.2</v>
      </c>
      <c r="F96">
        <v>23</v>
      </c>
      <c r="G96">
        <v>16</v>
      </c>
      <c r="H96">
        <v>7.4</v>
      </c>
      <c r="I96">
        <v>2.8</v>
      </c>
      <c r="J96">
        <v>0.311</v>
      </c>
      <c r="K96">
        <v>1.3</v>
      </c>
      <c r="L96">
        <v>0.19</v>
      </c>
      <c r="M96">
        <v>1.5</v>
      </c>
      <c r="N96">
        <v>0.41699999999999998</v>
      </c>
      <c r="O96">
        <v>0.35599999999999998</v>
      </c>
      <c r="P96">
        <v>0.4</v>
      </c>
      <c r="Q96">
        <v>0.5</v>
      </c>
      <c r="R96">
        <v>0.8</v>
      </c>
      <c r="S96">
        <v>1</v>
      </c>
      <c r="T96">
        <v>0.2</v>
      </c>
      <c r="U96">
        <v>0</v>
      </c>
      <c r="V96">
        <v>0.2</v>
      </c>
      <c r="W96">
        <v>0.3</v>
      </c>
      <c r="X96">
        <v>2.2000000000000002</v>
      </c>
      <c r="Y96">
        <v>2</v>
      </c>
      <c r="Z96">
        <v>-8</v>
      </c>
      <c r="AA96">
        <v>6.5</v>
      </c>
      <c r="AB96">
        <v>-6.5000000000000002E-2</v>
      </c>
    </row>
    <row r="97" spans="1:28" x14ac:dyDescent="0.35">
      <c r="A97" s="1" t="s">
        <v>18</v>
      </c>
      <c r="B97" s="1" t="s">
        <v>598</v>
      </c>
      <c r="C97" s="1" t="s">
        <v>19</v>
      </c>
      <c r="D97" s="1" t="s">
        <v>20</v>
      </c>
      <c r="E97" s="4">
        <v>0.1</v>
      </c>
      <c r="F97">
        <v>21</v>
      </c>
      <c r="G97">
        <v>37</v>
      </c>
      <c r="H97">
        <v>10.9</v>
      </c>
      <c r="I97">
        <v>3.4</v>
      </c>
      <c r="J97">
        <v>0.432</v>
      </c>
      <c r="K97">
        <v>1.9</v>
      </c>
      <c r="L97">
        <v>0.32400000000000001</v>
      </c>
      <c r="M97">
        <v>1.5</v>
      </c>
      <c r="N97">
        <v>0.57399999999999995</v>
      </c>
      <c r="O97">
        <v>0.52400000000000002</v>
      </c>
      <c r="P97">
        <v>0.4</v>
      </c>
      <c r="Q97">
        <v>0.68799999999999994</v>
      </c>
      <c r="R97">
        <v>2.2000000000000002</v>
      </c>
      <c r="S97">
        <v>0.8</v>
      </c>
      <c r="T97">
        <v>0.5</v>
      </c>
      <c r="U97">
        <v>0.2</v>
      </c>
      <c r="V97">
        <v>0.5</v>
      </c>
      <c r="W97">
        <v>0.9</v>
      </c>
      <c r="X97">
        <v>3.8</v>
      </c>
      <c r="Y97">
        <v>2</v>
      </c>
      <c r="Z97">
        <v>-0.9</v>
      </c>
      <c r="AA97">
        <v>11.5</v>
      </c>
      <c r="AB97">
        <v>0.104</v>
      </c>
    </row>
    <row r="98" spans="1:28" x14ac:dyDescent="0.35">
      <c r="A98" s="1" t="s">
        <v>2</v>
      </c>
      <c r="B98" s="1" t="s">
        <v>597</v>
      </c>
      <c r="C98" s="1" t="s">
        <v>23</v>
      </c>
      <c r="D98" s="1" t="s">
        <v>20</v>
      </c>
      <c r="E98" s="4">
        <v>-0.1</v>
      </c>
      <c r="F98">
        <v>27</v>
      </c>
      <c r="G98">
        <v>50</v>
      </c>
      <c r="H98">
        <v>15.2</v>
      </c>
      <c r="I98">
        <v>4.5999999999999996</v>
      </c>
      <c r="J98">
        <v>0.46100000000000002</v>
      </c>
      <c r="K98">
        <v>3.1</v>
      </c>
      <c r="L98">
        <v>0.39700000000000002</v>
      </c>
      <c r="M98">
        <v>1.5</v>
      </c>
      <c r="N98">
        <v>0.59499999999999997</v>
      </c>
      <c r="O98">
        <v>0.59599999999999997</v>
      </c>
      <c r="P98">
        <v>0.4</v>
      </c>
      <c r="Q98">
        <v>0.66700000000000004</v>
      </c>
      <c r="R98">
        <v>1.2</v>
      </c>
      <c r="S98">
        <v>0.5</v>
      </c>
      <c r="T98">
        <v>0.5</v>
      </c>
      <c r="U98">
        <v>0</v>
      </c>
      <c r="V98">
        <v>0.4</v>
      </c>
      <c r="W98">
        <v>1</v>
      </c>
      <c r="X98">
        <v>5.7</v>
      </c>
      <c r="Y98">
        <v>6</v>
      </c>
      <c r="Z98">
        <v>-2.4</v>
      </c>
      <c r="AA98">
        <v>9.6999999999999993</v>
      </c>
      <c r="AB98">
        <v>6.5000000000000002E-2</v>
      </c>
    </row>
    <row r="99" spans="1:28" x14ac:dyDescent="0.35">
      <c r="A99" s="1" t="s">
        <v>18</v>
      </c>
      <c r="B99" s="1" t="s">
        <v>598</v>
      </c>
      <c r="C99" s="1" t="s">
        <v>19</v>
      </c>
      <c r="D99" s="1" t="s">
        <v>50</v>
      </c>
      <c r="E99" s="4">
        <v>-0.1</v>
      </c>
      <c r="F99">
        <v>24</v>
      </c>
      <c r="G99">
        <v>37</v>
      </c>
      <c r="H99">
        <v>9.1999999999999993</v>
      </c>
      <c r="I99">
        <v>1.8</v>
      </c>
      <c r="J99">
        <v>0.60599999999999998</v>
      </c>
      <c r="K99">
        <v>0.1</v>
      </c>
      <c r="L99">
        <v>0</v>
      </c>
      <c r="M99">
        <v>1.7</v>
      </c>
      <c r="N99">
        <v>0.64500000000000002</v>
      </c>
      <c r="O99">
        <v>0.60599999999999998</v>
      </c>
      <c r="P99">
        <v>0.4</v>
      </c>
      <c r="Q99">
        <v>0.71399999999999997</v>
      </c>
      <c r="R99">
        <v>2.5</v>
      </c>
      <c r="S99">
        <v>0.4</v>
      </c>
      <c r="T99">
        <v>0.2</v>
      </c>
      <c r="U99">
        <v>0.4</v>
      </c>
      <c r="V99">
        <v>0.3</v>
      </c>
      <c r="W99">
        <v>1.2</v>
      </c>
      <c r="X99">
        <v>2.4</v>
      </c>
      <c r="Y99">
        <v>2</v>
      </c>
      <c r="Z99">
        <v>-2.8</v>
      </c>
      <c r="AA99">
        <v>13</v>
      </c>
      <c r="AB99">
        <v>0.13</v>
      </c>
    </row>
    <row r="100" spans="1:28" x14ac:dyDescent="0.35">
      <c r="A100" s="1" t="s">
        <v>2</v>
      </c>
      <c r="B100" s="1" t="s">
        <v>597</v>
      </c>
      <c r="C100" s="1" t="s">
        <v>23</v>
      </c>
      <c r="D100" s="1" t="s">
        <v>50</v>
      </c>
      <c r="E100" s="4">
        <v>-0.3</v>
      </c>
      <c r="F100">
        <v>23</v>
      </c>
      <c r="G100">
        <v>67</v>
      </c>
      <c r="H100">
        <v>14.6</v>
      </c>
      <c r="I100">
        <v>2.9</v>
      </c>
      <c r="J100">
        <v>0.47699999999999998</v>
      </c>
      <c r="K100">
        <v>1.1000000000000001</v>
      </c>
      <c r="L100">
        <v>0.39500000000000002</v>
      </c>
      <c r="M100">
        <v>1.8</v>
      </c>
      <c r="N100">
        <v>0.52900000000000003</v>
      </c>
      <c r="O100">
        <v>0.55300000000000005</v>
      </c>
      <c r="P100">
        <v>0.4</v>
      </c>
      <c r="Q100">
        <v>0.5</v>
      </c>
      <c r="R100">
        <v>2.7</v>
      </c>
      <c r="S100">
        <v>1.2</v>
      </c>
      <c r="T100">
        <v>0.5</v>
      </c>
      <c r="U100">
        <v>0.2</v>
      </c>
      <c r="V100">
        <v>0.9</v>
      </c>
      <c r="W100">
        <v>1.7</v>
      </c>
      <c r="X100">
        <v>3.4</v>
      </c>
      <c r="Y100">
        <v>1</v>
      </c>
      <c r="Z100">
        <v>-3.4</v>
      </c>
      <c r="AA100">
        <v>8.6</v>
      </c>
      <c r="AB100">
        <v>5.8999999999999997E-2</v>
      </c>
    </row>
    <row r="101" spans="1:28" x14ac:dyDescent="0.35">
      <c r="A101" s="1" t="s">
        <v>2</v>
      </c>
      <c r="B101" s="1" t="s">
        <v>598</v>
      </c>
      <c r="C101" s="1" t="s">
        <v>23</v>
      </c>
      <c r="D101" s="1" t="s">
        <v>28</v>
      </c>
      <c r="E101" s="4">
        <v>-0.1</v>
      </c>
      <c r="F101">
        <v>25</v>
      </c>
      <c r="G101">
        <v>20</v>
      </c>
      <c r="H101">
        <v>7.4</v>
      </c>
      <c r="I101">
        <v>3.1</v>
      </c>
      <c r="J101">
        <v>0.435</v>
      </c>
      <c r="K101">
        <v>1.3</v>
      </c>
      <c r="L101">
        <v>0.23100000000000001</v>
      </c>
      <c r="M101">
        <v>1.8</v>
      </c>
      <c r="N101">
        <v>0.58299999999999996</v>
      </c>
      <c r="O101">
        <v>0.48399999999999999</v>
      </c>
      <c r="P101">
        <v>0.4</v>
      </c>
      <c r="Q101">
        <v>0.625</v>
      </c>
      <c r="R101">
        <v>0.7</v>
      </c>
      <c r="S101">
        <v>0.5</v>
      </c>
      <c r="T101">
        <v>0.4</v>
      </c>
      <c r="U101">
        <v>0.2</v>
      </c>
      <c r="V101">
        <v>0.7</v>
      </c>
      <c r="W101">
        <v>0.8</v>
      </c>
      <c r="X101">
        <v>3.3</v>
      </c>
      <c r="Y101">
        <v>2</v>
      </c>
      <c r="Z101">
        <v>-5.7</v>
      </c>
      <c r="AA101">
        <v>8.6</v>
      </c>
      <c r="AB101">
        <v>-7.0000000000000001E-3</v>
      </c>
    </row>
    <row r="102" spans="1:28" x14ac:dyDescent="0.35">
      <c r="A102" s="1" t="s">
        <v>2</v>
      </c>
      <c r="B102" s="1" t="s">
        <v>598</v>
      </c>
      <c r="C102" s="1" t="s">
        <v>33</v>
      </c>
      <c r="D102" s="1" t="s">
        <v>28</v>
      </c>
      <c r="E102" s="4">
        <v>0</v>
      </c>
      <c r="F102">
        <v>28</v>
      </c>
      <c r="G102">
        <v>39</v>
      </c>
      <c r="H102">
        <v>6.4</v>
      </c>
      <c r="I102">
        <v>2.6</v>
      </c>
      <c r="J102">
        <v>0.40600000000000003</v>
      </c>
      <c r="K102">
        <v>0.6</v>
      </c>
      <c r="L102">
        <v>0.22700000000000001</v>
      </c>
      <c r="M102">
        <v>2</v>
      </c>
      <c r="N102">
        <v>0.45600000000000002</v>
      </c>
      <c r="O102">
        <v>0.43099999999999999</v>
      </c>
      <c r="P102">
        <v>0.4</v>
      </c>
      <c r="Q102">
        <v>0.73299999999999998</v>
      </c>
      <c r="R102">
        <v>1.2</v>
      </c>
      <c r="S102">
        <v>1.2</v>
      </c>
      <c r="T102">
        <v>0.4</v>
      </c>
      <c r="U102">
        <v>0.1</v>
      </c>
      <c r="V102">
        <v>0.5</v>
      </c>
      <c r="W102">
        <v>0.5</v>
      </c>
      <c r="X102">
        <v>2.5</v>
      </c>
      <c r="Y102">
        <v>1</v>
      </c>
      <c r="Z102">
        <v>-1.6</v>
      </c>
      <c r="AA102">
        <v>12.6</v>
      </c>
      <c r="AB102">
        <v>5.5E-2</v>
      </c>
    </row>
    <row r="103" spans="1:28" x14ac:dyDescent="0.35">
      <c r="A103" s="1" t="s">
        <v>26</v>
      </c>
      <c r="B103" s="1" t="s">
        <v>35</v>
      </c>
      <c r="C103" s="1" t="s">
        <v>23</v>
      </c>
      <c r="D103" s="1" t="s">
        <v>50</v>
      </c>
      <c r="E103" s="4">
        <v>-0.2</v>
      </c>
      <c r="F103">
        <v>22</v>
      </c>
      <c r="G103">
        <v>28</v>
      </c>
      <c r="H103">
        <v>11.7</v>
      </c>
      <c r="I103">
        <v>3.9</v>
      </c>
      <c r="J103">
        <v>0.41699999999999998</v>
      </c>
      <c r="K103">
        <v>1.8</v>
      </c>
      <c r="L103">
        <v>0.38</v>
      </c>
      <c r="M103">
        <v>2.1</v>
      </c>
      <c r="N103">
        <v>0.44800000000000001</v>
      </c>
      <c r="O103">
        <v>0.505</v>
      </c>
      <c r="P103">
        <v>0.4</v>
      </c>
      <c r="Q103">
        <v>0.7</v>
      </c>
      <c r="R103">
        <v>2</v>
      </c>
      <c r="S103">
        <v>0.7</v>
      </c>
      <c r="T103">
        <v>0.3</v>
      </c>
      <c r="U103">
        <v>0.3</v>
      </c>
      <c r="V103">
        <v>0.5</v>
      </c>
      <c r="W103">
        <v>1</v>
      </c>
      <c r="X103">
        <v>4.0999999999999996</v>
      </c>
      <c r="Y103">
        <v>1</v>
      </c>
      <c r="Z103">
        <v>-4.4000000000000004</v>
      </c>
      <c r="AA103">
        <v>9.9</v>
      </c>
      <c r="AB103">
        <v>0.03</v>
      </c>
    </row>
    <row r="104" spans="1:28" x14ac:dyDescent="0.35">
      <c r="A104" s="1" t="s">
        <v>26</v>
      </c>
      <c r="B104" s="1" t="s">
        <v>597</v>
      </c>
      <c r="C104" s="1" t="s">
        <v>33</v>
      </c>
      <c r="D104" s="1" t="s">
        <v>28</v>
      </c>
      <c r="E104" s="4">
        <v>-0.2</v>
      </c>
      <c r="F104">
        <v>22</v>
      </c>
      <c r="G104">
        <v>5</v>
      </c>
      <c r="H104">
        <v>8.8000000000000007</v>
      </c>
      <c r="I104">
        <v>4.2</v>
      </c>
      <c r="J104">
        <v>0.14299999999999999</v>
      </c>
      <c r="K104">
        <v>2</v>
      </c>
      <c r="L104">
        <v>0</v>
      </c>
      <c r="M104">
        <v>2.2000000000000002</v>
      </c>
      <c r="N104">
        <v>0.27300000000000002</v>
      </c>
      <c r="O104">
        <v>0.14299999999999999</v>
      </c>
      <c r="P104">
        <v>0.4</v>
      </c>
      <c r="Q104">
        <v>1</v>
      </c>
      <c r="R104">
        <v>1.6</v>
      </c>
      <c r="S104">
        <v>0.4</v>
      </c>
      <c r="T104">
        <v>0.2</v>
      </c>
      <c r="U104">
        <v>0.4</v>
      </c>
      <c r="V104">
        <v>0.2</v>
      </c>
      <c r="W104">
        <v>0.2</v>
      </c>
      <c r="X104">
        <v>1.6</v>
      </c>
      <c r="Y104">
        <v>0</v>
      </c>
      <c r="Z104">
        <v>-18.2</v>
      </c>
      <c r="AA104">
        <v>-2.2999999999999998</v>
      </c>
      <c r="AB104">
        <v>-0.28299999999999997</v>
      </c>
    </row>
    <row r="105" spans="1:28" x14ac:dyDescent="0.35">
      <c r="A105" s="1" t="s">
        <v>26</v>
      </c>
      <c r="B105" s="1" t="s">
        <v>35</v>
      </c>
      <c r="C105" s="1" t="s">
        <v>23</v>
      </c>
      <c r="D105" s="1" t="s">
        <v>20</v>
      </c>
      <c r="E105" s="4">
        <v>-0.2</v>
      </c>
      <c r="F105">
        <v>35</v>
      </c>
      <c r="G105">
        <v>15</v>
      </c>
      <c r="H105">
        <v>11</v>
      </c>
      <c r="I105">
        <v>4.7</v>
      </c>
      <c r="J105">
        <v>0.3</v>
      </c>
      <c r="K105">
        <v>2.4</v>
      </c>
      <c r="L105">
        <v>0.25</v>
      </c>
      <c r="M105">
        <v>2.2999999999999998</v>
      </c>
      <c r="N105">
        <v>0.35299999999999998</v>
      </c>
      <c r="O105">
        <v>0.36399999999999999</v>
      </c>
      <c r="P105">
        <v>0.4</v>
      </c>
      <c r="Q105">
        <v>0.83299999999999996</v>
      </c>
      <c r="R105">
        <v>1.5</v>
      </c>
      <c r="S105">
        <v>1.4</v>
      </c>
      <c r="T105">
        <v>0.1</v>
      </c>
      <c r="U105">
        <v>0.2</v>
      </c>
      <c r="V105">
        <v>0.3</v>
      </c>
      <c r="W105">
        <v>1.1000000000000001</v>
      </c>
      <c r="X105">
        <v>3.7</v>
      </c>
      <c r="Y105">
        <v>13</v>
      </c>
      <c r="Z105">
        <v>-7.6</v>
      </c>
      <c r="AA105">
        <v>6</v>
      </c>
      <c r="AB105">
        <v>-4.3999999999999997E-2</v>
      </c>
    </row>
    <row r="106" spans="1:28" x14ac:dyDescent="0.35">
      <c r="A106" s="1" t="s">
        <v>2</v>
      </c>
      <c r="B106" s="1" t="s">
        <v>598</v>
      </c>
      <c r="C106" s="1" t="s">
        <v>23</v>
      </c>
      <c r="D106" s="1" t="s">
        <v>28</v>
      </c>
      <c r="E106" s="4">
        <v>0.2</v>
      </c>
      <c r="F106">
        <v>26</v>
      </c>
      <c r="G106">
        <v>29</v>
      </c>
      <c r="H106">
        <v>18.7</v>
      </c>
      <c r="I106">
        <v>5</v>
      </c>
      <c r="J106">
        <v>0.438</v>
      </c>
      <c r="K106">
        <v>2.2999999999999998</v>
      </c>
      <c r="L106">
        <v>0.38200000000000001</v>
      </c>
      <c r="M106">
        <v>2.6</v>
      </c>
      <c r="N106">
        <v>0.48699999999999999</v>
      </c>
      <c r="O106">
        <v>0.52800000000000002</v>
      </c>
      <c r="P106">
        <v>0.4</v>
      </c>
      <c r="Q106">
        <v>0.81799999999999995</v>
      </c>
      <c r="R106">
        <v>3.9</v>
      </c>
      <c r="S106">
        <v>1.4</v>
      </c>
      <c r="T106">
        <v>1</v>
      </c>
      <c r="U106">
        <v>0.4</v>
      </c>
      <c r="V106">
        <v>0.9</v>
      </c>
      <c r="W106">
        <v>1.5</v>
      </c>
      <c r="X106">
        <v>5.6</v>
      </c>
      <c r="Y106">
        <v>3</v>
      </c>
      <c r="Z106">
        <v>-0.8</v>
      </c>
      <c r="AA106">
        <v>12.1</v>
      </c>
      <c r="AB106">
        <v>8.4000000000000005E-2</v>
      </c>
    </row>
    <row r="107" spans="1:28" x14ac:dyDescent="0.35">
      <c r="A107" s="1" t="s">
        <v>2</v>
      </c>
      <c r="B107" s="1" t="s">
        <v>597</v>
      </c>
      <c r="C107" s="1" t="s">
        <v>23</v>
      </c>
      <c r="D107" s="1" t="s">
        <v>28</v>
      </c>
      <c r="E107" s="4">
        <v>0</v>
      </c>
      <c r="F107">
        <v>25</v>
      </c>
      <c r="G107">
        <v>31</v>
      </c>
      <c r="H107">
        <v>16.2</v>
      </c>
      <c r="I107">
        <v>5.2</v>
      </c>
      <c r="J107">
        <v>0.40100000000000002</v>
      </c>
      <c r="K107">
        <v>2.6</v>
      </c>
      <c r="L107">
        <v>0.32900000000000001</v>
      </c>
      <c r="M107">
        <v>2.6</v>
      </c>
      <c r="N107">
        <v>0.47499999999999998</v>
      </c>
      <c r="O107">
        <v>0.48499999999999999</v>
      </c>
      <c r="P107">
        <v>0.4</v>
      </c>
      <c r="Q107">
        <v>1</v>
      </c>
      <c r="R107">
        <v>1.6</v>
      </c>
      <c r="S107">
        <v>2.6</v>
      </c>
      <c r="T107">
        <v>0.9</v>
      </c>
      <c r="U107">
        <v>0.3</v>
      </c>
      <c r="V107">
        <v>1.1000000000000001</v>
      </c>
      <c r="W107">
        <v>1.3</v>
      </c>
      <c r="X107">
        <v>5.4</v>
      </c>
      <c r="Y107">
        <v>1</v>
      </c>
      <c r="Z107">
        <v>-2.2999999999999998</v>
      </c>
      <c r="AA107">
        <v>10.1</v>
      </c>
      <c r="AB107">
        <v>3.4000000000000002E-2</v>
      </c>
    </row>
    <row r="108" spans="1:28" x14ac:dyDescent="0.35">
      <c r="A108" s="1" t="s">
        <v>18</v>
      </c>
      <c r="B108" s="1" t="s">
        <v>597</v>
      </c>
      <c r="C108" s="1" t="s">
        <v>23</v>
      </c>
      <c r="D108" s="1" t="s">
        <v>20</v>
      </c>
      <c r="E108" s="4">
        <v>0.1</v>
      </c>
      <c r="F108">
        <v>27</v>
      </c>
      <c r="G108">
        <v>14</v>
      </c>
      <c r="H108">
        <v>8.1</v>
      </c>
      <c r="I108">
        <v>3.2</v>
      </c>
      <c r="J108">
        <v>0.64400000000000002</v>
      </c>
      <c r="K108">
        <v>0.2</v>
      </c>
      <c r="L108">
        <v>0.33300000000000002</v>
      </c>
      <c r="M108">
        <v>3</v>
      </c>
      <c r="N108">
        <v>0.66700000000000004</v>
      </c>
      <c r="O108">
        <v>0.65600000000000003</v>
      </c>
      <c r="P108">
        <v>0.4</v>
      </c>
      <c r="Q108">
        <v>0.33300000000000002</v>
      </c>
      <c r="R108">
        <v>3</v>
      </c>
      <c r="S108">
        <v>0.4</v>
      </c>
      <c r="T108">
        <v>0.1</v>
      </c>
      <c r="U108">
        <v>0.6</v>
      </c>
      <c r="V108">
        <v>0.4</v>
      </c>
      <c r="W108">
        <v>0.8</v>
      </c>
      <c r="X108">
        <v>4.4000000000000004</v>
      </c>
      <c r="Y108">
        <v>6</v>
      </c>
      <c r="Z108">
        <v>1.2</v>
      </c>
      <c r="AA108">
        <v>23.2</v>
      </c>
      <c r="AB108">
        <v>0.187</v>
      </c>
    </row>
    <row r="109" spans="1:28" x14ac:dyDescent="0.35">
      <c r="A109" s="1" t="s">
        <v>26</v>
      </c>
      <c r="B109" s="1" t="s">
        <v>598</v>
      </c>
      <c r="C109" s="1" t="s">
        <v>23</v>
      </c>
      <c r="D109" s="1" t="s">
        <v>28</v>
      </c>
      <c r="E109" s="4">
        <v>-0.1</v>
      </c>
      <c r="F109">
        <v>23</v>
      </c>
      <c r="G109">
        <v>8</v>
      </c>
      <c r="H109">
        <v>3.8</v>
      </c>
      <c r="I109">
        <v>0.9</v>
      </c>
      <c r="J109">
        <v>0.28599999999999998</v>
      </c>
      <c r="K109">
        <v>0.9</v>
      </c>
      <c r="L109">
        <v>0.28599999999999998</v>
      </c>
      <c r="M109">
        <v>0</v>
      </c>
      <c r="O109">
        <v>0.42899999999999999</v>
      </c>
      <c r="P109">
        <v>0.5</v>
      </c>
      <c r="Q109">
        <v>0.75</v>
      </c>
      <c r="R109">
        <v>0.5</v>
      </c>
      <c r="S109">
        <v>0</v>
      </c>
      <c r="T109">
        <v>0</v>
      </c>
      <c r="U109">
        <v>0</v>
      </c>
      <c r="V109">
        <v>0.5</v>
      </c>
      <c r="W109">
        <v>0</v>
      </c>
      <c r="X109">
        <v>1.1000000000000001</v>
      </c>
      <c r="Y109">
        <v>0</v>
      </c>
      <c r="Z109">
        <v>-12.5</v>
      </c>
      <c r="AA109">
        <v>-0.1</v>
      </c>
      <c r="AB109">
        <v>-0.17799999999999999</v>
      </c>
    </row>
    <row r="110" spans="1:28" x14ac:dyDescent="0.35">
      <c r="A110" s="1" t="s">
        <v>2</v>
      </c>
      <c r="B110" s="1" t="s">
        <v>597</v>
      </c>
      <c r="C110" s="1" t="s">
        <v>19</v>
      </c>
      <c r="D110" s="1" t="s">
        <v>20</v>
      </c>
      <c r="E110" s="4">
        <v>0.1</v>
      </c>
      <c r="F110">
        <v>27</v>
      </c>
      <c r="G110">
        <v>17</v>
      </c>
      <c r="H110">
        <v>4.4000000000000004</v>
      </c>
      <c r="I110">
        <v>1.5</v>
      </c>
      <c r="J110">
        <v>0.46200000000000002</v>
      </c>
      <c r="K110">
        <v>0.9</v>
      </c>
      <c r="L110">
        <v>0.4</v>
      </c>
      <c r="M110">
        <v>0.6</v>
      </c>
      <c r="N110">
        <v>0.54500000000000004</v>
      </c>
      <c r="O110">
        <v>0.57699999999999996</v>
      </c>
      <c r="P110">
        <v>0.5</v>
      </c>
      <c r="Q110">
        <v>0.75</v>
      </c>
      <c r="R110">
        <v>1.2</v>
      </c>
      <c r="S110">
        <v>0.5</v>
      </c>
      <c r="T110">
        <v>0</v>
      </c>
      <c r="U110">
        <v>0</v>
      </c>
      <c r="V110">
        <v>0.1</v>
      </c>
      <c r="W110">
        <v>0.4</v>
      </c>
      <c r="X110">
        <v>2.1</v>
      </c>
      <c r="Y110">
        <v>3</v>
      </c>
      <c r="Z110">
        <v>1.2</v>
      </c>
      <c r="AA110">
        <v>16.5</v>
      </c>
      <c r="AB110">
        <v>0.17100000000000001</v>
      </c>
    </row>
    <row r="111" spans="1:28" x14ac:dyDescent="0.35">
      <c r="A111" s="1" t="s">
        <v>2</v>
      </c>
      <c r="B111" s="1" t="s">
        <v>35</v>
      </c>
      <c r="C111" s="1" t="s">
        <v>23</v>
      </c>
      <c r="D111" s="1" t="s">
        <v>28</v>
      </c>
      <c r="E111" s="4">
        <v>0</v>
      </c>
      <c r="F111">
        <v>28</v>
      </c>
      <c r="G111">
        <v>46</v>
      </c>
      <c r="H111">
        <v>6.8</v>
      </c>
      <c r="I111">
        <v>1.6</v>
      </c>
      <c r="J111">
        <v>0.43099999999999999</v>
      </c>
      <c r="K111">
        <v>1</v>
      </c>
      <c r="L111">
        <v>0.41299999999999998</v>
      </c>
      <c r="M111">
        <v>0.6</v>
      </c>
      <c r="N111">
        <v>0.46200000000000002</v>
      </c>
      <c r="O111">
        <v>0.56299999999999994</v>
      </c>
      <c r="P111">
        <v>0.5</v>
      </c>
      <c r="Q111">
        <v>0.77300000000000002</v>
      </c>
      <c r="R111">
        <v>0.7</v>
      </c>
      <c r="S111">
        <v>1.1000000000000001</v>
      </c>
      <c r="T111">
        <v>0.3</v>
      </c>
      <c r="U111">
        <v>0</v>
      </c>
      <c r="V111">
        <v>0.3</v>
      </c>
      <c r="W111">
        <v>0.4</v>
      </c>
      <c r="X111">
        <v>2.1</v>
      </c>
      <c r="Y111">
        <v>5</v>
      </c>
      <c r="Z111">
        <v>-1.6</v>
      </c>
      <c r="AA111">
        <v>12.3</v>
      </c>
      <c r="AB111">
        <v>9.8000000000000004E-2</v>
      </c>
    </row>
    <row r="112" spans="1:28" x14ac:dyDescent="0.35">
      <c r="A112" s="1" t="s">
        <v>2</v>
      </c>
      <c r="B112" s="1" t="s">
        <v>35</v>
      </c>
      <c r="C112" s="1" t="s">
        <v>19</v>
      </c>
      <c r="D112" s="1" t="s">
        <v>50</v>
      </c>
      <c r="E112" s="4">
        <v>-0.1</v>
      </c>
      <c r="F112">
        <v>36</v>
      </c>
      <c r="G112">
        <v>29</v>
      </c>
      <c r="H112">
        <v>11.1</v>
      </c>
      <c r="I112">
        <v>3.3</v>
      </c>
      <c r="J112">
        <v>0.375</v>
      </c>
      <c r="K112">
        <v>2.6</v>
      </c>
      <c r="L112">
        <v>0.34699999999999998</v>
      </c>
      <c r="M112">
        <v>0.7</v>
      </c>
      <c r="N112">
        <v>0.47599999999999998</v>
      </c>
      <c r="O112">
        <v>0.51</v>
      </c>
      <c r="P112">
        <v>0.5</v>
      </c>
      <c r="Q112">
        <v>0.92900000000000005</v>
      </c>
      <c r="R112">
        <v>0.8</v>
      </c>
      <c r="S112">
        <v>0.9</v>
      </c>
      <c r="T112">
        <v>0.4</v>
      </c>
      <c r="U112">
        <v>0.1</v>
      </c>
      <c r="V112">
        <v>0.6</v>
      </c>
      <c r="W112">
        <v>0.8</v>
      </c>
      <c r="X112">
        <v>3.8</v>
      </c>
      <c r="Y112">
        <v>15</v>
      </c>
      <c r="Z112">
        <v>-3.2</v>
      </c>
      <c r="AA112">
        <v>8.4</v>
      </c>
      <c r="AB112">
        <v>1.7000000000000001E-2</v>
      </c>
    </row>
    <row r="113" spans="1:28" x14ac:dyDescent="0.35">
      <c r="A113" s="1" t="s">
        <v>2</v>
      </c>
      <c r="B113" s="1" t="s">
        <v>598</v>
      </c>
      <c r="C113" s="1" t="s">
        <v>23</v>
      </c>
      <c r="D113" s="1" t="s">
        <v>50</v>
      </c>
      <c r="E113" s="4">
        <v>-0.1</v>
      </c>
      <c r="F113">
        <v>22</v>
      </c>
      <c r="G113">
        <v>13</v>
      </c>
      <c r="H113">
        <v>2.5</v>
      </c>
      <c r="I113">
        <v>1.1000000000000001</v>
      </c>
      <c r="J113">
        <v>0.28599999999999998</v>
      </c>
      <c r="K113">
        <v>0.3</v>
      </c>
      <c r="L113">
        <v>0</v>
      </c>
      <c r="M113">
        <v>0.8</v>
      </c>
      <c r="N113">
        <v>0.4</v>
      </c>
      <c r="O113">
        <v>0.28599999999999998</v>
      </c>
      <c r="P113">
        <v>0.5</v>
      </c>
      <c r="Q113">
        <v>0.83299999999999996</v>
      </c>
      <c r="R113">
        <v>0.2</v>
      </c>
      <c r="S113">
        <v>0.2</v>
      </c>
      <c r="T113">
        <v>0.1</v>
      </c>
      <c r="U113">
        <v>0</v>
      </c>
      <c r="V113">
        <v>0.3</v>
      </c>
      <c r="W113">
        <v>0.2</v>
      </c>
      <c r="X113">
        <v>1</v>
      </c>
      <c r="Y113">
        <v>2</v>
      </c>
      <c r="Z113">
        <v>-13.6</v>
      </c>
      <c r="AA113">
        <v>1.7</v>
      </c>
      <c r="AB113">
        <v>-0.17199999999999999</v>
      </c>
    </row>
    <row r="114" spans="1:28" x14ac:dyDescent="0.35">
      <c r="A114" s="1" t="s">
        <v>26</v>
      </c>
      <c r="B114" s="1" t="s">
        <v>597</v>
      </c>
      <c r="C114" s="1" t="s">
        <v>23</v>
      </c>
      <c r="D114" s="1" t="s">
        <v>28</v>
      </c>
      <c r="E114" s="4">
        <v>0.7</v>
      </c>
      <c r="F114">
        <v>28</v>
      </c>
      <c r="G114">
        <v>59</v>
      </c>
      <c r="H114">
        <v>21.2</v>
      </c>
      <c r="I114">
        <v>4.5999999999999996</v>
      </c>
      <c r="J114">
        <v>0.41299999999999998</v>
      </c>
      <c r="K114">
        <v>3.8</v>
      </c>
      <c r="L114">
        <v>0.36</v>
      </c>
      <c r="M114">
        <v>0.8</v>
      </c>
      <c r="N114">
        <v>0.65300000000000002</v>
      </c>
      <c r="O114">
        <v>0.56100000000000005</v>
      </c>
      <c r="P114">
        <v>0.5</v>
      </c>
      <c r="Q114">
        <v>0.53300000000000003</v>
      </c>
      <c r="R114">
        <v>4.2</v>
      </c>
      <c r="S114">
        <v>1.3</v>
      </c>
      <c r="T114">
        <v>0.7</v>
      </c>
      <c r="U114">
        <v>0.3</v>
      </c>
      <c r="V114">
        <v>0.4</v>
      </c>
      <c r="W114">
        <v>1.7</v>
      </c>
      <c r="X114">
        <v>5.4</v>
      </c>
      <c r="Y114">
        <v>5</v>
      </c>
      <c r="Z114">
        <v>0.3</v>
      </c>
      <c r="AA114">
        <v>10.1</v>
      </c>
      <c r="AB114">
        <v>0.113</v>
      </c>
    </row>
    <row r="115" spans="1:28" x14ac:dyDescent="0.35">
      <c r="A115" s="1" t="s">
        <v>26</v>
      </c>
      <c r="B115" s="1" t="s">
        <v>598</v>
      </c>
      <c r="C115" s="1" t="s">
        <v>23</v>
      </c>
      <c r="D115" s="1" t="s">
        <v>50</v>
      </c>
      <c r="E115" s="4">
        <v>-0.3</v>
      </c>
      <c r="F115">
        <v>24</v>
      </c>
      <c r="G115">
        <v>51</v>
      </c>
      <c r="H115">
        <v>7.8</v>
      </c>
      <c r="I115">
        <v>2.4</v>
      </c>
      <c r="J115">
        <v>0.375</v>
      </c>
      <c r="K115">
        <v>1.5</v>
      </c>
      <c r="L115">
        <v>0.311</v>
      </c>
      <c r="M115">
        <v>0.9</v>
      </c>
      <c r="N115">
        <v>0.47799999999999998</v>
      </c>
      <c r="O115">
        <v>0.47099999999999997</v>
      </c>
      <c r="P115">
        <v>0.5</v>
      </c>
      <c r="Q115">
        <v>0.75</v>
      </c>
      <c r="R115">
        <v>1.5</v>
      </c>
      <c r="S115">
        <v>0.4</v>
      </c>
      <c r="T115">
        <v>0.2</v>
      </c>
      <c r="U115">
        <v>0.1</v>
      </c>
      <c r="V115">
        <v>0.3</v>
      </c>
      <c r="W115">
        <v>0.9</v>
      </c>
      <c r="X115">
        <v>2.6</v>
      </c>
      <c r="Y115">
        <v>1</v>
      </c>
      <c r="Z115">
        <v>-4.8</v>
      </c>
      <c r="AA115">
        <v>9</v>
      </c>
      <c r="AB115">
        <v>4.7E-2</v>
      </c>
    </row>
    <row r="116" spans="1:28" x14ac:dyDescent="0.35">
      <c r="A116" s="1" t="s">
        <v>26</v>
      </c>
      <c r="B116" s="1" t="s">
        <v>35</v>
      </c>
      <c r="C116" s="1" t="s">
        <v>23</v>
      </c>
      <c r="D116" s="1" t="s">
        <v>28</v>
      </c>
      <c r="E116" s="4">
        <v>0.1</v>
      </c>
      <c r="F116">
        <v>34</v>
      </c>
      <c r="G116">
        <v>26</v>
      </c>
      <c r="H116">
        <v>12.1</v>
      </c>
      <c r="I116">
        <v>3.5</v>
      </c>
      <c r="J116">
        <v>0.42199999999999999</v>
      </c>
      <c r="K116">
        <v>2.5</v>
      </c>
      <c r="L116">
        <v>0.36399999999999999</v>
      </c>
      <c r="M116">
        <v>0.9</v>
      </c>
      <c r="N116">
        <v>0.58299999999999996</v>
      </c>
      <c r="O116">
        <v>0.55600000000000005</v>
      </c>
      <c r="P116">
        <v>0.5</v>
      </c>
      <c r="Q116">
        <v>0.66700000000000004</v>
      </c>
      <c r="R116">
        <v>2.8</v>
      </c>
      <c r="S116">
        <v>0.7</v>
      </c>
      <c r="T116">
        <v>0.3</v>
      </c>
      <c r="U116">
        <v>0.5</v>
      </c>
      <c r="V116">
        <v>0.3</v>
      </c>
      <c r="W116">
        <v>1.3</v>
      </c>
      <c r="X116">
        <v>4.2</v>
      </c>
      <c r="Y116">
        <v>7</v>
      </c>
      <c r="Z116">
        <v>-0.9</v>
      </c>
      <c r="AA116">
        <v>12.9</v>
      </c>
      <c r="AB116">
        <v>0.122</v>
      </c>
    </row>
    <row r="117" spans="1:28" x14ac:dyDescent="0.35">
      <c r="A117" s="1" t="s">
        <v>2</v>
      </c>
      <c r="B117" s="1" t="s">
        <v>598</v>
      </c>
      <c r="C117" s="1" t="s">
        <v>23</v>
      </c>
      <c r="D117" s="1" t="s">
        <v>28</v>
      </c>
      <c r="E117" s="4">
        <v>0.1</v>
      </c>
      <c r="F117">
        <v>26</v>
      </c>
      <c r="G117">
        <v>10</v>
      </c>
      <c r="H117">
        <v>4.5</v>
      </c>
      <c r="I117">
        <v>1.8</v>
      </c>
      <c r="J117">
        <v>0.5</v>
      </c>
      <c r="K117">
        <v>0.8</v>
      </c>
      <c r="L117">
        <v>0.125</v>
      </c>
      <c r="M117">
        <v>1</v>
      </c>
      <c r="N117">
        <v>0.8</v>
      </c>
      <c r="O117">
        <v>0.52800000000000002</v>
      </c>
      <c r="P117">
        <v>0.5</v>
      </c>
      <c r="Q117">
        <v>0.8</v>
      </c>
      <c r="R117">
        <v>0.9</v>
      </c>
      <c r="S117">
        <v>1.1000000000000001</v>
      </c>
      <c r="T117">
        <v>0</v>
      </c>
      <c r="U117">
        <v>0.1</v>
      </c>
      <c r="V117">
        <v>0.1</v>
      </c>
      <c r="W117">
        <v>0.3</v>
      </c>
      <c r="X117">
        <v>2.2999999999999998</v>
      </c>
      <c r="Y117">
        <v>3</v>
      </c>
      <c r="Z117">
        <v>2.9</v>
      </c>
      <c r="AA117">
        <v>20.6</v>
      </c>
      <c r="AB117">
        <v>0.19800000000000001</v>
      </c>
    </row>
    <row r="118" spans="1:28" x14ac:dyDescent="0.35">
      <c r="A118" s="1" t="s">
        <v>18</v>
      </c>
      <c r="B118" s="1" t="s">
        <v>598</v>
      </c>
      <c r="C118" s="1" t="s">
        <v>23</v>
      </c>
      <c r="D118" s="1" t="s">
        <v>28</v>
      </c>
      <c r="E118" s="4">
        <v>-0.3</v>
      </c>
      <c r="F118">
        <v>26</v>
      </c>
      <c r="G118">
        <v>38</v>
      </c>
      <c r="H118">
        <v>18.600000000000001</v>
      </c>
      <c r="I118">
        <v>3.6</v>
      </c>
      <c r="J118">
        <v>0.42199999999999999</v>
      </c>
      <c r="K118">
        <v>2.6</v>
      </c>
      <c r="L118">
        <v>0.316</v>
      </c>
      <c r="M118">
        <v>1</v>
      </c>
      <c r="N118">
        <v>0.70299999999999996</v>
      </c>
      <c r="O118">
        <v>0.53700000000000003</v>
      </c>
      <c r="P118">
        <v>0.5</v>
      </c>
      <c r="Q118">
        <v>0.85</v>
      </c>
      <c r="R118">
        <v>4.3</v>
      </c>
      <c r="S118">
        <v>0.8</v>
      </c>
      <c r="T118">
        <v>0.4</v>
      </c>
      <c r="U118">
        <v>0.4</v>
      </c>
      <c r="V118">
        <v>0.8</v>
      </c>
      <c r="W118">
        <v>1.3</v>
      </c>
      <c r="X118">
        <v>4.3</v>
      </c>
      <c r="Y118">
        <v>3</v>
      </c>
      <c r="Z118">
        <v>-3.5</v>
      </c>
      <c r="AA118">
        <v>8.5</v>
      </c>
      <c r="AB118">
        <v>0.03</v>
      </c>
    </row>
    <row r="119" spans="1:28" x14ac:dyDescent="0.35">
      <c r="A119" s="1" t="s">
        <v>18</v>
      </c>
      <c r="B119" s="1" t="s">
        <v>597</v>
      </c>
      <c r="C119" s="1" t="s">
        <v>19</v>
      </c>
      <c r="D119" s="1" t="s">
        <v>50</v>
      </c>
      <c r="E119" s="4">
        <v>-0.2</v>
      </c>
      <c r="F119">
        <v>22</v>
      </c>
      <c r="G119">
        <v>25</v>
      </c>
      <c r="H119">
        <v>8.6999999999999993</v>
      </c>
      <c r="I119">
        <v>1.2</v>
      </c>
      <c r="J119">
        <v>0.67700000000000005</v>
      </c>
      <c r="K119">
        <v>0</v>
      </c>
      <c r="M119">
        <v>1.2</v>
      </c>
      <c r="N119">
        <v>0.67700000000000005</v>
      </c>
      <c r="O119">
        <v>0.67700000000000005</v>
      </c>
      <c r="P119">
        <v>0.5</v>
      </c>
      <c r="Q119">
        <v>0.46200000000000002</v>
      </c>
      <c r="R119">
        <v>2</v>
      </c>
      <c r="S119">
        <v>0.4</v>
      </c>
      <c r="T119">
        <v>0</v>
      </c>
      <c r="U119">
        <v>0.6</v>
      </c>
      <c r="V119">
        <v>0.8</v>
      </c>
      <c r="W119">
        <v>1.3</v>
      </c>
      <c r="X119">
        <v>1.9</v>
      </c>
      <c r="Y119">
        <v>0</v>
      </c>
      <c r="Z119">
        <v>-5.6</v>
      </c>
      <c r="AA119">
        <v>7.6</v>
      </c>
      <c r="AB119">
        <v>0.02</v>
      </c>
    </row>
    <row r="120" spans="1:28" x14ac:dyDescent="0.35">
      <c r="A120" s="1" t="s">
        <v>2</v>
      </c>
      <c r="B120" s="1" t="s">
        <v>598</v>
      </c>
      <c r="C120" s="1" t="s">
        <v>23</v>
      </c>
      <c r="D120" s="1" t="s">
        <v>50</v>
      </c>
      <c r="E120" s="4">
        <v>-0.2</v>
      </c>
      <c r="F120">
        <v>20</v>
      </c>
      <c r="G120">
        <v>27</v>
      </c>
      <c r="H120">
        <v>6.7</v>
      </c>
      <c r="I120">
        <v>2.5</v>
      </c>
      <c r="J120">
        <v>0.313</v>
      </c>
      <c r="K120">
        <v>1.2</v>
      </c>
      <c r="L120">
        <v>0.28100000000000003</v>
      </c>
      <c r="M120">
        <v>1.3</v>
      </c>
      <c r="N120">
        <v>0.34300000000000003</v>
      </c>
      <c r="O120">
        <v>0.38100000000000001</v>
      </c>
      <c r="P120">
        <v>0.5</v>
      </c>
      <c r="Q120">
        <v>0.78600000000000003</v>
      </c>
      <c r="R120">
        <v>0.7</v>
      </c>
      <c r="S120">
        <v>0.8</v>
      </c>
      <c r="T120">
        <v>0.3</v>
      </c>
      <c r="U120">
        <v>0.1</v>
      </c>
      <c r="V120">
        <v>0.5</v>
      </c>
      <c r="W120">
        <v>0.5</v>
      </c>
      <c r="X120">
        <v>2.2999999999999998</v>
      </c>
      <c r="Y120">
        <v>0</v>
      </c>
      <c r="Z120">
        <v>-7.2</v>
      </c>
      <c r="AA120">
        <v>7.1</v>
      </c>
      <c r="AB120">
        <v>-4.2999999999999997E-2</v>
      </c>
    </row>
    <row r="121" spans="1:28" x14ac:dyDescent="0.35">
      <c r="A121" s="1" t="s">
        <v>26</v>
      </c>
      <c r="B121" s="1" t="s">
        <v>598</v>
      </c>
      <c r="C121" s="1" t="s">
        <v>23</v>
      </c>
      <c r="D121" s="1" t="s">
        <v>20</v>
      </c>
      <c r="E121" s="4">
        <v>-0.3</v>
      </c>
      <c r="F121">
        <v>23</v>
      </c>
      <c r="G121">
        <v>54</v>
      </c>
      <c r="H121">
        <v>10.199999999999999</v>
      </c>
      <c r="I121">
        <v>2.5</v>
      </c>
      <c r="J121">
        <v>0.38300000000000001</v>
      </c>
      <c r="K121">
        <v>1.2</v>
      </c>
      <c r="L121">
        <v>0.254</v>
      </c>
      <c r="M121">
        <v>1.3</v>
      </c>
      <c r="N121">
        <v>0.5</v>
      </c>
      <c r="O121">
        <v>0.44400000000000001</v>
      </c>
      <c r="P121">
        <v>0.5</v>
      </c>
      <c r="Q121">
        <v>0.60699999999999998</v>
      </c>
      <c r="R121">
        <v>2.2000000000000002</v>
      </c>
      <c r="S121">
        <v>1.1000000000000001</v>
      </c>
      <c r="T121">
        <v>0.3</v>
      </c>
      <c r="U121">
        <v>0.1</v>
      </c>
      <c r="V121">
        <v>0.5</v>
      </c>
      <c r="W121">
        <v>1</v>
      </c>
      <c r="X121">
        <v>2.5</v>
      </c>
      <c r="Y121">
        <v>0</v>
      </c>
      <c r="Z121">
        <v>-4</v>
      </c>
      <c r="AA121">
        <v>8.1</v>
      </c>
      <c r="AB121">
        <v>6.7000000000000004E-2</v>
      </c>
    </row>
    <row r="122" spans="1:28" x14ac:dyDescent="0.35">
      <c r="A122" s="1" t="s">
        <v>18</v>
      </c>
      <c r="B122" s="1" t="s">
        <v>598</v>
      </c>
      <c r="C122" s="1" t="s">
        <v>19</v>
      </c>
      <c r="D122" s="1" t="s">
        <v>28</v>
      </c>
      <c r="E122" s="4">
        <v>0.2</v>
      </c>
      <c r="F122">
        <v>28</v>
      </c>
      <c r="G122">
        <v>46</v>
      </c>
      <c r="H122">
        <v>10.199999999999999</v>
      </c>
      <c r="I122">
        <v>3.6</v>
      </c>
      <c r="J122">
        <v>0.42199999999999999</v>
      </c>
      <c r="K122">
        <v>2.2999999999999998</v>
      </c>
      <c r="L122">
        <v>0.32100000000000001</v>
      </c>
      <c r="M122">
        <v>1.3</v>
      </c>
      <c r="N122">
        <v>0.6</v>
      </c>
      <c r="O122">
        <v>0.52400000000000002</v>
      </c>
      <c r="P122">
        <v>0.5</v>
      </c>
      <c r="Q122">
        <v>0.90900000000000003</v>
      </c>
      <c r="R122">
        <v>2</v>
      </c>
      <c r="S122">
        <v>0.6</v>
      </c>
      <c r="T122">
        <v>0.3</v>
      </c>
      <c r="U122">
        <v>0.3</v>
      </c>
      <c r="V122">
        <v>0.3</v>
      </c>
      <c r="W122">
        <v>0.9</v>
      </c>
      <c r="X122">
        <v>4.2</v>
      </c>
      <c r="Y122">
        <v>1</v>
      </c>
      <c r="Z122">
        <v>-0.3</v>
      </c>
      <c r="AA122">
        <v>13.7</v>
      </c>
      <c r="AB122">
        <v>0.105</v>
      </c>
    </row>
    <row r="123" spans="1:28" x14ac:dyDescent="0.35">
      <c r="A123" s="1" t="s">
        <v>26</v>
      </c>
      <c r="B123" s="1" t="s">
        <v>598</v>
      </c>
      <c r="C123" s="1" t="s">
        <v>23</v>
      </c>
      <c r="D123" s="1" t="s">
        <v>28</v>
      </c>
      <c r="E123" s="4">
        <v>0</v>
      </c>
      <c r="F123">
        <v>19</v>
      </c>
      <c r="G123">
        <v>6</v>
      </c>
      <c r="H123">
        <v>4.5</v>
      </c>
      <c r="I123">
        <v>1.8</v>
      </c>
      <c r="J123">
        <v>0.36399999999999999</v>
      </c>
      <c r="K123">
        <v>0.3</v>
      </c>
      <c r="L123">
        <v>0</v>
      </c>
      <c r="M123">
        <v>1.5</v>
      </c>
      <c r="N123">
        <v>0.44400000000000001</v>
      </c>
      <c r="O123">
        <v>0.36399999999999999</v>
      </c>
      <c r="P123">
        <v>0.5</v>
      </c>
      <c r="Q123">
        <v>1</v>
      </c>
      <c r="R123">
        <v>0.7</v>
      </c>
      <c r="S123">
        <v>0</v>
      </c>
      <c r="T123">
        <v>0</v>
      </c>
      <c r="U123">
        <v>0</v>
      </c>
      <c r="V123">
        <v>0.2</v>
      </c>
      <c r="W123">
        <v>0.7</v>
      </c>
      <c r="X123">
        <v>1.8</v>
      </c>
      <c r="Y123">
        <v>0</v>
      </c>
      <c r="Z123">
        <v>-8.3000000000000007</v>
      </c>
      <c r="AA123">
        <v>4.3</v>
      </c>
      <c r="AB123">
        <v>-3.3000000000000002E-2</v>
      </c>
    </row>
    <row r="124" spans="1:28" x14ac:dyDescent="0.35">
      <c r="A124" s="1" t="s">
        <v>26</v>
      </c>
      <c r="B124" s="1" t="s">
        <v>597</v>
      </c>
      <c r="C124" s="1" t="s">
        <v>23</v>
      </c>
      <c r="D124" s="1" t="s">
        <v>50</v>
      </c>
      <c r="E124" s="4">
        <v>0</v>
      </c>
      <c r="F124">
        <v>23</v>
      </c>
      <c r="G124">
        <v>4</v>
      </c>
      <c r="H124">
        <v>7.3</v>
      </c>
      <c r="I124">
        <v>1.8</v>
      </c>
      <c r="J124">
        <v>0.28599999999999998</v>
      </c>
      <c r="K124">
        <v>0.3</v>
      </c>
      <c r="L124">
        <v>0</v>
      </c>
      <c r="M124">
        <v>1.5</v>
      </c>
      <c r="N124">
        <v>0.33300000000000002</v>
      </c>
      <c r="O124">
        <v>0.28599999999999998</v>
      </c>
      <c r="P124">
        <v>0.5</v>
      </c>
      <c r="Q124">
        <v>1</v>
      </c>
      <c r="R124">
        <v>2</v>
      </c>
      <c r="S124">
        <v>0.5</v>
      </c>
      <c r="T124">
        <v>0.3</v>
      </c>
      <c r="U124">
        <v>0.3</v>
      </c>
      <c r="V124">
        <v>0</v>
      </c>
      <c r="W124">
        <v>1.5</v>
      </c>
      <c r="X124">
        <v>1.5</v>
      </c>
      <c r="Y124">
        <v>0</v>
      </c>
      <c r="Z124">
        <v>-7.2</v>
      </c>
      <c r="AA124">
        <v>6.7</v>
      </c>
      <c r="AB124">
        <v>0.06</v>
      </c>
    </row>
    <row r="125" spans="1:28" x14ac:dyDescent="0.35">
      <c r="A125" s="1" t="s">
        <v>2</v>
      </c>
      <c r="B125" s="1" t="s">
        <v>597</v>
      </c>
      <c r="C125" s="1" t="s">
        <v>23</v>
      </c>
      <c r="D125" s="1" t="s">
        <v>20</v>
      </c>
      <c r="E125" s="4">
        <v>-0.1</v>
      </c>
      <c r="F125">
        <v>22</v>
      </c>
      <c r="G125">
        <v>47</v>
      </c>
      <c r="H125">
        <v>9.6</v>
      </c>
      <c r="I125">
        <v>3.2</v>
      </c>
      <c r="J125">
        <v>0.43</v>
      </c>
      <c r="K125">
        <v>1.2</v>
      </c>
      <c r="L125">
        <v>0.34499999999999997</v>
      </c>
      <c r="M125">
        <v>1.9</v>
      </c>
      <c r="N125">
        <v>0.48399999999999999</v>
      </c>
      <c r="O125">
        <v>0.497</v>
      </c>
      <c r="P125">
        <v>0.5</v>
      </c>
      <c r="Q125">
        <v>0.79200000000000004</v>
      </c>
      <c r="R125">
        <v>2</v>
      </c>
      <c r="S125">
        <v>0.9</v>
      </c>
      <c r="T125">
        <v>0.3</v>
      </c>
      <c r="U125">
        <v>0.1</v>
      </c>
      <c r="V125">
        <v>0.6</v>
      </c>
      <c r="W125">
        <v>1.1000000000000001</v>
      </c>
      <c r="X125">
        <v>3.6</v>
      </c>
      <c r="Y125">
        <v>0</v>
      </c>
      <c r="Z125">
        <v>-2.7</v>
      </c>
      <c r="AA125">
        <v>11.1</v>
      </c>
      <c r="AB125">
        <v>8.3000000000000004E-2</v>
      </c>
    </row>
    <row r="126" spans="1:28" x14ac:dyDescent="0.35">
      <c r="A126" s="1" t="s">
        <v>2</v>
      </c>
      <c r="B126" s="1" t="s">
        <v>597</v>
      </c>
      <c r="C126" s="1" t="s">
        <v>23</v>
      </c>
      <c r="D126" s="1" t="s">
        <v>50</v>
      </c>
      <c r="E126" s="4">
        <v>-0.2</v>
      </c>
      <c r="F126">
        <v>31</v>
      </c>
      <c r="G126">
        <v>8</v>
      </c>
      <c r="H126">
        <v>18.8</v>
      </c>
      <c r="I126">
        <v>4.8</v>
      </c>
      <c r="J126">
        <v>0.28899999999999998</v>
      </c>
      <c r="K126">
        <v>2.8</v>
      </c>
      <c r="L126">
        <v>0.27300000000000002</v>
      </c>
      <c r="M126">
        <v>2</v>
      </c>
      <c r="N126">
        <v>0.313</v>
      </c>
      <c r="O126">
        <v>0.36799999999999999</v>
      </c>
      <c r="P126">
        <v>0.5</v>
      </c>
      <c r="Q126">
        <v>1</v>
      </c>
      <c r="R126">
        <v>1.5</v>
      </c>
      <c r="S126">
        <v>1.5</v>
      </c>
      <c r="T126">
        <v>1</v>
      </c>
      <c r="U126">
        <v>0.1</v>
      </c>
      <c r="V126">
        <v>1</v>
      </c>
      <c r="W126">
        <v>2.1</v>
      </c>
      <c r="X126">
        <v>4</v>
      </c>
      <c r="Y126">
        <v>9</v>
      </c>
      <c r="Z126">
        <v>-6.7</v>
      </c>
      <c r="AA126">
        <v>4.4000000000000004</v>
      </c>
      <c r="AB126">
        <v>-2.1000000000000001E-2</v>
      </c>
    </row>
    <row r="127" spans="1:28" x14ac:dyDescent="0.35">
      <c r="A127" s="1" t="s">
        <v>18</v>
      </c>
      <c r="B127" s="1" t="s">
        <v>597</v>
      </c>
      <c r="C127" s="1" t="s">
        <v>23</v>
      </c>
      <c r="D127" s="1" t="s">
        <v>20</v>
      </c>
      <c r="E127" s="4">
        <v>-0.3</v>
      </c>
      <c r="F127">
        <v>39</v>
      </c>
      <c r="G127">
        <v>37</v>
      </c>
      <c r="H127">
        <v>11.1</v>
      </c>
      <c r="I127">
        <v>2.6</v>
      </c>
      <c r="J127">
        <v>0.495</v>
      </c>
      <c r="K127">
        <v>0.1</v>
      </c>
      <c r="L127">
        <v>0.5</v>
      </c>
      <c r="M127">
        <v>2.5</v>
      </c>
      <c r="N127">
        <v>0.495</v>
      </c>
      <c r="O127">
        <v>0.5</v>
      </c>
      <c r="P127">
        <v>0.5</v>
      </c>
      <c r="Q127">
        <v>0.6</v>
      </c>
      <c r="R127">
        <v>3.2</v>
      </c>
      <c r="S127">
        <v>0.6</v>
      </c>
      <c r="T127">
        <v>0.2</v>
      </c>
      <c r="U127">
        <v>0.5</v>
      </c>
      <c r="V127">
        <v>0.7</v>
      </c>
      <c r="W127">
        <v>1.5</v>
      </c>
      <c r="X127">
        <v>2.9</v>
      </c>
      <c r="Y127">
        <v>15</v>
      </c>
      <c r="Z127">
        <v>-5.3</v>
      </c>
      <c r="AA127">
        <v>10.8</v>
      </c>
      <c r="AB127">
        <v>4.2999999999999997E-2</v>
      </c>
    </row>
    <row r="128" spans="1:28" x14ac:dyDescent="0.35">
      <c r="A128" s="1" t="s">
        <v>18</v>
      </c>
      <c r="B128" s="1" t="s">
        <v>597</v>
      </c>
      <c r="C128" s="1" t="s">
        <v>19</v>
      </c>
      <c r="D128" s="1" t="s">
        <v>50</v>
      </c>
      <c r="E128" s="4">
        <v>0.1</v>
      </c>
      <c r="F128">
        <v>26</v>
      </c>
      <c r="G128">
        <v>17</v>
      </c>
      <c r="H128">
        <v>8.6</v>
      </c>
      <c r="I128">
        <v>2.9</v>
      </c>
      <c r="J128">
        <v>0.53100000000000003</v>
      </c>
      <c r="K128">
        <v>0</v>
      </c>
      <c r="M128">
        <v>2.9</v>
      </c>
      <c r="N128">
        <v>0.53100000000000003</v>
      </c>
      <c r="O128">
        <v>0.53100000000000003</v>
      </c>
      <c r="P128">
        <v>0.5</v>
      </c>
      <c r="Q128">
        <v>0.75</v>
      </c>
      <c r="R128">
        <v>3</v>
      </c>
      <c r="S128">
        <v>1.1000000000000001</v>
      </c>
      <c r="T128">
        <v>0.2</v>
      </c>
      <c r="U128">
        <v>0.5</v>
      </c>
      <c r="V128">
        <v>0.8</v>
      </c>
      <c r="W128">
        <v>1.6</v>
      </c>
      <c r="X128">
        <v>3.4</v>
      </c>
      <c r="Y128">
        <v>5</v>
      </c>
      <c r="Z128">
        <v>-0.7</v>
      </c>
      <c r="AA128">
        <v>15.3</v>
      </c>
      <c r="AB128">
        <v>8.5000000000000006E-2</v>
      </c>
    </row>
    <row r="129" spans="1:28" x14ac:dyDescent="0.35">
      <c r="A129" s="1" t="s">
        <v>26</v>
      </c>
      <c r="B129" s="1" t="s">
        <v>598</v>
      </c>
      <c r="C129" s="1" t="s">
        <v>23</v>
      </c>
      <c r="D129" s="1" t="s">
        <v>20</v>
      </c>
      <c r="E129" s="4">
        <v>-0.7</v>
      </c>
      <c r="F129">
        <v>22</v>
      </c>
      <c r="G129">
        <v>74</v>
      </c>
      <c r="H129">
        <v>19.100000000000001</v>
      </c>
      <c r="I129">
        <v>6.4</v>
      </c>
      <c r="J129">
        <v>0.43</v>
      </c>
      <c r="K129">
        <v>3.6</v>
      </c>
      <c r="L129">
        <v>0.311</v>
      </c>
      <c r="M129">
        <v>2.9</v>
      </c>
      <c r="N129">
        <v>0.57699999999999996</v>
      </c>
      <c r="O129">
        <v>0.51600000000000001</v>
      </c>
      <c r="P129">
        <v>0.5</v>
      </c>
      <c r="Q129">
        <v>0.48699999999999999</v>
      </c>
      <c r="R129">
        <v>3.6</v>
      </c>
      <c r="S129">
        <v>0.8</v>
      </c>
      <c r="T129">
        <v>0.6</v>
      </c>
      <c r="U129">
        <v>0.5</v>
      </c>
      <c r="V129">
        <v>0.5</v>
      </c>
      <c r="W129">
        <v>2.2000000000000002</v>
      </c>
      <c r="X129">
        <v>6.9</v>
      </c>
      <c r="Y129">
        <v>0</v>
      </c>
      <c r="Z129">
        <v>-4.0999999999999996</v>
      </c>
      <c r="AA129">
        <v>10.7</v>
      </c>
      <c r="AB129">
        <v>3.4000000000000002E-2</v>
      </c>
    </row>
    <row r="130" spans="1:28" x14ac:dyDescent="0.35">
      <c r="A130" s="1" t="s">
        <v>26</v>
      </c>
      <c r="B130" s="1" t="s">
        <v>597</v>
      </c>
      <c r="C130" s="1" t="s">
        <v>23</v>
      </c>
      <c r="D130" s="1" t="s">
        <v>20</v>
      </c>
      <c r="E130" s="4">
        <v>0.4</v>
      </c>
      <c r="F130">
        <v>32</v>
      </c>
      <c r="G130">
        <v>24</v>
      </c>
      <c r="H130">
        <v>19.3</v>
      </c>
      <c r="I130">
        <v>6.5</v>
      </c>
      <c r="J130">
        <v>0.51600000000000001</v>
      </c>
      <c r="K130">
        <v>3.2</v>
      </c>
      <c r="L130">
        <v>0.44700000000000001</v>
      </c>
      <c r="M130">
        <v>3.3</v>
      </c>
      <c r="N130">
        <v>0.58199999999999996</v>
      </c>
      <c r="O130">
        <v>0.626</v>
      </c>
      <c r="P130">
        <v>0.5</v>
      </c>
      <c r="Q130">
        <v>0.69199999999999995</v>
      </c>
      <c r="R130">
        <v>4.3</v>
      </c>
      <c r="S130">
        <v>1.6</v>
      </c>
      <c r="T130">
        <v>0.8</v>
      </c>
      <c r="U130">
        <v>0.5</v>
      </c>
      <c r="V130">
        <v>0.7</v>
      </c>
      <c r="W130">
        <v>1.5</v>
      </c>
      <c r="X130">
        <v>8.5</v>
      </c>
      <c r="Y130">
        <v>9</v>
      </c>
      <c r="Z130">
        <v>1.8</v>
      </c>
      <c r="AA130">
        <v>16</v>
      </c>
      <c r="AB130">
        <v>0.13100000000000001</v>
      </c>
    </row>
    <row r="131" spans="1:28" x14ac:dyDescent="0.35">
      <c r="A131" s="1" t="s">
        <v>2</v>
      </c>
      <c r="B131" s="1" t="s">
        <v>598</v>
      </c>
      <c r="C131" s="1" t="s">
        <v>23</v>
      </c>
      <c r="D131" s="1" t="s">
        <v>20</v>
      </c>
      <c r="E131" s="4">
        <v>1.5</v>
      </c>
      <c r="F131">
        <v>21</v>
      </c>
      <c r="G131">
        <v>68</v>
      </c>
      <c r="H131">
        <v>27.6</v>
      </c>
      <c r="I131">
        <v>7.2</v>
      </c>
      <c r="J131">
        <v>0.47399999999999998</v>
      </c>
      <c r="K131">
        <v>3.1</v>
      </c>
      <c r="L131">
        <v>0.35599999999999998</v>
      </c>
      <c r="M131">
        <v>4.0999999999999996</v>
      </c>
      <c r="N131">
        <v>0.56200000000000006</v>
      </c>
      <c r="O131">
        <v>0.55000000000000004</v>
      </c>
      <c r="P131">
        <v>0.5</v>
      </c>
      <c r="Q131">
        <v>0.81100000000000005</v>
      </c>
      <c r="R131">
        <v>3.4</v>
      </c>
      <c r="S131">
        <v>2.5</v>
      </c>
      <c r="T131">
        <v>1.8</v>
      </c>
      <c r="U131">
        <v>0.5</v>
      </c>
      <c r="V131">
        <v>0.9</v>
      </c>
      <c r="W131">
        <v>2.1</v>
      </c>
      <c r="X131">
        <v>8.4</v>
      </c>
      <c r="Y131">
        <v>1</v>
      </c>
      <c r="Z131">
        <v>1</v>
      </c>
      <c r="AA131">
        <v>12.3</v>
      </c>
      <c r="AB131">
        <v>0.13300000000000001</v>
      </c>
    </row>
    <row r="132" spans="1:28" x14ac:dyDescent="0.35">
      <c r="A132" s="1" t="s">
        <v>26</v>
      </c>
      <c r="B132" s="1" t="s">
        <v>598</v>
      </c>
      <c r="C132" s="1" t="s">
        <v>19</v>
      </c>
      <c r="D132" s="1" t="s">
        <v>50</v>
      </c>
      <c r="E132" s="4">
        <v>0</v>
      </c>
      <c r="F132">
        <v>21</v>
      </c>
      <c r="G132">
        <v>13</v>
      </c>
      <c r="H132">
        <v>2.5</v>
      </c>
      <c r="I132">
        <v>1.2</v>
      </c>
      <c r="J132">
        <v>0.4</v>
      </c>
      <c r="K132">
        <v>0.4</v>
      </c>
      <c r="L132">
        <v>0</v>
      </c>
      <c r="M132">
        <v>0.8</v>
      </c>
      <c r="N132">
        <v>0.6</v>
      </c>
      <c r="O132">
        <v>0.4</v>
      </c>
      <c r="P132">
        <v>0.6</v>
      </c>
      <c r="Q132">
        <v>1</v>
      </c>
      <c r="R132">
        <v>0.8</v>
      </c>
      <c r="S132">
        <v>0</v>
      </c>
      <c r="T132">
        <v>0.2</v>
      </c>
      <c r="U132">
        <v>0.1</v>
      </c>
      <c r="V132">
        <v>0.2</v>
      </c>
      <c r="W132">
        <v>0.2</v>
      </c>
      <c r="X132">
        <v>1.5</v>
      </c>
      <c r="Y132">
        <v>1</v>
      </c>
      <c r="Z132">
        <v>-3.7</v>
      </c>
      <c r="AA132">
        <v>19.899999999999999</v>
      </c>
      <c r="AB132">
        <v>0.14499999999999999</v>
      </c>
    </row>
    <row r="133" spans="1:28" x14ac:dyDescent="0.35">
      <c r="A133" s="1" t="s">
        <v>26</v>
      </c>
      <c r="B133" s="1" t="s">
        <v>35</v>
      </c>
      <c r="C133" s="1" t="s">
        <v>23</v>
      </c>
      <c r="D133" s="1" t="s">
        <v>20</v>
      </c>
      <c r="E133" s="4">
        <v>-0.1</v>
      </c>
      <c r="F133">
        <v>24</v>
      </c>
      <c r="G133">
        <v>35</v>
      </c>
      <c r="H133">
        <v>4.5</v>
      </c>
      <c r="I133">
        <v>1.9</v>
      </c>
      <c r="J133">
        <v>0.41499999999999998</v>
      </c>
      <c r="K133">
        <v>0.8</v>
      </c>
      <c r="L133">
        <v>0.34499999999999997</v>
      </c>
      <c r="M133">
        <v>1</v>
      </c>
      <c r="N133">
        <v>0.47199999999999998</v>
      </c>
      <c r="O133">
        <v>0.49199999999999999</v>
      </c>
      <c r="P133">
        <v>0.6</v>
      </c>
      <c r="Q133">
        <v>0.75</v>
      </c>
      <c r="R133">
        <v>1.3</v>
      </c>
      <c r="S133">
        <v>0.3</v>
      </c>
      <c r="T133">
        <v>0.1</v>
      </c>
      <c r="U133">
        <v>0</v>
      </c>
      <c r="V133">
        <v>0.4</v>
      </c>
      <c r="W133">
        <v>0.4</v>
      </c>
      <c r="X133">
        <v>2.2999999999999998</v>
      </c>
      <c r="Y133">
        <v>2</v>
      </c>
      <c r="Z133">
        <v>-4.3</v>
      </c>
      <c r="AA133">
        <v>12.3</v>
      </c>
      <c r="AB133">
        <v>0.02</v>
      </c>
    </row>
    <row r="134" spans="1:28" x14ac:dyDescent="0.35">
      <c r="A134" s="1" t="s">
        <v>18</v>
      </c>
      <c r="B134" s="1" t="s">
        <v>598</v>
      </c>
      <c r="C134" s="1" t="s">
        <v>23</v>
      </c>
      <c r="D134" s="1" t="s">
        <v>28</v>
      </c>
      <c r="E134" s="4">
        <v>0.2</v>
      </c>
      <c r="F134">
        <v>25</v>
      </c>
      <c r="G134">
        <v>32</v>
      </c>
      <c r="H134">
        <v>7.7</v>
      </c>
      <c r="I134">
        <v>3</v>
      </c>
      <c r="J134">
        <v>0.443</v>
      </c>
      <c r="K134">
        <v>2.1</v>
      </c>
      <c r="L134">
        <v>0.33300000000000002</v>
      </c>
      <c r="M134">
        <v>1</v>
      </c>
      <c r="N134">
        <v>0.67700000000000005</v>
      </c>
      <c r="O134">
        <v>0.55700000000000005</v>
      </c>
      <c r="P134">
        <v>0.6</v>
      </c>
      <c r="Q134">
        <v>0.77800000000000002</v>
      </c>
      <c r="R134">
        <v>1.7</v>
      </c>
      <c r="S134">
        <v>0.4</v>
      </c>
      <c r="T134">
        <v>0.2</v>
      </c>
      <c r="U134">
        <v>0.7</v>
      </c>
      <c r="V134">
        <v>0.2</v>
      </c>
      <c r="W134">
        <v>0.7</v>
      </c>
      <c r="X134">
        <v>3.8</v>
      </c>
      <c r="Y134">
        <v>0</v>
      </c>
      <c r="Z134">
        <v>1.3</v>
      </c>
      <c r="AA134">
        <v>17.600000000000001</v>
      </c>
      <c r="AB134">
        <v>0.17699999999999999</v>
      </c>
    </row>
    <row r="135" spans="1:28" x14ac:dyDescent="0.35">
      <c r="A135" s="1" t="s">
        <v>2</v>
      </c>
      <c r="B135" s="1" t="s">
        <v>598</v>
      </c>
      <c r="C135" s="1" t="s">
        <v>23</v>
      </c>
      <c r="D135" s="1" t="s">
        <v>28</v>
      </c>
      <c r="E135" s="4">
        <v>-0.1</v>
      </c>
      <c r="F135">
        <v>24</v>
      </c>
      <c r="G135">
        <v>10</v>
      </c>
      <c r="H135">
        <v>13.8</v>
      </c>
      <c r="I135">
        <v>3.5</v>
      </c>
      <c r="J135">
        <v>0.314</v>
      </c>
      <c r="K135">
        <v>2.5</v>
      </c>
      <c r="L135">
        <v>0.28000000000000003</v>
      </c>
      <c r="M135">
        <v>1</v>
      </c>
      <c r="N135">
        <v>0.4</v>
      </c>
      <c r="O135">
        <v>0.41399999999999998</v>
      </c>
      <c r="P135">
        <v>0.6</v>
      </c>
      <c r="Q135">
        <v>0.5</v>
      </c>
      <c r="R135">
        <v>2.1</v>
      </c>
      <c r="S135">
        <v>0.8</v>
      </c>
      <c r="T135">
        <v>1</v>
      </c>
      <c r="U135">
        <v>0.1</v>
      </c>
      <c r="V135">
        <v>0.3</v>
      </c>
      <c r="W135">
        <v>1.8</v>
      </c>
      <c r="X135">
        <v>3.2</v>
      </c>
      <c r="Y135">
        <v>0</v>
      </c>
      <c r="Z135">
        <v>-3.8</v>
      </c>
      <c r="AA135">
        <v>7.8</v>
      </c>
      <c r="AB135">
        <v>2.3E-2</v>
      </c>
    </row>
    <row r="136" spans="1:28" x14ac:dyDescent="0.35">
      <c r="A136" s="1" t="s">
        <v>26</v>
      </c>
      <c r="B136" s="1" t="s">
        <v>597</v>
      </c>
      <c r="C136" s="1" t="s">
        <v>23</v>
      </c>
      <c r="D136" s="1" t="s">
        <v>28</v>
      </c>
      <c r="E136" s="4">
        <v>0</v>
      </c>
      <c r="F136">
        <v>23</v>
      </c>
      <c r="G136">
        <v>16</v>
      </c>
      <c r="H136">
        <v>6.1</v>
      </c>
      <c r="I136">
        <v>1.6</v>
      </c>
      <c r="J136">
        <v>0.69199999999999995</v>
      </c>
      <c r="K136">
        <v>0.4</v>
      </c>
      <c r="L136">
        <v>0.42899999999999999</v>
      </c>
      <c r="M136">
        <v>1.2</v>
      </c>
      <c r="N136">
        <v>0.78900000000000003</v>
      </c>
      <c r="O136">
        <v>0.75</v>
      </c>
      <c r="P136">
        <v>0.6</v>
      </c>
      <c r="Q136">
        <v>0.44400000000000001</v>
      </c>
      <c r="R136">
        <v>1.8</v>
      </c>
      <c r="S136">
        <v>0.3</v>
      </c>
      <c r="T136">
        <v>0.3</v>
      </c>
      <c r="U136">
        <v>0.3</v>
      </c>
      <c r="V136">
        <v>0.3</v>
      </c>
      <c r="W136">
        <v>0.7</v>
      </c>
      <c r="X136">
        <v>2.7</v>
      </c>
      <c r="Y136">
        <v>0</v>
      </c>
      <c r="Z136">
        <v>-0.1</v>
      </c>
      <c r="AA136">
        <v>19.100000000000001</v>
      </c>
      <c r="AB136">
        <v>0.18099999999999999</v>
      </c>
    </row>
    <row r="137" spans="1:28" x14ac:dyDescent="0.35">
      <c r="A137" s="1" t="s">
        <v>26</v>
      </c>
      <c r="B137" s="1" t="s">
        <v>598</v>
      </c>
      <c r="C137" s="1" t="s">
        <v>19</v>
      </c>
      <c r="D137" s="1" t="s">
        <v>28</v>
      </c>
      <c r="E137" s="4">
        <v>-0.3</v>
      </c>
      <c r="F137">
        <v>33</v>
      </c>
      <c r="G137">
        <v>34</v>
      </c>
      <c r="H137">
        <v>18.7</v>
      </c>
      <c r="I137">
        <v>2.8</v>
      </c>
      <c r="J137">
        <v>0.38500000000000001</v>
      </c>
      <c r="K137">
        <v>1.4</v>
      </c>
      <c r="L137">
        <v>0.26500000000000001</v>
      </c>
      <c r="M137">
        <v>1.4</v>
      </c>
      <c r="N137">
        <v>0.51100000000000001</v>
      </c>
      <c r="O137">
        <v>0.45300000000000001</v>
      </c>
      <c r="P137">
        <v>0.6</v>
      </c>
      <c r="Q137">
        <v>0.76200000000000001</v>
      </c>
      <c r="R137">
        <v>2.8</v>
      </c>
      <c r="S137">
        <v>1.3</v>
      </c>
      <c r="T137">
        <v>0.3</v>
      </c>
      <c r="U137">
        <v>0.5</v>
      </c>
      <c r="V137">
        <v>0.7</v>
      </c>
      <c r="W137">
        <v>1.9</v>
      </c>
      <c r="X137">
        <v>3</v>
      </c>
      <c r="Y137">
        <v>7</v>
      </c>
      <c r="Z137">
        <v>-3.8</v>
      </c>
      <c r="AA137">
        <v>5.6</v>
      </c>
      <c r="AB137">
        <v>2.3E-2</v>
      </c>
    </row>
    <row r="138" spans="1:28" x14ac:dyDescent="0.35">
      <c r="A138" s="1" t="s">
        <v>26</v>
      </c>
      <c r="B138" s="1" t="s">
        <v>598</v>
      </c>
      <c r="C138" s="1" t="s">
        <v>23</v>
      </c>
      <c r="D138" s="1" t="s">
        <v>50</v>
      </c>
      <c r="E138" s="4">
        <v>1.2</v>
      </c>
      <c r="F138">
        <v>22</v>
      </c>
      <c r="G138">
        <v>47</v>
      </c>
      <c r="H138">
        <v>16.7</v>
      </c>
      <c r="I138">
        <v>4.7</v>
      </c>
      <c r="J138">
        <v>0.439</v>
      </c>
      <c r="K138">
        <v>3.3</v>
      </c>
      <c r="L138">
        <v>0.39900000000000002</v>
      </c>
      <c r="M138">
        <v>1.4</v>
      </c>
      <c r="N138">
        <v>0.52900000000000003</v>
      </c>
      <c r="O138">
        <v>0.57699999999999996</v>
      </c>
      <c r="P138">
        <v>0.6</v>
      </c>
      <c r="Q138">
        <v>0.76700000000000002</v>
      </c>
      <c r="R138">
        <v>5.6</v>
      </c>
      <c r="S138">
        <v>2.6</v>
      </c>
      <c r="T138">
        <v>0.5</v>
      </c>
      <c r="U138">
        <v>0.6</v>
      </c>
      <c r="V138">
        <v>0.7</v>
      </c>
      <c r="W138">
        <v>1.7</v>
      </c>
      <c r="X138">
        <v>5.9</v>
      </c>
      <c r="Y138">
        <v>2</v>
      </c>
      <c r="Z138">
        <v>4.3</v>
      </c>
      <c r="AA138">
        <v>16.399999999999999</v>
      </c>
      <c r="AB138">
        <v>0.19900000000000001</v>
      </c>
    </row>
    <row r="139" spans="1:28" x14ac:dyDescent="0.35">
      <c r="A139" s="1" t="s">
        <v>26</v>
      </c>
      <c r="B139" s="1" t="s">
        <v>598</v>
      </c>
      <c r="C139" s="1" t="s">
        <v>23</v>
      </c>
      <c r="D139" s="1" t="s">
        <v>20</v>
      </c>
      <c r="E139" s="4">
        <v>0</v>
      </c>
      <c r="F139">
        <v>25</v>
      </c>
      <c r="G139">
        <v>14</v>
      </c>
      <c r="H139">
        <v>6</v>
      </c>
      <c r="I139">
        <v>2.6</v>
      </c>
      <c r="J139">
        <v>0.5</v>
      </c>
      <c r="K139">
        <v>1.1000000000000001</v>
      </c>
      <c r="L139">
        <v>0.26700000000000002</v>
      </c>
      <c r="M139">
        <v>1.5</v>
      </c>
      <c r="N139">
        <v>0.66700000000000004</v>
      </c>
      <c r="O139">
        <v>0.55600000000000005</v>
      </c>
      <c r="P139">
        <v>0.6</v>
      </c>
      <c r="Q139">
        <v>0.75</v>
      </c>
      <c r="R139">
        <v>1.2</v>
      </c>
      <c r="S139">
        <v>0.4</v>
      </c>
      <c r="T139">
        <v>0.1</v>
      </c>
      <c r="U139">
        <v>0.3</v>
      </c>
      <c r="V139">
        <v>0.3</v>
      </c>
      <c r="W139">
        <v>0.4</v>
      </c>
      <c r="X139">
        <v>3.3</v>
      </c>
      <c r="Y139">
        <v>6</v>
      </c>
      <c r="Z139">
        <v>-1.3</v>
      </c>
      <c r="AA139">
        <v>17.100000000000001</v>
      </c>
      <c r="AB139">
        <v>0.121</v>
      </c>
    </row>
    <row r="140" spans="1:28" x14ac:dyDescent="0.35">
      <c r="A140" s="1" t="s">
        <v>2</v>
      </c>
      <c r="B140" s="1" t="s">
        <v>35</v>
      </c>
      <c r="C140" s="1" t="s">
        <v>23</v>
      </c>
      <c r="D140" s="1" t="s">
        <v>20</v>
      </c>
      <c r="E140" s="4">
        <v>0.1</v>
      </c>
      <c r="F140">
        <v>32</v>
      </c>
      <c r="G140">
        <v>40</v>
      </c>
      <c r="H140">
        <v>15.9</v>
      </c>
      <c r="I140">
        <v>3.3</v>
      </c>
      <c r="J140">
        <v>0.34399999999999997</v>
      </c>
      <c r="K140">
        <v>1.8</v>
      </c>
      <c r="L140">
        <v>0.27400000000000002</v>
      </c>
      <c r="M140">
        <v>1.5</v>
      </c>
      <c r="N140">
        <v>0.43099999999999999</v>
      </c>
      <c r="O140">
        <v>0.42</v>
      </c>
      <c r="P140">
        <v>0.6</v>
      </c>
      <c r="Q140">
        <v>0.6</v>
      </c>
      <c r="R140">
        <v>1.7</v>
      </c>
      <c r="S140">
        <v>1.9</v>
      </c>
      <c r="T140">
        <v>0.9</v>
      </c>
      <c r="U140">
        <v>0.3</v>
      </c>
      <c r="V140">
        <v>0.6</v>
      </c>
      <c r="W140">
        <v>0.6</v>
      </c>
      <c r="X140">
        <v>3.1</v>
      </c>
      <c r="Y140">
        <v>9</v>
      </c>
      <c r="Z140">
        <v>-1.4</v>
      </c>
      <c r="AA140">
        <v>9.1999999999999993</v>
      </c>
      <c r="AB140">
        <v>5.2999999999999999E-2</v>
      </c>
    </row>
    <row r="141" spans="1:28" x14ac:dyDescent="0.35">
      <c r="A141" s="1" t="s">
        <v>2</v>
      </c>
      <c r="B141" s="1" t="s">
        <v>598</v>
      </c>
      <c r="C141" s="1" t="s">
        <v>19</v>
      </c>
      <c r="D141" s="1" t="s">
        <v>50</v>
      </c>
      <c r="E141" s="4">
        <v>-0.3</v>
      </c>
      <c r="F141">
        <v>20</v>
      </c>
      <c r="G141">
        <v>52</v>
      </c>
      <c r="H141">
        <v>8.8000000000000007</v>
      </c>
      <c r="I141">
        <v>2.7</v>
      </c>
      <c r="J141">
        <v>0.40799999999999997</v>
      </c>
      <c r="K141">
        <v>1.1000000000000001</v>
      </c>
      <c r="L141">
        <v>0.27100000000000002</v>
      </c>
      <c r="M141">
        <v>1.6</v>
      </c>
      <c r="N141">
        <v>0.50600000000000001</v>
      </c>
      <c r="O141">
        <v>0.46500000000000002</v>
      </c>
      <c r="P141">
        <v>0.6</v>
      </c>
      <c r="Q141">
        <v>0.76700000000000002</v>
      </c>
      <c r="R141">
        <v>1.3</v>
      </c>
      <c r="S141">
        <v>0.5</v>
      </c>
      <c r="T141">
        <v>0.3</v>
      </c>
      <c r="U141">
        <v>0.1</v>
      </c>
      <c r="V141">
        <v>0.6</v>
      </c>
      <c r="W141">
        <v>0.7</v>
      </c>
      <c r="X141">
        <v>3</v>
      </c>
      <c r="Y141">
        <v>1</v>
      </c>
      <c r="Z141">
        <v>-4.7</v>
      </c>
      <c r="AA141">
        <v>8.1</v>
      </c>
      <c r="AB141">
        <v>7.0000000000000001E-3</v>
      </c>
    </row>
    <row r="142" spans="1:28" x14ac:dyDescent="0.35">
      <c r="A142" s="1" t="s">
        <v>2</v>
      </c>
      <c r="B142" s="1" t="s">
        <v>597</v>
      </c>
      <c r="C142" s="1" t="s">
        <v>23</v>
      </c>
      <c r="D142" s="1" t="s">
        <v>28</v>
      </c>
      <c r="E142" s="4">
        <v>0.4</v>
      </c>
      <c r="F142">
        <v>24</v>
      </c>
      <c r="G142">
        <v>51</v>
      </c>
      <c r="H142">
        <v>10.1</v>
      </c>
      <c r="I142">
        <v>2.7</v>
      </c>
      <c r="J142">
        <v>0.51400000000000001</v>
      </c>
      <c r="K142">
        <v>0.9</v>
      </c>
      <c r="L142">
        <v>0.438</v>
      </c>
      <c r="M142">
        <v>1.8</v>
      </c>
      <c r="N142">
        <v>0.55400000000000005</v>
      </c>
      <c r="O142">
        <v>0.58899999999999997</v>
      </c>
      <c r="P142">
        <v>0.6</v>
      </c>
      <c r="Q142">
        <v>0.71899999999999997</v>
      </c>
      <c r="R142">
        <v>1.3</v>
      </c>
      <c r="S142">
        <v>1.4</v>
      </c>
      <c r="T142">
        <v>0.3</v>
      </c>
      <c r="U142">
        <v>0.3</v>
      </c>
      <c r="V142">
        <v>0.7</v>
      </c>
      <c r="W142">
        <v>0.5</v>
      </c>
      <c r="X142">
        <v>3.7</v>
      </c>
      <c r="Y142">
        <v>1</v>
      </c>
      <c r="Z142">
        <v>1.1000000000000001</v>
      </c>
      <c r="AA142">
        <v>13.1</v>
      </c>
      <c r="AB142">
        <v>0.10199999999999999</v>
      </c>
    </row>
    <row r="143" spans="1:28" x14ac:dyDescent="0.35">
      <c r="A143" s="1" t="s">
        <v>2</v>
      </c>
      <c r="B143" s="1" t="s">
        <v>35</v>
      </c>
      <c r="C143" s="1" t="s">
        <v>23</v>
      </c>
      <c r="D143" s="1" t="s">
        <v>28</v>
      </c>
      <c r="E143" s="4">
        <v>-0.4</v>
      </c>
      <c r="F143">
        <v>23</v>
      </c>
      <c r="G143">
        <v>36</v>
      </c>
      <c r="H143">
        <v>13</v>
      </c>
      <c r="I143">
        <v>3</v>
      </c>
      <c r="J143">
        <v>0.32700000000000001</v>
      </c>
      <c r="K143">
        <v>1.1000000000000001</v>
      </c>
      <c r="L143">
        <v>0.17499999999999999</v>
      </c>
      <c r="M143">
        <v>1.9</v>
      </c>
      <c r="N143">
        <v>0.41799999999999998</v>
      </c>
      <c r="O143">
        <v>0.36</v>
      </c>
      <c r="P143">
        <v>0.6</v>
      </c>
      <c r="Q143">
        <v>0.76200000000000001</v>
      </c>
      <c r="R143">
        <v>1.1000000000000001</v>
      </c>
      <c r="S143">
        <v>1.8</v>
      </c>
      <c r="T143">
        <v>0.9</v>
      </c>
      <c r="U143">
        <v>0.1</v>
      </c>
      <c r="V143">
        <v>0.6</v>
      </c>
      <c r="W143">
        <v>1</v>
      </c>
      <c r="X143">
        <v>2.6</v>
      </c>
      <c r="Y143">
        <v>0</v>
      </c>
      <c r="Z143">
        <v>-5.4</v>
      </c>
      <c r="AA143">
        <v>7.5</v>
      </c>
      <c r="AB143">
        <v>0.01</v>
      </c>
    </row>
    <row r="144" spans="1:28" x14ac:dyDescent="0.35">
      <c r="A144" s="1" t="s">
        <v>18</v>
      </c>
      <c r="B144" s="1" t="s">
        <v>598</v>
      </c>
      <c r="C144" s="1" t="s">
        <v>19</v>
      </c>
      <c r="D144" s="1" t="s">
        <v>20</v>
      </c>
      <c r="E144" s="4">
        <v>-0.1</v>
      </c>
      <c r="F144">
        <v>30</v>
      </c>
      <c r="G144">
        <v>16</v>
      </c>
      <c r="H144">
        <v>13.1</v>
      </c>
      <c r="I144">
        <v>3.6</v>
      </c>
      <c r="J144">
        <v>0.36199999999999999</v>
      </c>
      <c r="K144">
        <v>1.6</v>
      </c>
      <c r="L144">
        <v>0.26900000000000002</v>
      </c>
      <c r="M144">
        <v>2</v>
      </c>
      <c r="N144">
        <v>0.438</v>
      </c>
      <c r="O144">
        <v>0.42199999999999999</v>
      </c>
      <c r="P144">
        <v>0.6</v>
      </c>
      <c r="Q144">
        <v>0.7</v>
      </c>
      <c r="R144">
        <v>3.1</v>
      </c>
      <c r="S144">
        <v>1.4</v>
      </c>
      <c r="T144">
        <v>0.4</v>
      </c>
      <c r="U144">
        <v>0.1</v>
      </c>
      <c r="V144">
        <v>0.9</v>
      </c>
      <c r="W144">
        <v>1.2</v>
      </c>
      <c r="X144">
        <v>3.5</v>
      </c>
      <c r="Y144">
        <v>8</v>
      </c>
      <c r="Z144">
        <v>-4.8</v>
      </c>
      <c r="AA144">
        <v>7.7</v>
      </c>
      <c r="AB144">
        <v>1E-3</v>
      </c>
    </row>
    <row r="145" spans="1:28" x14ac:dyDescent="0.35">
      <c r="A145" s="1" t="s">
        <v>26</v>
      </c>
      <c r="B145" s="1" t="s">
        <v>598</v>
      </c>
      <c r="C145" s="1" t="s">
        <v>23</v>
      </c>
      <c r="D145" s="1" t="s">
        <v>28</v>
      </c>
      <c r="E145" s="4">
        <v>-0.1</v>
      </c>
      <c r="F145">
        <v>27</v>
      </c>
      <c r="G145">
        <v>17</v>
      </c>
      <c r="H145">
        <v>9.1</v>
      </c>
      <c r="I145">
        <v>3.7</v>
      </c>
      <c r="J145">
        <v>0.46</v>
      </c>
      <c r="K145">
        <v>1.6</v>
      </c>
      <c r="L145">
        <v>0.29599999999999999</v>
      </c>
      <c r="M145">
        <v>2.1</v>
      </c>
      <c r="N145">
        <v>0.58299999999999996</v>
      </c>
      <c r="O145">
        <v>0.52400000000000002</v>
      </c>
      <c r="P145">
        <v>0.6</v>
      </c>
      <c r="Q145">
        <v>0.72699999999999998</v>
      </c>
      <c r="R145">
        <v>2.2000000000000002</v>
      </c>
      <c r="S145">
        <v>0.5</v>
      </c>
      <c r="T145">
        <v>0.3</v>
      </c>
      <c r="U145">
        <v>0.2</v>
      </c>
      <c r="V145">
        <v>0.6</v>
      </c>
      <c r="W145">
        <v>0.9</v>
      </c>
      <c r="X145">
        <v>4.4000000000000004</v>
      </c>
      <c r="Y145">
        <v>4</v>
      </c>
      <c r="Z145">
        <v>-4.2</v>
      </c>
      <c r="AA145">
        <v>11.5</v>
      </c>
      <c r="AB145">
        <v>5.1999999999999998E-2</v>
      </c>
    </row>
    <row r="146" spans="1:28" x14ac:dyDescent="0.35">
      <c r="A146" s="1" t="s">
        <v>26</v>
      </c>
      <c r="B146" s="1" t="s">
        <v>597</v>
      </c>
      <c r="C146" s="1" t="s">
        <v>23</v>
      </c>
      <c r="D146" s="1" t="s">
        <v>28</v>
      </c>
      <c r="E146" s="4">
        <v>0.1</v>
      </c>
      <c r="F146">
        <v>28</v>
      </c>
      <c r="G146">
        <v>74</v>
      </c>
      <c r="H146">
        <v>24.6</v>
      </c>
      <c r="I146">
        <v>5.3</v>
      </c>
      <c r="J146">
        <v>0.45800000000000002</v>
      </c>
      <c r="K146">
        <v>3.1</v>
      </c>
      <c r="L146">
        <v>0.38200000000000001</v>
      </c>
      <c r="M146">
        <v>2.1</v>
      </c>
      <c r="N146">
        <v>0.56999999999999995</v>
      </c>
      <c r="O146">
        <v>0.57199999999999995</v>
      </c>
      <c r="P146">
        <v>0.6</v>
      </c>
      <c r="Q146">
        <v>0.72099999999999997</v>
      </c>
      <c r="R146">
        <v>3.4</v>
      </c>
      <c r="S146">
        <v>1.5</v>
      </c>
      <c r="T146">
        <v>0.9</v>
      </c>
      <c r="U146">
        <v>0.5</v>
      </c>
      <c r="V146">
        <v>0.7</v>
      </c>
      <c r="W146">
        <v>2.2000000000000002</v>
      </c>
      <c r="X146">
        <v>6.5</v>
      </c>
      <c r="Y146">
        <v>4</v>
      </c>
      <c r="Z146">
        <v>-1.9</v>
      </c>
      <c r="AA146">
        <v>9.9</v>
      </c>
      <c r="AB146">
        <v>8.7999999999999995E-2</v>
      </c>
    </row>
    <row r="147" spans="1:28" x14ac:dyDescent="0.35">
      <c r="A147" s="1" t="s">
        <v>26</v>
      </c>
      <c r="B147" s="1" t="s">
        <v>597</v>
      </c>
      <c r="C147" s="1" t="s">
        <v>23</v>
      </c>
      <c r="D147" s="1" t="s">
        <v>20</v>
      </c>
      <c r="E147" s="4">
        <v>0.1</v>
      </c>
      <c r="F147">
        <v>30</v>
      </c>
      <c r="G147">
        <v>80</v>
      </c>
      <c r="H147">
        <v>27.1</v>
      </c>
      <c r="I147">
        <v>6.4</v>
      </c>
      <c r="J147">
        <v>0.45700000000000002</v>
      </c>
      <c r="K147">
        <v>4.2</v>
      </c>
      <c r="L147">
        <v>0.439</v>
      </c>
      <c r="M147">
        <v>2.2000000000000002</v>
      </c>
      <c r="N147">
        <v>0.49199999999999999</v>
      </c>
      <c r="O147">
        <v>0.6</v>
      </c>
      <c r="P147">
        <v>0.6</v>
      </c>
      <c r="Q147">
        <v>0.81299999999999994</v>
      </c>
      <c r="R147">
        <v>3.6</v>
      </c>
      <c r="S147">
        <v>1.9</v>
      </c>
      <c r="T147">
        <v>1</v>
      </c>
      <c r="U147">
        <v>0.2</v>
      </c>
      <c r="V147">
        <v>1</v>
      </c>
      <c r="W147">
        <v>2.1</v>
      </c>
      <c r="X147">
        <v>8.1999999999999993</v>
      </c>
      <c r="Y147">
        <v>8</v>
      </c>
      <c r="Z147">
        <v>-1.7</v>
      </c>
      <c r="AA147">
        <v>9.8000000000000007</v>
      </c>
      <c r="AB147">
        <v>7.6999999999999999E-2</v>
      </c>
    </row>
    <row r="148" spans="1:28" x14ac:dyDescent="0.35">
      <c r="A148" s="1" t="s">
        <v>26</v>
      </c>
      <c r="B148" s="1" t="s">
        <v>598</v>
      </c>
      <c r="C148" s="1" t="s">
        <v>19</v>
      </c>
      <c r="D148" s="1" t="s">
        <v>50</v>
      </c>
      <c r="E148" s="4">
        <v>0.4</v>
      </c>
      <c r="F148">
        <v>24</v>
      </c>
      <c r="G148">
        <v>42</v>
      </c>
      <c r="H148">
        <v>16.3</v>
      </c>
      <c r="I148">
        <v>6.5</v>
      </c>
      <c r="J148">
        <v>0.44900000000000001</v>
      </c>
      <c r="K148">
        <v>4.3</v>
      </c>
      <c r="L148">
        <v>0.40799999999999997</v>
      </c>
      <c r="M148">
        <v>2.2999999999999998</v>
      </c>
      <c r="N148">
        <v>0.52600000000000002</v>
      </c>
      <c r="O148">
        <v>0.58199999999999996</v>
      </c>
      <c r="P148">
        <v>0.6</v>
      </c>
      <c r="Q148">
        <v>0.77800000000000002</v>
      </c>
      <c r="R148">
        <v>3.5</v>
      </c>
      <c r="S148">
        <v>1.3</v>
      </c>
      <c r="T148">
        <v>0.4</v>
      </c>
      <c r="U148">
        <v>0.4</v>
      </c>
      <c r="V148">
        <v>0.8</v>
      </c>
      <c r="W148">
        <v>2</v>
      </c>
      <c r="X148">
        <v>8.1</v>
      </c>
      <c r="Y148">
        <v>0</v>
      </c>
      <c r="Z148">
        <v>0.1</v>
      </c>
      <c r="AA148">
        <v>14.2</v>
      </c>
      <c r="AB148">
        <v>0.11600000000000001</v>
      </c>
    </row>
    <row r="149" spans="1:28" x14ac:dyDescent="0.35">
      <c r="A149" s="1" t="s">
        <v>2</v>
      </c>
      <c r="B149" s="1" t="s">
        <v>35</v>
      </c>
      <c r="C149" s="1" t="s">
        <v>23</v>
      </c>
      <c r="D149" s="1" t="s">
        <v>20</v>
      </c>
      <c r="E149" s="4">
        <v>-0.1</v>
      </c>
      <c r="F149">
        <v>23</v>
      </c>
      <c r="G149">
        <v>36</v>
      </c>
      <c r="H149">
        <v>13.9</v>
      </c>
      <c r="I149">
        <v>3.5</v>
      </c>
      <c r="J149">
        <v>0.46800000000000003</v>
      </c>
      <c r="K149">
        <v>1.1000000000000001</v>
      </c>
      <c r="L149">
        <v>0.34100000000000003</v>
      </c>
      <c r="M149">
        <v>2.4</v>
      </c>
      <c r="N149">
        <v>0.52900000000000003</v>
      </c>
      <c r="O149">
        <v>0.52400000000000002</v>
      </c>
      <c r="P149">
        <v>0.6</v>
      </c>
      <c r="Q149">
        <v>0.81799999999999995</v>
      </c>
      <c r="R149">
        <v>2.6</v>
      </c>
      <c r="S149">
        <v>1.2</v>
      </c>
      <c r="T149">
        <v>0.6</v>
      </c>
      <c r="U149">
        <v>0.1</v>
      </c>
      <c r="V149">
        <v>0.8</v>
      </c>
      <c r="W149">
        <v>0.9</v>
      </c>
      <c r="X149">
        <v>4.2</v>
      </c>
      <c r="Y149">
        <v>2</v>
      </c>
      <c r="Z149">
        <v>-2.7</v>
      </c>
      <c r="AA149">
        <v>11</v>
      </c>
      <c r="AB149">
        <v>6.3E-2</v>
      </c>
    </row>
    <row r="150" spans="1:28" x14ac:dyDescent="0.35">
      <c r="A150" s="1" t="s">
        <v>2</v>
      </c>
      <c r="B150" s="1" t="s">
        <v>597</v>
      </c>
      <c r="C150" s="1" t="s">
        <v>23</v>
      </c>
      <c r="D150" s="1" t="s">
        <v>28</v>
      </c>
      <c r="E150" s="4">
        <v>0.1</v>
      </c>
      <c r="F150">
        <v>34</v>
      </c>
      <c r="G150">
        <v>68</v>
      </c>
      <c r="H150">
        <v>15.6</v>
      </c>
      <c r="I150">
        <v>5</v>
      </c>
      <c r="J150">
        <v>0.47799999999999998</v>
      </c>
      <c r="K150">
        <v>2.7</v>
      </c>
      <c r="L150">
        <v>0.45600000000000002</v>
      </c>
      <c r="M150">
        <v>2.4</v>
      </c>
      <c r="N150">
        <v>0.503</v>
      </c>
      <c r="O150">
        <v>0.59899999999999998</v>
      </c>
      <c r="P150">
        <v>0.6</v>
      </c>
      <c r="Q150">
        <v>0.84599999999999997</v>
      </c>
      <c r="R150">
        <v>1.7</v>
      </c>
      <c r="S150">
        <v>0.9</v>
      </c>
      <c r="T150">
        <v>0.4</v>
      </c>
      <c r="U150">
        <v>0.1</v>
      </c>
      <c r="V150">
        <v>0.5</v>
      </c>
      <c r="W150">
        <v>0.9</v>
      </c>
      <c r="X150">
        <v>6.5</v>
      </c>
      <c r="Y150">
        <v>11</v>
      </c>
      <c r="Z150">
        <v>-1.7</v>
      </c>
      <c r="AA150">
        <v>12.2</v>
      </c>
      <c r="AB150">
        <v>0.08</v>
      </c>
    </row>
    <row r="151" spans="1:28" x14ac:dyDescent="0.35">
      <c r="A151" s="1" t="s">
        <v>18</v>
      </c>
      <c r="B151" s="1" t="s">
        <v>597</v>
      </c>
      <c r="C151" s="1" t="s">
        <v>33</v>
      </c>
      <c r="D151" s="1" t="s">
        <v>20</v>
      </c>
      <c r="E151" s="4">
        <v>1.3</v>
      </c>
      <c r="F151">
        <v>38</v>
      </c>
      <c r="G151">
        <v>60</v>
      </c>
      <c r="H151">
        <v>27.7</v>
      </c>
      <c r="I151">
        <v>7.7</v>
      </c>
      <c r="J151">
        <v>0.42299999999999999</v>
      </c>
      <c r="K151">
        <v>5.2</v>
      </c>
      <c r="L151">
        <v>0.36299999999999999</v>
      </c>
      <c r="M151">
        <v>2.5</v>
      </c>
      <c r="N151">
        <v>0.55100000000000005</v>
      </c>
      <c r="O151">
        <v>0.54700000000000004</v>
      </c>
      <c r="P151">
        <v>0.6</v>
      </c>
      <c r="Q151">
        <v>0.89500000000000002</v>
      </c>
      <c r="R151">
        <v>6.2</v>
      </c>
      <c r="S151">
        <v>2.1</v>
      </c>
      <c r="T151">
        <v>0.6</v>
      </c>
      <c r="U151">
        <v>0.9</v>
      </c>
      <c r="V151">
        <v>0.8</v>
      </c>
      <c r="W151">
        <v>1.4</v>
      </c>
      <c r="X151">
        <v>9</v>
      </c>
      <c r="Y151">
        <v>17</v>
      </c>
      <c r="Z151">
        <v>1.2</v>
      </c>
      <c r="AA151">
        <v>12.9</v>
      </c>
      <c r="AB151">
        <v>0.129</v>
      </c>
    </row>
    <row r="152" spans="1:28" x14ac:dyDescent="0.35">
      <c r="A152" s="1" t="s">
        <v>26</v>
      </c>
      <c r="B152" s="1" t="s">
        <v>598</v>
      </c>
      <c r="C152" s="1" t="s">
        <v>19</v>
      </c>
      <c r="D152" s="1" t="s">
        <v>28</v>
      </c>
      <c r="E152" s="4">
        <v>1.2</v>
      </c>
      <c r="F152">
        <v>25</v>
      </c>
      <c r="G152">
        <v>71</v>
      </c>
      <c r="H152">
        <v>29.2</v>
      </c>
      <c r="I152">
        <v>8.4</v>
      </c>
      <c r="J152">
        <v>0.435</v>
      </c>
      <c r="K152">
        <v>5.8</v>
      </c>
      <c r="L152">
        <v>0.41199999999999998</v>
      </c>
      <c r="M152">
        <v>2.5</v>
      </c>
      <c r="N152">
        <v>0.48899999999999999</v>
      </c>
      <c r="O152">
        <v>0.57799999999999996</v>
      </c>
      <c r="P152">
        <v>0.6</v>
      </c>
      <c r="Q152">
        <v>0.71699999999999997</v>
      </c>
      <c r="R152">
        <v>4.0999999999999996</v>
      </c>
      <c r="S152">
        <v>1.6</v>
      </c>
      <c r="T152">
        <v>1.1000000000000001</v>
      </c>
      <c r="U152">
        <v>0.5</v>
      </c>
      <c r="V152">
        <v>0.7</v>
      </c>
      <c r="W152">
        <v>2.9</v>
      </c>
      <c r="X152">
        <v>10.1</v>
      </c>
      <c r="Y152">
        <v>5</v>
      </c>
      <c r="Z152">
        <v>0.2</v>
      </c>
      <c r="AA152">
        <v>11.3</v>
      </c>
      <c r="AB152">
        <v>0.129</v>
      </c>
    </row>
    <row r="153" spans="1:28" x14ac:dyDescent="0.35">
      <c r="A153" s="1" t="s">
        <v>26</v>
      </c>
      <c r="B153" s="1" t="s">
        <v>598</v>
      </c>
      <c r="C153" s="1" t="s">
        <v>23</v>
      </c>
      <c r="D153" s="1" t="s">
        <v>28</v>
      </c>
      <c r="E153" s="4">
        <v>0.7</v>
      </c>
      <c r="F153">
        <v>30</v>
      </c>
      <c r="G153">
        <v>69</v>
      </c>
      <c r="H153">
        <v>16.399999999999999</v>
      </c>
      <c r="I153">
        <v>5.0999999999999996</v>
      </c>
      <c r="J153">
        <v>0.48299999999999998</v>
      </c>
      <c r="K153">
        <v>2.5</v>
      </c>
      <c r="L153">
        <v>0.38600000000000001</v>
      </c>
      <c r="M153">
        <v>2.7</v>
      </c>
      <c r="N153">
        <v>0.57399999999999995</v>
      </c>
      <c r="O153">
        <v>0.57599999999999996</v>
      </c>
      <c r="P153">
        <v>0.6</v>
      </c>
      <c r="Q153">
        <v>0.71799999999999997</v>
      </c>
      <c r="R153">
        <v>3.5</v>
      </c>
      <c r="S153">
        <v>1.4</v>
      </c>
      <c r="T153">
        <v>0.6</v>
      </c>
      <c r="U153">
        <v>0.1</v>
      </c>
      <c r="V153">
        <v>0.6</v>
      </c>
      <c r="W153">
        <v>1.6</v>
      </c>
      <c r="X153">
        <v>6.3</v>
      </c>
      <c r="Y153">
        <v>6</v>
      </c>
      <c r="Z153">
        <v>0.6</v>
      </c>
      <c r="AA153">
        <v>13.7</v>
      </c>
      <c r="AB153">
        <v>0.151</v>
      </c>
    </row>
    <row r="154" spans="1:28" x14ac:dyDescent="0.35">
      <c r="A154" s="1" t="s">
        <v>2</v>
      </c>
      <c r="B154" s="1" t="s">
        <v>597</v>
      </c>
      <c r="C154" s="1" t="s">
        <v>23</v>
      </c>
      <c r="D154" s="1" t="s">
        <v>28</v>
      </c>
      <c r="E154" s="4">
        <v>-0.7</v>
      </c>
      <c r="F154">
        <v>27</v>
      </c>
      <c r="G154">
        <v>47</v>
      </c>
      <c r="H154">
        <v>22.8</v>
      </c>
      <c r="I154">
        <v>6.2</v>
      </c>
      <c r="J154">
        <v>0.40500000000000003</v>
      </c>
      <c r="K154">
        <v>3.5</v>
      </c>
      <c r="L154">
        <v>0.33500000000000002</v>
      </c>
      <c r="M154">
        <v>2.7</v>
      </c>
      <c r="N154">
        <v>0.496</v>
      </c>
      <c r="O154">
        <v>0.5</v>
      </c>
      <c r="P154">
        <v>0.6</v>
      </c>
      <c r="Q154">
        <v>0.8</v>
      </c>
      <c r="R154">
        <v>2.9</v>
      </c>
      <c r="S154">
        <v>1.1000000000000001</v>
      </c>
      <c r="T154">
        <v>0.6</v>
      </c>
      <c r="U154">
        <v>0.5</v>
      </c>
      <c r="V154">
        <v>0.7</v>
      </c>
      <c r="W154">
        <v>2.1</v>
      </c>
      <c r="X154">
        <v>6.7</v>
      </c>
      <c r="Y154">
        <v>5</v>
      </c>
      <c r="Z154">
        <v>-4.7</v>
      </c>
      <c r="AA154">
        <v>7.9</v>
      </c>
      <c r="AB154">
        <v>2.7E-2</v>
      </c>
    </row>
    <row r="155" spans="1:28" x14ac:dyDescent="0.35">
      <c r="A155" s="1" t="s">
        <v>26</v>
      </c>
      <c r="B155" s="1" t="s">
        <v>35</v>
      </c>
      <c r="C155" s="1" t="s">
        <v>23</v>
      </c>
      <c r="D155" s="1" t="s">
        <v>28</v>
      </c>
      <c r="E155" s="4">
        <v>-0.3</v>
      </c>
      <c r="F155">
        <v>21</v>
      </c>
      <c r="G155">
        <v>16</v>
      </c>
      <c r="H155">
        <v>14.9</v>
      </c>
      <c r="I155">
        <v>4.5999999999999996</v>
      </c>
      <c r="J155">
        <v>0.41899999999999998</v>
      </c>
      <c r="K155">
        <v>1.4</v>
      </c>
      <c r="L155">
        <v>0.30399999999999999</v>
      </c>
      <c r="M155">
        <v>3.2</v>
      </c>
      <c r="N155">
        <v>0.47099999999999997</v>
      </c>
      <c r="O155">
        <v>0.46600000000000003</v>
      </c>
      <c r="P155">
        <v>0.6</v>
      </c>
      <c r="Q155">
        <v>0.9</v>
      </c>
      <c r="R155">
        <v>2.8</v>
      </c>
      <c r="S155">
        <v>1.1000000000000001</v>
      </c>
      <c r="T155">
        <v>0.6</v>
      </c>
      <c r="U155">
        <v>0</v>
      </c>
      <c r="V155">
        <v>0.8</v>
      </c>
      <c r="W155">
        <v>0.9</v>
      </c>
      <c r="X155">
        <v>4.9000000000000004</v>
      </c>
      <c r="Y155">
        <v>1</v>
      </c>
      <c r="Z155">
        <v>-6.3</v>
      </c>
      <c r="AA155">
        <v>9.1</v>
      </c>
      <c r="AB155">
        <v>-4.0000000000000001E-3</v>
      </c>
    </row>
    <row r="156" spans="1:28" x14ac:dyDescent="0.35">
      <c r="A156" s="1" t="s">
        <v>2</v>
      </c>
      <c r="B156" s="1" t="s">
        <v>598</v>
      </c>
      <c r="C156" s="1" t="s">
        <v>23</v>
      </c>
      <c r="D156" s="1" t="s">
        <v>28</v>
      </c>
      <c r="E156" s="4">
        <v>0.8</v>
      </c>
      <c r="F156">
        <v>32</v>
      </c>
      <c r="G156">
        <v>62</v>
      </c>
      <c r="H156">
        <v>15</v>
      </c>
      <c r="I156">
        <v>4.8</v>
      </c>
      <c r="J156">
        <v>0.57399999999999995</v>
      </c>
      <c r="K156">
        <v>1.5</v>
      </c>
      <c r="L156">
        <v>0.32600000000000001</v>
      </c>
      <c r="M156">
        <v>3.3</v>
      </c>
      <c r="N156">
        <v>0.69</v>
      </c>
      <c r="O156">
        <v>0.626</v>
      </c>
      <c r="P156">
        <v>0.6</v>
      </c>
      <c r="Q156">
        <v>0.71099999999999997</v>
      </c>
      <c r="R156">
        <v>3</v>
      </c>
      <c r="S156">
        <v>1.3</v>
      </c>
      <c r="T156">
        <v>0.8</v>
      </c>
      <c r="U156">
        <v>0.3</v>
      </c>
      <c r="V156">
        <v>0.6</v>
      </c>
      <c r="W156">
        <v>1.7</v>
      </c>
      <c r="X156">
        <v>6.5</v>
      </c>
      <c r="Y156">
        <v>8</v>
      </c>
      <c r="Z156">
        <v>1.4</v>
      </c>
      <c r="AA156">
        <v>16.2</v>
      </c>
      <c r="AB156">
        <v>0.155</v>
      </c>
    </row>
    <row r="157" spans="1:28" x14ac:dyDescent="0.35">
      <c r="A157" s="1" t="s">
        <v>2</v>
      </c>
      <c r="B157" s="1" t="s">
        <v>35</v>
      </c>
      <c r="C157" s="1" t="s">
        <v>19</v>
      </c>
      <c r="D157" s="1" t="s">
        <v>20</v>
      </c>
      <c r="E157" s="4">
        <v>0.4</v>
      </c>
      <c r="F157">
        <v>28</v>
      </c>
      <c r="G157">
        <v>51</v>
      </c>
      <c r="H157">
        <v>22</v>
      </c>
      <c r="I157">
        <v>4.4000000000000004</v>
      </c>
      <c r="J157">
        <v>0.52</v>
      </c>
      <c r="K157">
        <v>0</v>
      </c>
      <c r="M157">
        <v>4.4000000000000004</v>
      </c>
      <c r="N157">
        <v>0.52</v>
      </c>
      <c r="O157">
        <v>0.52</v>
      </c>
      <c r="P157">
        <v>0.6</v>
      </c>
      <c r="Q157">
        <v>0.72699999999999998</v>
      </c>
      <c r="R157">
        <v>4.7</v>
      </c>
      <c r="S157">
        <v>5.6</v>
      </c>
      <c r="T157">
        <v>0.7</v>
      </c>
      <c r="U157">
        <v>0.5</v>
      </c>
      <c r="V157">
        <v>2</v>
      </c>
      <c r="W157">
        <v>2.1</v>
      </c>
      <c r="X157">
        <v>5</v>
      </c>
      <c r="Y157">
        <v>8</v>
      </c>
      <c r="Z157">
        <v>-0.5</v>
      </c>
      <c r="AA157">
        <v>12.4</v>
      </c>
      <c r="AB157">
        <v>7.8E-2</v>
      </c>
    </row>
    <row r="158" spans="1:28" x14ac:dyDescent="0.35">
      <c r="A158" s="1" t="s">
        <v>2</v>
      </c>
      <c r="B158" s="1" t="s">
        <v>598</v>
      </c>
      <c r="C158" s="1" t="s">
        <v>23</v>
      </c>
      <c r="D158" s="1" t="s">
        <v>28</v>
      </c>
      <c r="E158" s="4">
        <v>0</v>
      </c>
      <c r="F158">
        <v>28</v>
      </c>
      <c r="G158">
        <v>9</v>
      </c>
      <c r="H158">
        <v>3.9</v>
      </c>
      <c r="I158">
        <v>0.3</v>
      </c>
      <c r="J158">
        <v>0.66700000000000004</v>
      </c>
      <c r="K158">
        <v>0.3</v>
      </c>
      <c r="L158">
        <v>0.66700000000000004</v>
      </c>
      <c r="M158">
        <v>0</v>
      </c>
      <c r="O158">
        <v>1</v>
      </c>
      <c r="P158">
        <v>0.7</v>
      </c>
      <c r="Q158">
        <v>0.16700000000000001</v>
      </c>
      <c r="R158">
        <v>0.6</v>
      </c>
      <c r="S158">
        <v>0.6</v>
      </c>
      <c r="T158">
        <v>0.1</v>
      </c>
      <c r="U158">
        <v>0</v>
      </c>
      <c r="V158">
        <v>0.1</v>
      </c>
      <c r="W158">
        <v>0.3</v>
      </c>
      <c r="X158">
        <v>0.8</v>
      </c>
      <c r="Y158">
        <v>6</v>
      </c>
      <c r="Z158">
        <v>0.7</v>
      </c>
      <c r="AA158">
        <v>9.5</v>
      </c>
      <c r="AB158">
        <v>0.107</v>
      </c>
    </row>
    <row r="159" spans="1:28" x14ac:dyDescent="0.35">
      <c r="A159" s="1" t="s">
        <v>2</v>
      </c>
      <c r="B159" s="1" t="s">
        <v>598</v>
      </c>
      <c r="C159" s="1" t="s">
        <v>23</v>
      </c>
      <c r="D159" s="1" t="s">
        <v>28</v>
      </c>
      <c r="E159" s="4">
        <v>0</v>
      </c>
      <c r="F159">
        <v>22</v>
      </c>
      <c r="G159">
        <v>3</v>
      </c>
      <c r="H159">
        <v>4.3</v>
      </c>
      <c r="I159">
        <v>0.3</v>
      </c>
      <c r="J159">
        <v>0</v>
      </c>
      <c r="K159">
        <v>0.3</v>
      </c>
      <c r="L159">
        <v>0</v>
      </c>
      <c r="M159">
        <v>0</v>
      </c>
      <c r="O159">
        <v>0</v>
      </c>
      <c r="P159">
        <v>0.7</v>
      </c>
      <c r="Q159">
        <v>0.5</v>
      </c>
      <c r="R159">
        <v>1.3</v>
      </c>
      <c r="S159">
        <v>1</v>
      </c>
      <c r="T159">
        <v>0</v>
      </c>
      <c r="U159">
        <v>0</v>
      </c>
      <c r="V159">
        <v>1.3</v>
      </c>
      <c r="W159">
        <v>0.3</v>
      </c>
      <c r="X159">
        <v>0.3</v>
      </c>
      <c r="Y159">
        <v>3</v>
      </c>
      <c r="Z159">
        <v>-16.2</v>
      </c>
      <c r="AA159">
        <v>-7</v>
      </c>
      <c r="AB159">
        <v>-0.32700000000000001</v>
      </c>
    </row>
    <row r="160" spans="1:28" x14ac:dyDescent="0.35">
      <c r="A160" s="1" t="s">
        <v>26</v>
      </c>
      <c r="B160" s="1" t="s">
        <v>598</v>
      </c>
      <c r="C160" s="1" t="s">
        <v>19</v>
      </c>
      <c r="D160" s="1" t="s">
        <v>28</v>
      </c>
      <c r="E160" s="4">
        <v>-0.1</v>
      </c>
      <c r="F160">
        <v>25</v>
      </c>
      <c r="G160">
        <v>6</v>
      </c>
      <c r="H160">
        <v>3.5</v>
      </c>
      <c r="I160">
        <v>0.3</v>
      </c>
      <c r="J160">
        <v>0</v>
      </c>
      <c r="K160">
        <v>0.2</v>
      </c>
      <c r="L160">
        <v>0</v>
      </c>
      <c r="M160">
        <v>0.2</v>
      </c>
      <c r="N160">
        <v>0</v>
      </c>
      <c r="O160">
        <v>0</v>
      </c>
      <c r="P160">
        <v>0.7</v>
      </c>
      <c r="Q160">
        <v>0.5</v>
      </c>
      <c r="R160">
        <v>0.5</v>
      </c>
      <c r="S160">
        <v>0.2</v>
      </c>
      <c r="T160">
        <v>0</v>
      </c>
      <c r="U160">
        <v>0</v>
      </c>
      <c r="V160">
        <v>0.2</v>
      </c>
      <c r="W160">
        <v>0.7</v>
      </c>
      <c r="X160">
        <v>0.3</v>
      </c>
      <c r="Y160">
        <v>0</v>
      </c>
      <c r="Z160">
        <v>-12.4</v>
      </c>
      <c r="AA160">
        <v>-2.2999999999999998</v>
      </c>
      <c r="AB160">
        <v>-5.1999999999999998E-2</v>
      </c>
    </row>
    <row r="161" spans="1:28" x14ac:dyDescent="0.35">
      <c r="A161" s="1" t="s">
        <v>26</v>
      </c>
      <c r="B161" s="1" t="s">
        <v>597</v>
      </c>
      <c r="C161" s="1" t="s">
        <v>23</v>
      </c>
      <c r="D161" s="1" t="s">
        <v>28</v>
      </c>
      <c r="E161" s="4">
        <v>0</v>
      </c>
      <c r="F161">
        <v>24</v>
      </c>
      <c r="G161">
        <v>3</v>
      </c>
      <c r="H161">
        <v>11.7</v>
      </c>
      <c r="I161">
        <v>3</v>
      </c>
      <c r="J161">
        <v>0.222</v>
      </c>
      <c r="K161">
        <v>2.2999999999999998</v>
      </c>
      <c r="L161">
        <v>0.28599999999999998</v>
      </c>
      <c r="M161">
        <v>0.7</v>
      </c>
      <c r="N161">
        <v>0</v>
      </c>
      <c r="O161">
        <v>0.33300000000000002</v>
      </c>
      <c r="P161">
        <v>0.7</v>
      </c>
      <c r="Q161">
        <v>0.5</v>
      </c>
      <c r="R161">
        <v>3</v>
      </c>
      <c r="S161">
        <v>0</v>
      </c>
      <c r="T161">
        <v>0.7</v>
      </c>
      <c r="U161">
        <v>0.3</v>
      </c>
      <c r="V161">
        <v>0</v>
      </c>
      <c r="W161">
        <v>0</v>
      </c>
      <c r="X161">
        <v>2.2999999999999998</v>
      </c>
      <c r="Y161">
        <v>1</v>
      </c>
      <c r="Z161">
        <v>-1.9</v>
      </c>
      <c r="AA161">
        <v>8.5</v>
      </c>
      <c r="AB161">
        <v>4.9000000000000002E-2</v>
      </c>
    </row>
    <row r="162" spans="1:28" x14ac:dyDescent="0.35">
      <c r="A162" s="1" t="s">
        <v>26</v>
      </c>
      <c r="B162" s="1" t="s">
        <v>598</v>
      </c>
      <c r="C162" s="1" t="s">
        <v>23</v>
      </c>
      <c r="D162" s="1" t="s">
        <v>50</v>
      </c>
      <c r="E162" s="4">
        <v>-0.1</v>
      </c>
      <c r="F162">
        <v>34</v>
      </c>
      <c r="G162">
        <v>9</v>
      </c>
      <c r="H162">
        <v>11.4</v>
      </c>
      <c r="I162">
        <v>2.4</v>
      </c>
      <c r="J162">
        <v>0.318</v>
      </c>
      <c r="K162">
        <v>1.7</v>
      </c>
      <c r="L162">
        <v>0.26700000000000002</v>
      </c>
      <c r="M162">
        <v>0.8</v>
      </c>
      <c r="N162">
        <v>0.42899999999999999</v>
      </c>
      <c r="O162">
        <v>0.40899999999999997</v>
      </c>
      <c r="P162">
        <v>0.7</v>
      </c>
      <c r="Q162">
        <v>0.83299999999999996</v>
      </c>
      <c r="R162">
        <v>2.2000000000000002</v>
      </c>
      <c r="S162">
        <v>0.7</v>
      </c>
      <c r="T162">
        <v>0.3</v>
      </c>
      <c r="U162">
        <v>0</v>
      </c>
      <c r="V162">
        <v>0.4</v>
      </c>
      <c r="W162">
        <v>1.1000000000000001</v>
      </c>
      <c r="X162">
        <v>2.6</v>
      </c>
      <c r="Y162">
        <v>12</v>
      </c>
      <c r="Z162">
        <v>-4.3</v>
      </c>
      <c r="AA162">
        <v>6.6</v>
      </c>
      <c r="AB162">
        <v>2.5999999999999999E-2</v>
      </c>
    </row>
    <row r="163" spans="1:28" x14ac:dyDescent="0.35">
      <c r="A163" s="1" t="s">
        <v>2</v>
      </c>
      <c r="B163" s="1" t="s">
        <v>598</v>
      </c>
      <c r="C163" s="1" t="s">
        <v>23</v>
      </c>
      <c r="D163" s="1" t="s">
        <v>20</v>
      </c>
      <c r="E163" s="4">
        <v>0.3</v>
      </c>
      <c r="F163">
        <v>28</v>
      </c>
      <c r="G163">
        <v>62</v>
      </c>
      <c r="H163">
        <v>12.8</v>
      </c>
      <c r="I163">
        <v>4.3</v>
      </c>
      <c r="J163">
        <v>0.437</v>
      </c>
      <c r="K163">
        <v>2.9</v>
      </c>
      <c r="L163">
        <v>0.39800000000000002</v>
      </c>
      <c r="M163">
        <v>1.4</v>
      </c>
      <c r="N163">
        <v>0.51700000000000002</v>
      </c>
      <c r="O163">
        <v>0.57099999999999995</v>
      </c>
      <c r="P163">
        <v>0.7</v>
      </c>
      <c r="Q163">
        <v>0.82899999999999996</v>
      </c>
      <c r="R163">
        <v>1.3</v>
      </c>
      <c r="S163">
        <v>1.3</v>
      </c>
      <c r="T163">
        <v>0.3</v>
      </c>
      <c r="U163">
        <v>0.2</v>
      </c>
      <c r="V163">
        <v>0.6</v>
      </c>
      <c r="W163">
        <v>1</v>
      </c>
      <c r="X163">
        <v>5.5</v>
      </c>
      <c r="Y163">
        <v>6</v>
      </c>
      <c r="Z163">
        <v>-0.2</v>
      </c>
      <c r="AA163">
        <v>12.2</v>
      </c>
      <c r="AB163">
        <v>0.122</v>
      </c>
    </row>
    <row r="164" spans="1:28" x14ac:dyDescent="0.35">
      <c r="A164" s="1" t="s">
        <v>26</v>
      </c>
      <c r="B164" s="1" t="s">
        <v>597</v>
      </c>
      <c r="C164" s="1" t="s">
        <v>23</v>
      </c>
      <c r="D164" s="1" t="s">
        <v>28</v>
      </c>
      <c r="E164" s="4">
        <v>1.1000000000000001</v>
      </c>
      <c r="F164">
        <v>28</v>
      </c>
      <c r="G164">
        <v>50</v>
      </c>
      <c r="H164">
        <v>25.5</v>
      </c>
      <c r="I164">
        <v>7.5</v>
      </c>
      <c r="J164">
        <v>0.442</v>
      </c>
      <c r="K164">
        <v>5.9</v>
      </c>
      <c r="L164">
        <v>0.38600000000000001</v>
      </c>
      <c r="M164">
        <v>1.6</v>
      </c>
      <c r="N164">
        <v>0.65</v>
      </c>
      <c r="O164">
        <v>0.59399999999999997</v>
      </c>
      <c r="P164">
        <v>0.7</v>
      </c>
      <c r="Q164">
        <v>0.82399999999999995</v>
      </c>
      <c r="R164">
        <v>4.3</v>
      </c>
      <c r="S164">
        <v>3.2</v>
      </c>
      <c r="T164">
        <v>0.5</v>
      </c>
      <c r="U164">
        <v>0.2</v>
      </c>
      <c r="V164">
        <v>1.1000000000000001</v>
      </c>
      <c r="W164">
        <v>2.1</v>
      </c>
      <c r="X164">
        <v>9.4</v>
      </c>
      <c r="Y164">
        <v>5</v>
      </c>
      <c r="Z164">
        <v>1.3</v>
      </c>
      <c r="AA164">
        <v>12.6</v>
      </c>
      <c r="AB164">
        <v>0.13</v>
      </c>
    </row>
    <row r="165" spans="1:28" x14ac:dyDescent="0.35">
      <c r="A165" s="1" t="s">
        <v>26</v>
      </c>
      <c r="B165" s="1" t="s">
        <v>35</v>
      </c>
      <c r="C165" s="1" t="s">
        <v>23</v>
      </c>
      <c r="D165" s="1" t="s">
        <v>28</v>
      </c>
      <c r="E165" s="4">
        <v>0.5</v>
      </c>
      <c r="F165">
        <v>31</v>
      </c>
      <c r="G165">
        <v>63</v>
      </c>
      <c r="H165">
        <v>28.9</v>
      </c>
      <c r="I165">
        <v>6.9</v>
      </c>
      <c r="J165">
        <v>0.44800000000000001</v>
      </c>
      <c r="K165">
        <v>5</v>
      </c>
      <c r="L165">
        <v>0.41099999999999998</v>
      </c>
      <c r="M165">
        <v>1.9</v>
      </c>
      <c r="N165">
        <v>0.54500000000000004</v>
      </c>
      <c r="O165">
        <v>0.59699999999999998</v>
      </c>
      <c r="P165">
        <v>0.7</v>
      </c>
      <c r="Q165">
        <v>0.66700000000000004</v>
      </c>
      <c r="R165">
        <v>3.9</v>
      </c>
      <c r="S165">
        <v>1.4</v>
      </c>
      <c r="T165">
        <v>0.9</v>
      </c>
      <c r="U165">
        <v>0.4</v>
      </c>
      <c r="V165">
        <v>0.9</v>
      </c>
      <c r="W165">
        <v>2.2000000000000002</v>
      </c>
      <c r="X165">
        <v>8.6999999999999993</v>
      </c>
      <c r="Y165">
        <v>8</v>
      </c>
      <c r="Z165">
        <v>-1</v>
      </c>
      <c r="AA165">
        <v>10.1</v>
      </c>
      <c r="AB165">
        <v>7.8E-2</v>
      </c>
    </row>
    <row r="166" spans="1:28" x14ac:dyDescent="0.35">
      <c r="A166" s="1" t="s">
        <v>2</v>
      </c>
      <c r="B166" s="1" t="s">
        <v>598</v>
      </c>
      <c r="C166" s="1" t="s">
        <v>23</v>
      </c>
      <c r="D166" s="1" t="s">
        <v>28</v>
      </c>
      <c r="E166" s="4">
        <v>0.5</v>
      </c>
      <c r="F166">
        <v>25</v>
      </c>
      <c r="G166">
        <v>33</v>
      </c>
      <c r="H166">
        <v>14</v>
      </c>
      <c r="I166">
        <v>4.8</v>
      </c>
      <c r="J166">
        <v>0.43</v>
      </c>
      <c r="K166">
        <v>2.7</v>
      </c>
      <c r="L166">
        <v>0.433</v>
      </c>
      <c r="M166">
        <v>2.1</v>
      </c>
      <c r="N166">
        <v>0.42599999999999999</v>
      </c>
      <c r="O166">
        <v>0.55400000000000005</v>
      </c>
      <c r="P166">
        <v>0.7</v>
      </c>
      <c r="Q166">
        <v>0.86399999999999999</v>
      </c>
      <c r="R166">
        <v>2.4</v>
      </c>
      <c r="S166">
        <v>2.4</v>
      </c>
      <c r="T166">
        <v>0.6</v>
      </c>
      <c r="U166">
        <v>0.2</v>
      </c>
      <c r="V166">
        <v>0.5</v>
      </c>
      <c r="W166">
        <v>0.9</v>
      </c>
      <c r="X166">
        <v>5.9</v>
      </c>
      <c r="Y166">
        <v>2</v>
      </c>
      <c r="Z166">
        <v>2.5</v>
      </c>
      <c r="AA166">
        <v>16.8</v>
      </c>
      <c r="AB166">
        <v>0.13100000000000001</v>
      </c>
    </row>
    <row r="167" spans="1:28" x14ac:dyDescent="0.35">
      <c r="A167" s="1" t="s">
        <v>2</v>
      </c>
      <c r="B167" s="1" t="s">
        <v>598</v>
      </c>
      <c r="C167" s="1" t="s">
        <v>23</v>
      </c>
      <c r="D167" s="1" t="s">
        <v>20</v>
      </c>
      <c r="E167" s="4">
        <v>-0.1</v>
      </c>
      <c r="F167">
        <v>21</v>
      </c>
      <c r="G167">
        <v>47</v>
      </c>
      <c r="H167">
        <v>9.1</v>
      </c>
      <c r="I167">
        <v>4</v>
      </c>
      <c r="J167">
        <v>0.45800000000000002</v>
      </c>
      <c r="K167">
        <v>1.8</v>
      </c>
      <c r="L167">
        <v>0.40500000000000003</v>
      </c>
      <c r="M167">
        <v>2.2999999999999998</v>
      </c>
      <c r="N167">
        <v>0.5</v>
      </c>
      <c r="O167">
        <v>0.54700000000000004</v>
      </c>
      <c r="P167">
        <v>0.7</v>
      </c>
      <c r="Q167">
        <v>0.81799999999999995</v>
      </c>
      <c r="R167">
        <v>1.1000000000000001</v>
      </c>
      <c r="S167">
        <v>0.8</v>
      </c>
      <c r="T167">
        <v>0.2</v>
      </c>
      <c r="U167">
        <v>0</v>
      </c>
      <c r="V167">
        <v>0.7</v>
      </c>
      <c r="W167">
        <v>0.6</v>
      </c>
      <c r="X167">
        <v>5</v>
      </c>
      <c r="Y167">
        <v>2</v>
      </c>
      <c r="Z167">
        <v>-3.2</v>
      </c>
      <c r="AA167">
        <v>12</v>
      </c>
      <c r="AB167">
        <v>7.0000000000000001E-3</v>
      </c>
    </row>
    <row r="168" spans="1:28" x14ac:dyDescent="0.35">
      <c r="A168" s="1" t="s">
        <v>2</v>
      </c>
      <c r="B168" s="1" t="s">
        <v>597</v>
      </c>
      <c r="C168" s="1" t="s">
        <v>23</v>
      </c>
      <c r="D168" s="1" t="s">
        <v>28</v>
      </c>
      <c r="E168" s="4">
        <v>0.2</v>
      </c>
      <c r="F168">
        <v>27</v>
      </c>
      <c r="G168">
        <v>31</v>
      </c>
      <c r="H168">
        <v>13.9</v>
      </c>
      <c r="I168">
        <v>4.7</v>
      </c>
      <c r="J168">
        <v>0.38100000000000001</v>
      </c>
      <c r="K168">
        <v>2.5</v>
      </c>
      <c r="L168">
        <v>0.28599999999999998</v>
      </c>
      <c r="M168">
        <v>2.2999999999999998</v>
      </c>
      <c r="N168">
        <v>0.48599999999999999</v>
      </c>
      <c r="O168">
        <v>0.45600000000000002</v>
      </c>
      <c r="P168">
        <v>0.7</v>
      </c>
      <c r="Q168">
        <v>0.85699999999999998</v>
      </c>
      <c r="R168">
        <v>1.7</v>
      </c>
      <c r="S168">
        <v>1.2</v>
      </c>
      <c r="T168">
        <v>1</v>
      </c>
      <c r="U168">
        <v>0.3</v>
      </c>
      <c r="V168">
        <v>0.7</v>
      </c>
      <c r="W168">
        <v>1.2</v>
      </c>
      <c r="X168">
        <v>4.9000000000000004</v>
      </c>
      <c r="Y168">
        <v>3</v>
      </c>
      <c r="Z168">
        <v>-0.3</v>
      </c>
      <c r="AA168">
        <v>11.9</v>
      </c>
      <c r="AB168">
        <v>7.3999999999999996E-2</v>
      </c>
    </row>
    <row r="169" spans="1:28" x14ac:dyDescent="0.35">
      <c r="A169" s="1" t="s">
        <v>26</v>
      </c>
      <c r="B169" s="1" t="s">
        <v>597</v>
      </c>
      <c r="C169" s="1" t="s">
        <v>23</v>
      </c>
      <c r="D169" s="1" t="s">
        <v>28</v>
      </c>
      <c r="E169" s="4">
        <v>0.1</v>
      </c>
      <c r="F169">
        <v>30</v>
      </c>
      <c r="G169">
        <v>74</v>
      </c>
      <c r="H169">
        <v>24.1</v>
      </c>
      <c r="I169">
        <v>9</v>
      </c>
      <c r="J169">
        <v>0.437</v>
      </c>
      <c r="K169">
        <v>6.5</v>
      </c>
      <c r="L169">
        <v>0.39300000000000002</v>
      </c>
      <c r="M169">
        <v>2.4</v>
      </c>
      <c r="N169">
        <v>0.55600000000000005</v>
      </c>
      <c r="O169">
        <v>0.58099999999999996</v>
      </c>
      <c r="P169">
        <v>0.7</v>
      </c>
      <c r="Q169">
        <v>0.88700000000000001</v>
      </c>
      <c r="R169">
        <v>2.2999999999999998</v>
      </c>
      <c r="S169">
        <v>2.4</v>
      </c>
      <c r="T169">
        <v>0.5</v>
      </c>
      <c r="U169">
        <v>0.1</v>
      </c>
      <c r="V169">
        <v>1.2</v>
      </c>
      <c r="W169">
        <v>1.8</v>
      </c>
      <c r="X169">
        <v>11</v>
      </c>
      <c r="Y169">
        <v>6</v>
      </c>
      <c r="Z169">
        <v>-1.7</v>
      </c>
      <c r="AA169">
        <v>11.8</v>
      </c>
      <c r="AB169">
        <v>7.0999999999999994E-2</v>
      </c>
    </row>
    <row r="170" spans="1:28" x14ac:dyDescent="0.35">
      <c r="A170" s="1" t="s">
        <v>26</v>
      </c>
      <c r="B170" s="1" t="s">
        <v>598</v>
      </c>
      <c r="C170" s="1" t="s">
        <v>23</v>
      </c>
      <c r="D170" s="1" t="s">
        <v>50</v>
      </c>
      <c r="E170" s="4">
        <v>0.3</v>
      </c>
      <c r="F170">
        <v>25</v>
      </c>
      <c r="G170">
        <v>36</v>
      </c>
      <c r="H170">
        <v>12.4</v>
      </c>
      <c r="I170">
        <v>5.0999999999999996</v>
      </c>
      <c r="J170">
        <v>0.52500000000000002</v>
      </c>
      <c r="K170">
        <v>2.6</v>
      </c>
      <c r="L170">
        <v>0.34399999999999997</v>
      </c>
      <c r="M170">
        <v>2.5</v>
      </c>
      <c r="N170">
        <v>0.71099999999999997</v>
      </c>
      <c r="O170">
        <v>0.61199999999999999</v>
      </c>
      <c r="P170">
        <v>0.7</v>
      </c>
      <c r="Q170">
        <v>0.76900000000000002</v>
      </c>
      <c r="R170">
        <v>2.9</v>
      </c>
      <c r="S170">
        <v>0.6</v>
      </c>
      <c r="T170">
        <v>0.3</v>
      </c>
      <c r="U170">
        <v>0.7</v>
      </c>
      <c r="V170">
        <v>0.6</v>
      </c>
      <c r="W170">
        <v>0.6</v>
      </c>
      <c r="X170">
        <v>6.8</v>
      </c>
      <c r="Y170">
        <v>5</v>
      </c>
      <c r="Z170">
        <v>0.8</v>
      </c>
      <c r="AA170">
        <v>18.399999999999999</v>
      </c>
      <c r="AB170">
        <v>9.7000000000000003E-2</v>
      </c>
    </row>
    <row r="171" spans="1:28" x14ac:dyDescent="0.35">
      <c r="A171" s="1" t="s">
        <v>2</v>
      </c>
      <c r="B171" s="1" t="s">
        <v>598</v>
      </c>
      <c r="C171" s="1" t="s">
        <v>23</v>
      </c>
      <c r="D171" s="1" t="s">
        <v>20</v>
      </c>
      <c r="E171" s="4">
        <v>0</v>
      </c>
      <c r="F171">
        <v>24</v>
      </c>
      <c r="G171">
        <v>32</v>
      </c>
      <c r="H171">
        <v>10.6</v>
      </c>
      <c r="I171">
        <v>3.6</v>
      </c>
      <c r="J171">
        <v>0.48199999999999998</v>
      </c>
      <c r="K171">
        <v>1</v>
      </c>
      <c r="L171">
        <v>0.35499999999999998</v>
      </c>
      <c r="M171">
        <v>2.6</v>
      </c>
      <c r="N171">
        <v>0.53</v>
      </c>
      <c r="O171">
        <v>0.53100000000000003</v>
      </c>
      <c r="P171">
        <v>0.7</v>
      </c>
      <c r="Q171">
        <v>0.81</v>
      </c>
      <c r="R171">
        <v>1.5</v>
      </c>
      <c r="S171">
        <v>1</v>
      </c>
      <c r="T171">
        <v>0.2</v>
      </c>
      <c r="U171">
        <v>0.2</v>
      </c>
      <c r="V171">
        <v>0.5</v>
      </c>
      <c r="W171">
        <v>0.8</v>
      </c>
      <c r="X171">
        <v>4.3</v>
      </c>
      <c r="Y171">
        <v>0</v>
      </c>
      <c r="Z171">
        <v>-2.1</v>
      </c>
      <c r="AA171">
        <v>11.9</v>
      </c>
      <c r="AB171">
        <v>9.0999999999999998E-2</v>
      </c>
    </row>
    <row r="172" spans="1:28" x14ac:dyDescent="0.35">
      <c r="A172" s="1" t="s">
        <v>26</v>
      </c>
      <c r="B172" s="1" t="s">
        <v>35</v>
      </c>
      <c r="C172" s="1" t="s">
        <v>23</v>
      </c>
      <c r="D172" s="1" t="s">
        <v>50</v>
      </c>
      <c r="E172" s="4">
        <v>-0.1</v>
      </c>
      <c r="F172">
        <v>31</v>
      </c>
      <c r="G172">
        <v>79</v>
      </c>
      <c r="H172">
        <v>21.5</v>
      </c>
      <c r="I172">
        <v>7.8</v>
      </c>
      <c r="J172">
        <v>0.46100000000000002</v>
      </c>
      <c r="K172">
        <v>5.2</v>
      </c>
      <c r="L172">
        <v>0.40600000000000003</v>
      </c>
      <c r="M172">
        <v>2.7</v>
      </c>
      <c r="N172">
        <v>0.56899999999999995</v>
      </c>
      <c r="O172">
        <v>0.59499999999999997</v>
      </c>
      <c r="P172">
        <v>0.7</v>
      </c>
      <c r="Q172">
        <v>0.79300000000000004</v>
      </c>
      <c r="R172">
        <v>3.4</v>
      </c>
      <c r="S172">
        <v>1.4</v>
      </c>
      <c r="T172">
        <v>0.4</v>
      </c>
      <c r="U172">
        <v>0.2</v>
      </c>
      <c r="V172">
        <v>1</v>
      </c>
      <c r="W172">
        <v>2.5</v>
      </c>
      <c r="X172">
        <v>9.9</v>
      </c>
      <c r="Y172">
        <v>8</v>
      </c>
      <c r="Z172">
        <v>-2.2999999999999998</v>
      </c>
      <c r="AA172">
        <v>11.2</v>
      </c>
      <c r="AB172">
        <v>8.1000000000000003E-2</v>
      </c>
    </row>
    <row r="173" spans="1:28" x14ac:dyDescent="0.35">
      <c r="A173" s="1" t="s">
        <v>2</v>
      </c>
      <c r="B173" s="1" t="s">
        <v>35</v>
      </c>
      <c r="C173" s="1" t="s">
        <v>23</v>
      </c>
      <c r="D173" s="1" t="s">
        <v>20</v>
      </c>
      <c r="E173" s="4">
        <v>0</v>
      </c>
      <c r="F173">
        <v>26</v>
      </c>
      <c r="G173">
        <v>69</v>
      </c>
      <c r="H173">
        <v>24.3</v>
      </c>
      <c r="I173">
        <v>8.8000000000000007</v>
      </c>
      <c r="J173">
        <v>0.42499999999999999</v>
      </c>
      <c r="K173">
        <v>5.7</v>
      </c>
      <c r="L173">
        <v>0.33800000000000002</v>
      </c>
      <c r="M173">
        <v>3.1</v>
      </c>
      <c r="N173">
        <v>0.58699999999999997</v>
      </c>
      <c r="O173">
        <v>0.53500000000000003</v>
      </c>
      <c r="P173">
        <v>0.7</v>
      </c>
      <c r="Q173">
        <v>0.71399999999999997</v>
      </c>
      <c r="R173">
        <v>3</v>
      </c>
      <c r="S173">
        <v>2.2999999999999998</v>
      </c>
      <c r="T173">
        <v>1</v>
      </c>
      <c r="U173">
        <v>0.3</v>
      </c>
      <c r="V173">
        <v>1</v>
      </c>
      <c r="W173">
        <v>1.8</v>
      </c>
      <c r="X173">
        <v>9.9</v>
      </c>
      <c r="Y173">
        <v>6</v>
      </c>
      <c r="Z173">
        <v>-2</v>
      </c>
      <c r="AA173">
        <v>11.3</v>
      </c>
      <c r="AB173">
        <v>5.3999999999999999E-2</v>
      </c>
    </row>
    <row r="174" spans="1:28" x14ac:dyDescent="0.35">
      <c r="A174" s="1" t="s">
        <v>2</v>
      </c>
      <c r="B174" s="1" t="s">
        <v>598</v>
      </c>
      <c r="C174" s="1" t="s">
        <v>23</v>
      </c>
      <c r="D174" s="1" t="s">
        <v>20</v>
      </c>
      <c r="E174" s="4">
        <v>1.1000000000000001</v>
      </c>
      <c r="F174">
        <v>28</v>
      </c>
      <c r="G174">
        <v>81</v>
      </c>
      <c r="H174">
        <v>26.8</v>
      </c>
      <c r="I174">
        <v>8.4</v>
      </c>
      <c r="J174">
        <v>0.44800000000000001</v>
      </c>
      <c r="K174">
        <v>5</v>
      </c>
      <c r="L174">
        <v>0.41399999999999998</v>
      </c>
      <c r="M174">
        <v>3.5</v>
      </c>
      <c r="N174">
        <v>0.496</v>
      </c>
      <c r="O174">
        <v>0.56999999999999995</v>
      </c>
      <c r="P174">
        <v>0.7</v>
      </c>
      <c r="Q174">
        <v>0.89500000000000002</v>
      </c>
      <c r="R174">
        <v>2.4</v>
      </c>
      <c r="S174">
        <v>5.3</v>
      </c>
      <c r="T174">
        <v>0.9</v>
      </c>
      <c r="U174">
        <v>0.1</v>
      </c>
      <c r="V174">
        <v>1.1000000000000001</v>
      </c>
      <c r="W174">
        <v>0.8</v>
      </c>
      <c r="X174">
        <v>10.199999999999999</v>
      </c>
      <c r="Y174">
        <v>9</v>
      </c>
      <c r="Z174">
        <v>0.1</v>
      </c>
      <c r="AA174">
        <v>14.5</v>
      </c>
      <c r="AB174">
        <v>9.6000000000000002E-2</v>
      </c>
    </row>
    <row r="175" spans="1:28" x14ac:dyDescent="0.35">
      <c r="A175" s="1" t="s">
        <v>18</v>
      </c>
      <c r="B175" s="1" t="s">
        <v>597</v>
      </c>
      <c r="C175" s="1" t="s">
        <v>23</v>
      </c>
      <c r="D175" s="1" t="s">
        <v>28</v>
      </c>
      <c r="E175" s="4">
        <v>-0.1</v>
      </c>
      <c r="F175">
        <v>25</v>
      </c>
      <c r="G175">
        <v>13</v>
      </c>
      <c r="H175">
        <v>4.4000000000000004</v>
      </c>
      <c r="I175">
        <v>0.6</v>
      </c>
      <c r="J175">
        <v>0.25</v>
      </c>
      <c r="K175">
        <v>0.2</v>
      </c>
      <c r="L175">
        <v>0</v>
      </c>
      <c r="M175">
        <v>0.5</v>
      </c>
      <c r="N175">
        <v>0.33300000000000002</v>
      </c>
      <c r="O175">
        <v>0.25</v>
      </c>
      <c r="P175">
        <v>0.8</v>
      </c>
      <c r="Q175">
        <v>0.5</v>
      </c>
      <c r="R175">
        <v>0.9</v>
      </c>
      <c r="S175">
        <v>0.2</v>
      </c>
      <c r="T175">
        <v>0.2</v>
      </c>
      <c r="U175">
        <v>0.2</v>
      </c>
      <c r="V175">
        <v>0.5</v>
      </c>
      <c r="W175">
        <v>0.7</v>
      </c>
      <c r="X175">
        <v>0.7</v>
      </c>
      <c r="Y175">
        <v>0</v>
      </c>
      <c r="Z175">
        <v>-10.5</v>
      </c>
      <c r="AA175">
        <v>2.6</v>
      </c>
      <c r="AB175">
        <v>-6.6000000000000003E-2</v>
      </c>
    </row>
    <row r="176" spans="1:28" x14ac:dyDescent="0.35">
      <c r="A176" s="1" t="s">
        <v>26</v>
      </c>
      <c r="B176" s="1" t="s">
        <v>597</v>
      </c>
      <c r="C176" s="1" t="s">
        <v>23</v>
      </c>
      <c r="D176" s="1" t="s">
        <v>50</v>
      </c>
      <c r="E176" s="4">
        <v>-0.1</v>
      </c>
      <c r="F176">
        <v>21</v>
      </c>
      <c r="G176">
        <v>21</v>
      </c>
      <c r="H176">
        <v>5</v>
      </c>
      <c r="I176">
        <v>1.3</v>
      </c>
      <c r="J176">
        <v>0.33300000000000002</v>
      </c>
      <c r="K176">
        <v>0.4</v>
      </c>
      <c r="L176">
        <v>0</v>
      </c>
      <c r="M176">
        <v>0.9</v>
      </c>
      <c r="N176">
        <v>0.47399999999999998</v>
      </c>
      <c r="O176">
        <v>0.33300000000000002</v>
      </c>
      <c r="P176">
        <v>0.8</v>
      </c>
      <c r="Q176">
        <v>0.75</v>
      </c>
      <c r="R176">
        <v>1.7</v>
      </c>
      <c r="S176">
        <v>0.2</v>
      </c>
      <c r="T176">
        <v>0.2</v>
      </c>
      <c r="U176">
        <v>0</v>
      </c>
      <c r="V176">
        <v>0.3</v>
      </c>
      <c r="W176">
        <v>0.4</v>
      </c>
      <c r="X176">
        <v>1.4</v>
      </c>
      <c r="Y176">
        <v>1</v>
      </c>
      <c r="Z176">
        <v>-6.1</v>
      </c>
      <c r="AA176">
        <v>9.8000000000000007</v>
      </c>
      <c r="AB176">
        <v>3.5000000000000003E-2</v>
      </c>
    </row>
    <row r="177" spans="1:28" x14ac:dyDescent="0.35">
      <c r="A177" s="1" t="s">
        <v>26</v>
      </c>
      <c r="B177" s="1" t="s">
        <v>35</v>
      </c>
      <c r="C177" s="1" t="s">
        <v>23</v>
      </c>
      <c r="D177" s="1" t="s">
        <v>28</v>
      </c>
      <c r="E177" s="4">
        <v>0</v>
      </c>
      <c r="F177">
        <v>25</v>
      </c>
      <c r="G177">
        <v>15</v>
      </c>
      <c r="H177">
        <v>14.4</v>
      </c>
      <c r="I177">
        <v>3.6</v>
      </c>
      <c r="J177">
        <v>0.48099999999999998</v>
      </c>
      <c r="K177">
        <v>2.7</v>
      </c>
      <c r="L177">
        <v>0.36599999999999999</v>
      </c>
      <c r="M177">
        <v>0.9</v>
      </c>
      <c r="N177">
        <v>0.84599999999999997</v>
      </c>
      <c r="O177">
        <v>0.62</v>
      </c>
      <c r="P177">
        <v>0.8</v>
      </c>
      <c r="Q177">
        <v>0.75</v>
      </c>
      <c r="R177">
        <v>3.1</v>
      </c>
      <c r="S177">
        <v>0.3</v>
      </c>
      <c r="T177">
        <v>0.7</v>
      </c>
      <c r="U177">
        <v>0.7</v>
      </c>
      <c r="V177">
        <v>0.4</v>
      </c>
      <c r="W177">
        <v>1.4</v>
      </c>
      <c r="X177">
        <v>5.0999999999999996</v>
      </c>
      <c r="Y177">
        <v>0</v>
      </c>
      <c r="Z177">
        <v>-1.2</v>
      </c>
      <c r="AA177">
        <v>14</v>
      </c>
      <c r="AB177">
        <v>0.109</v>
      </c>
    </row>
    <row r="178" spans="1:28" x14ac:dyDescent="0.35">
      <c r="A178" s="1" t="s">
        <v>18</v>
      </c>
      <c r="B178" s="1" t="s">
        <v>598</v>
      </c>
      <c r="C178" s="1" t="s">
        <v>19</v>
      </c>
      <c r="D178" s="1" t="s">
        <v>50</v>
      </c>
      <c r="E178" s="4">
        <v>0.3</v>
      </c>
      <c r="F178">
        <v>33</v>
      </c>
      <c r="G178">
        <v>55</v>
      </c>
      <c r="H178">
        <v>10</v>
      </c>
      <c r="I178">
        <v>1.1000000000000001</v>
      </c>
      <c r="J178">
        <v>0.68899999999999995</v>
      </c>
      <c r="K178">
        <v>0.1</v>
      </c>
      <c r="L178">
        <v>0.4</v>
      </c>
      <c r="M178">
        <v>1</v>
      </c>
      <c r="N178">
        <v>0.71399999999999997</v>
      </c>
      <c r="O178">
        <v>0.70499999999999996</v>
      </c>
      <c r="P178">
        <v>0.8</v>
      </c>
      <c r="Q178">
        <v>0.65100000000000002</v>
      </c>
      <c r="R178">
        <v>2.1</v>
      </c>
      <c r="S178">
        <v>1</v>
      </c>
      <c r="T178">
        <v>0.3</v>
      </c>
      <c r="U178">
        <v>0.4</v>
      </c>
      <c r="V178">
        <v>0.3</v>
      </c>
      <c r="W178">
        <v>1.4</v>
      </c>
      <c r="X178">
        <v>2.1</v>
      </c>
      <c r="Y178">
        <v>10</v>
      </c>
      <c r="Z178">
        <v>0</v>
      </c>
      <c r="AA178">
        <v>12.9</v>
      </c>
      <c r="AB178">
        <v>0.14699999999999999</v>
      </c>
    </row>
    <row r="179" spans="1:28" x14ac:dyDescent="0.35">
      <c r="A179" s="1" t="s">
        <v>2</v>
      </c>
      <c r="B179" s="1" t="s">
        <v>598</v>
      </c>
      <c r="C179" s="1" t="s">
        <v>23</v>
      </c>
      <c r="D179" s="1" t="s">
        <v>50</v>
      </c>
      <c r="E179" s="4">
        <v>0.2</v>
      </c>
      <c r="F179">
        <v>24</v>
      </c>
      <c r="G179">
        <v>25</v>
      </c>
      <c r="H179">
        <v>10.1</v>
      </c>
      <c r="I179">
        <v>3.3</v>
      </c>
      <c r="J179">
        <v>0.41499999999999998</v>
      </c>
      <c r="K179">
        <v>2.1</v>
      </c>
      <c r="L179">
        <v>0.36499999999999999</v>
      </c>
      <c r="M179">
        <v>1.2</v>
      </c>
      <c r="N179">
        <v>0.5</v>
      </c>
      <c r="O179">
        <v>0.53</v>
      </c>
      <c r="P179">
        <v>0.8</v>
      </c>
      <c r="Q179">
        <v>1</v>
      </c>
      <c r="R179">
        <v>1.2</v>
      </c>
      <c r="S179">
        <v>1.4</v>
      </c>
      <c r="T179">
        <v>0.4</v>
      </c>
      <c r="U179">
        <v>0</v>
      </c>
      <c r="V179">
        <v>0.2</v>
      </c>
      <c r="W179">
        <v>0.9</v>
      </c>
      <c r="X179">
        <v>4.2</v>
      </c>
      <c r="Y179">
        <v>0</v>
      </c>
      <c r="Z179">
        <v>0.5</v>
      </c>
      <c r="AA179">
        <v>14.2</v>
      </c>
      <c r="AB179">
        <v>0.16</v>
      </c>
    </row>
    <row r="180" spans="1:28" x14ac:dyDescent="0.35">
      <c r="A180" s="1" t="s">
        <v>26</v>
      </c>
      <c r="B180" s="1" t="s">
        <v>598</v>
      </c>
      <c r="C180" s="1" t="s">
        <v>19</v>
      </c>
      <c r="D180" s="1" t="s">
        <v>28</v>
      </c>
      <c r="E180" s="4">
        <v>-0.1</v>
      </c>
      <c r="F180">
        <v>22</v>
      </c>
      <c r="G180">
        <v>9</v>
      </c>
      <c r="H180">
        <v>7.4</v>
      </c>
      <c r="I180">
        <v>2.1</v>
      </c>
      <c r="J180">
        <v>0.316</v>
      </c>
      <c r="K180">
        <v>0.8</v>
      </c>
      <c r="L180">
        <v>0</v>
      </c>
      <c r="M180">
        <v>1.3</v>
      </c>
      <c r="N180">
        <v>0.5</v>
      </c>
      <c r="O180">
        <v>0.316</v>
      </c>
      <c r="P180">
        <v>0.8</v>
      </c>
      <c r="Q180">
        <v>0.28599999999999998</v>
      </c>
      <c r="R180">
        <v>1.7</v>
      </c>
      <c r="S180">
        <v>0.1</v>
      </c>
      <c r="T180">
        <v>0.4</v>
      </c>
      <c r="U180">
        <v>0.2</v>
      </c>
      <c r="V180">
        <v>0.3</v>
      </c>
      <c r="W180">
        <v>0.7</v>
      </c>
      <c r="X180">
        <v>1.6</v>
      </c>
      <c r="Y180">
        <v>0</v>
      </c>
      <c r="Z180">
        <v>-9.8000000000000007</v>
      </c>
      <c r="AA180">
        <v>3.5</v>
      </c>
      <c r="AB180">
        <v>-9.1999999999999998E-2</v>
      </c>
    </row>
    <row r="181" spans="1:28" x14ac:dyDescent="0.35">
      <c r="A181" s="1" t="s">
        <v>26</v>
      </c>
      <c r="B181" s="1" t="s">
        <v>598</v>
      </c>
      <c r="C181" s="1" t="s">
        <v>23</v>
      </c>
      <c r="D181" s="1" t="s">
        <v>20</v>
      </c>
      <c r="E181" s="4">
        <v>0.2</v>
      </c>
      <c r="F181">
        <v>38</v>
      </c>
      <c r="G181">
        <v>32</v>
      </c>
      <c r="H181">
        <v>12.4</v>
      </c>
      <c r="I181">
        <v>3.8</v>
      </c>
      <c r="J181">
        <v>0.504</v>
      </c>
      <c r="K181">
        <v>2.5</v>
      </c>
      <c r="L181">
        <v>0.36699999999999999</v>
      </c>
      <c r="M181">
        <v>1.3</v>
      </c>
      <c r="N181">
        <v>0.76200000000000001</v>
      </c>
      <c r="O181">
        <v>0.624</v>
      </c>
      <c r="P181">
        <v>0.8</v>
      </c>
      <c r="Q181">
        <v>0.80800000000000005</v>
      </c>
      <c r="R181">
        <v>1.8</v>
      </c>
      <c r="S181">
        <v>0.6</v>
      </c>
      <c r="T181">
        <v>0.2</v>
      </c>
      <c r="U181">
        <v>0.1</v>
      </c>
      <c r="V181">
        <v>0.3</v>
      </c>
      <c r="W181">
        <v>1</v>
      </c>
      <c r="X181">
        <v>5.4</v>
      </c>
      <c r="Y181">
        <v>16</v>
      </c>
      <c r="Z181">
        <v>0.4</v>
      </c>
      <c r="AA181">
        <v>13.6</v>
      </c>
      <c r="AB181">
        <v>0.159</v>
      </c>
    </row>
    <row r="182" spans="1:28" x14ac:dyDescent="0.35">
      <c r="A182" s="1" t="s">
        <v>26</v>
      </c>
      <c r="B182" s="1" t="s">
        <v>598</v>
      </c>
      <c r="C182" s="1" t="s">
        <v>23</v>
      </c>
      <c r="D182" s="1" t="s">
        <v>20</v>
      </c>
      <c r="E182" s="4">
        <v>-0.1</v>
      </c>
      <c r="F182">
        <v>25</v>
      </c>
      <c r="G182">
        <v>33</v>
      </c>
      <c r="H182">
        <v>17.8</v>
      </c>
      <c r="I182">
        <v>2.8</v>
      </c>
      <c r="J182">
        <v>0.40400000000000003</v>
      </c>
      <c r="K182">
        <v>1.4</v>
      </c>
      <c r="L182">
        <v>0.27700000000000002</v>
      </c>
      <c r="M182">
        <v>1.4</v>
      </c>
      <c r="N182">
        <v>0.53200000000000003</v>
      </c>
      <c r="O182">
        <v>0.47299999999999998</v>
      </c>
      <c r="P182">
        <v>0.8</v>
      </c>
      <c r="Q182">
        <v>0.61499999999999999</v>
      </c>
      <c r="R182">
        <v>2</v>
      </c>
      <c r="S182">
        <v>0.7</v>
      </c>
      <c r="T182">
        <v>1</v>
      </c>
      <c r="U182">
        <v>0.3</v>
      </c>
      <c r="V182">
        <v>0.4</v>
      </c>
      <c r="W182">
        <v>1.3</v>
      </c>
      <c r="X182">
        <v>3.2</v>
      </c>
      <c r="Y182">
        <v>5</v>
      </c>
      <c r="Z182">
        <v>-2.7</v>
      </c>
      <c r="AA182">
        <v>7.4</v>
      </c>
      <c r="AB182">
        <v>5.3999999999999999E-2</v>
      </c>
    </row>
    <row r="183" spans="1:28" x14ac:dyDescent="0.35">
      <c r="A183" s="1" t="s">
        <v>26</v>
      </c>
      <c r="B183" s="1" t="s">
        <v>598</v>
      </c>
      <c r="C183" s="1" t="s">
        <v>19</v>
      </c>
      <c r="D183" s="1" t="s">
        <v>50</v>
      </c>
      <c r="E183" s="4">
        <v>0.1</v>
      </c>
      <c r="F183">
        <v>22</v>
      </c>
      <c r="G183">
        <v>56</v>
      </c>
      <c r="H183">
        <v>13.6</v>
      </c>
      <c r="I183">
        <v>3.2</v>
      </c>
      <c r="J183">
        <v>0.45800000000000002</v>
      </c>
      <c r="K183">
        <v>1.8</v>
      </c>
      <c r="L183">
        <v>0.33</v>
      </c>
      <c r="M183">
        <v>1.4</v>
      </c>
      <c r="N183">
        <v>0.63200000000000001</v>
      </c>
      <c r="O183">
        <v>0.55300000000000005</v>
      </c>
      <c r="P183">
        <v>0.8</v>
      </c>
      <c r="Q183">
        <v>0.69</v>
      </c>
      <c r="R183">
        <v>3.1</v>
      </c>
      <c r="S183">
        <v>1.4</v>
      </c>
      <c r="T183">
        <v>0.4</v>
      </c>
      <c r="U183">
        <v>0.2</v>
      </c>
      <c r="V183">
        <v>0.8</v>
      </c>
      <c r="W183">
        <v>1.6</v>
      </c>
      <c r="X183">
        <v>4.0999999999999996</v>
      </c>
      <c r="Y183">
        <v>1</v>
      </c>
      <c r="Z183">
        <v>-1.7</v>
      </c>
      <c r="AA183">
        <v>11.7</v>
      </c>
      <c r="AB183">
        <v>0.11</v>
      </c>
    </row>
    <row r="184" spans="1:28" x14ac:dyDescent="0.35">
      <c r="A184" s="1" t="s">
        <v>2</v>
      </c>
      <c r="B184" s="1" t="s">
        <v>597</v>
      </c>
      <c r="C184" s="1" t="s">
        <v>23</v>
      </c>
      <c r="D184" s="1" t="s">
        <v>20</v>
      </c>
      <c r="E184" s="4">
        <v>0.4</v>
      </c>
      <c r="F184">
        <v>27</v>
      </c>
      <c r="G184">
        <v>35</v>
      </c>
      <c r="H184">
        <v>22.2</v>
      </c>
      <c r="I184">
        <v>6.9</v>
      </c>
      <c r="J184">
        <v>0.36599999999999999</v>
      </c>
      <c r="K184">
        <v>5.6</v>
      </c>
      <c r="L184">
        <v>0.34399999999999997</v>
      </c>
      <c r="M184">
        <v>1.4</v>
      </c>
      <c r="N184">
        <v>0.45800000000000002</v>
      </c>
      <c r="O184">
        <v>0.504</v>
      </c>
      <c r="P184">
        <v>0.8</v>
      </c>
      <c r="Q184">
        <v>0.81499999999999995</v>
      </c>
      <c r="R184">
        <v>3.4</v>
      </c>
      <c r="S184">
        <v>3.3</v>
      </c>
      <c r="T184">
        <v>1.3</v>
      </c>
      <c r="U184">
        <v>0.5</v>
      </c>
      <c r="V184">
        <v>1.2</v>
      </c>
      <c r="W184">
        <v>1.6</v>
      </c>
      <c r="X184">
        <v>7.6</v>
      </c>
      <c r="Y184">
        <v>7</v>
      </c>
      <c r="Z184">
        <v>0.2</v>
      </c>
      <c r="AA184">
        <v>12.2</v>
      </c>
      <c r="AB184">
        <v>7.4999999999999997E-2</v>
      </c>
    </row>
    <row r="185" spans="1:28" x14ac:dyDescent="0.35">
      <c r="A185" s="1" t="s">
        <v>2</v>
      </c>
      <c r="B185" s="1" t="s">
        <v>598</v>
      </c>
      <c r="C185" s="1" t="s">
        <v>23</v>
      </c>
      <c r="D185" s="1" t="s">
        <v>28</v>
      </c>
      <c r="E185" s="4">
        <v>-0.1</v>
      </c>
      <c r="F185">
        <v>32</v>
      </c>
      <c r="G185">
        <v>25</v>
      </c>
      <c r="H185">
        <v>5.8</v>
      </c>
      <c r="I185">
        <v>3</v>
      </c>
      <c r="J185">
        <v>0.36499999999999999</v>
      </c>
      <c r="K185">
        <v>1.5</v>
      </c>
      <c r="L185">
        <v>0.24299999999999999</v>
      </c>
      <c r="M185">
        <v>1.5</v>
      </c>
      <c r="N185">
        <v>0.48599999999999999</v>
      </c>
      <c r="O185">
        <v>0.42599999999999999</v>
      </c>
      <c r="P185">
        <v>0.8</v>
      </c>
      <c r="Q185">
        <v>0.95199999999999996</v>
      </c>
      <c r="R185">
        <v>0.8</v>
      </c>
      <c r="S185">
        <v>0.4</v>
      </c>
      <c r="T185">
        <v>0.2</v>
      </c>
      <c r="U185">
        <v>0</v>
      </c>
      <c r="V185">
        <v>0.4</v>
      </c>
      <c r="W185">
        <v>0.2</v>
      </c>
      <c r="X185">
        <v>3.3</v>
      </c>
      <c r="Y185">
        <v>7</v>
      </c>
      <c r="Z185">
        <v>-5.0999999999999996</v>
      </c>
      <c r="AA185">
        <v>11.9</v>
      </c>
      <c r="AB185">
        <v>-3.1E-2</v>
      </c>
    </row>
    <row r="186" spans="1:28" x14ac:dyDescent="0.35">
      <c r="A186" s="1" t="s">
        <v>2</v>
      </c>
      <c r="B186" s="1" t="s">
        <v>597</v>
      </c>
      <c r="C186" s="1" t="s">
        <v>19</v>
      </c>
      <c r="D186" s="1" t="s">
        <v>50</v>
      </c>
      <c r="E186" s="4">
        <v>0.8</v>
      </c>
      <c r="F186">
        <v>24</v>
      </c>
      <c r="G186">
        <v>57</v>
      </c>
      <c r="H186">
        <v>20.2</v>
      </c>
      <c r="I186">
        <v>5.0999999999999996</v>
      </c>
      <c r="J186">
        <v>0.497</v>
      </c>
      <c r="K186">
        <v>3.6</v>
      </c>
      <c r="L186">
        <v>0.437</v>
      </c>
      <c r="M186">
        <v>1.5</v>
      </c>
      <c r="N186">
        <v>0.64</v>
      </c>
      <c r="O186">
        <v>0.65100000000000002</v>
      </c>
      <c r="P186">
        <v>0.8</v>
      </c>
      <c r="Q186">
        <v>0.71099999999999997</v>
      </c>
      <c r="R186">
        <v>2.7</v>
      </c>
      <c r="S186">
        <v>2.6</v>
      </c>
      <c r="T186">
        <v>0.6</v>
      </c>
      <c r="U186">
        <v>0.5</v>
      </c>
      <c r="V186">
        <v>0.9</v>
      </c>
      <c r="W186">
        <v>1.8</v>
      </c>
      <c r="X186">
        <v>7.2</v>
      </c>
      <c r="Y186">
        <v>3</v>
      </c>
      <c r="Z186">
        <v>0.7</v>
      </c>
      <c r="AA186">
        <v>12.7</v>
      </c>
      <c r="AB186">
        <v>0.11</v>
      </c>
    </row>
    <row r="187" spans="1:28" x14ac:dyDescent="0.35">
      <c r="A187" s="1" t="s">
        <v>26</v>
      </c>
      <c r="B187" s="1" t="s">
        <v>598</v>
      </c>
      <c r="C187" s="1" t="s">
        <v>23</v>
      </c>
      <c r="D187" s="1" t="s">
        <v>20</v>
      </c>
      <c r="E187" s="4">
        <v>0.1</v>
      </c>
      <c r="F187">
        <v>24</v>
      </c>
      <c r="G187">
        <v>57</v>
      </c>
      <c r="H187">
        <v>10.7</v>
      </c>
      <c r="I187">
        <v>2.5</v>
      </c>
      <c r="J187">
        <v>0.496</v>
      </c>
      <c r="K187">
        <v>0.9</v>
      </c>
      <c r="L187">
        <v>0.32700000000000001</v>
      </c>
      <c r="M187">
        <v>1.6</v>
      </c>
      <c r="N187">
        <v>0.59599999999999997</v>
      </c>
      <c r="O187">
        <v>0.55700000000000005</v>
      </c>
      <c r="P187">
        <v>0.8</v>
      </c>
      <c r="Q187">
        <v>0.61399999999999999</v>
      </c>
      <c r="R187">
        <v>1.6</v>
      </c>
      <c r="S187">
        <v>0.4</v>
      </c>
      <c r="T187">
        <v>0.4</v>
      </c>
      <c r="U187">
        <v>0.7</v>
      </c>
      <c r="V187">
        <v>0.2</v>
      </c>
      <c r="W187">
        <v>1.1000000000000001</v>
      </c>
      <c r="X187">
        <v>3.2</v>
      </c>
      <c r="Y187">
        <v>4</v>
      </c>
      <c r="Z187">
        <v>-1.3</v>
      </c>
      <c r="AA187">
        <v>12</v>
      </c>
      <c r="AB187">
        <v>9.7000000000000003E-2</v>
      </c>
    </row>
    <row r="188" spans="1:28" x14ac:dyDescent="0.35">
      <c r="A188" s="1" t="s">
        <v>2</v>
      </c>
      <c r="B188" s="1" t="s">
        <v>598</v>
      </c>
      <c r="C188" s="1" t="s">
        <v>23</v>
      </c>
      <c r="D188" s="1" t="s">
        <v>50</v>
      </c>
      <c r="E188" s="4">
        <v>1.4</v>
      </c>
      <c r="F188">
        <v>25</v>
      </c>
      <c r="G188">
        <v>74</v>
      </c>
      <c r="H188">
        <v>21.7</v>
      </c>
      <c r="I188">
        <v>7.9</v>
      </c>
      <c r="J188">
        <v>0.44</v>
      </c>
      <c r="K188">
        <v>6.3</v>
      </c>
      <c r="L188">
        <v>0.41199999999999998</v>
      </c>
      <c r="M188">
        <v>1.6</v>
      </c>
      <c r="N188">
        <v>0.54900000000000004</v>
      </c>
      <c r="O188">
        <v>0.60399999999999998</v>
      </c>
      <c r="P188">
        <v>0.8</v>
      </c>
      <c r="Q188">
        <v>0.82099999999999995</v>
      </c>
      <c r="R188">
        <v>2.6</v>
      </c>
      <c r="S188">
        <v>1.6</v>
      </c>
      <c r="T188">
        <v>0.6</v>
      </c>
      <c r="U188">
        <v>0.1</v>
      </c>
      <c r="V188">
        <v>0.5</v>
      </c>
      <c r="W188">
        <v>1.5</v>
      </c>
      <c r="X188">
        <v>10.199999999999999</v>
      </c>
      <c r="Y188">
        <v>4</v>
      </c>
      <c r="Z188">
        <v>1.3</v>
      </c>
      <c r="AA188">
        <v>14</v>
      </c>
      <c r="AB188">
        <v>0.153</v>
      </c>
    </row>
    <row r="189" spans="1:28" x14ac:dyDescent="0.35">
      <c r="A189" s="1" t="s">
        <v>18</v>
      </c>
      <c r="B189" s="1" t="s">
        <v>597</v>
      </c>
      <c r="C189" s="1" t="s">
        <v>19</v>
      </c>
      <c r="D189" s="1" t="s">
        <v>20</v>
      </c>
      <c r="E189" s="4">
        <v>-0.2</v>
      </c>
      <c r="F189">
        <v>33</v>
      </c>
      <c r="G189">
        <v>40</v>
      </c>
      <c r="H189">
        <v>8.1999999999999993</v>
      </c>
      <c r="I189">
        <v>1.8</v>
      </c>
      <c r="J189">
        <v>0.437</v>
      </c>
      <c r="K189">
        <v>0.1</v>
      </c>
      <c r="L189">
        <v>0</v>
      </c>
      <c r="M189">
        <v>1.7</v>
      </c>
      <c r="N189">
        <v>0.45600000000000002</v>
      </c>
      <c r="O189">
        <v>0.437</v>
      </c>
      <c r="P189">
        <v>0.8</v>
      </c>
      <c r="Q189">
        <v>0.23300000000000001</v>
      </c>
      <c r="R189">
        <v>3.4</v>
      </c>
      <c r="S189">
        <v>0.6</v>
      </c>
      <c r="T189">
        <v>0.1</v>
      </c>
      <c r="U189">
        <v>0.3</v>
      </c>
      <c r="V189">
        <v>0.4</v>
      </c>
      <c r="W189">
        <v>0.9</v>
      </c>
      <c r="X189">
        <v>1.7</v>
      </c>
      <c r="Y189">
        <v>13</v>
      </c>
      <c r="Z189">
        <v>-4.5999999999999996</v>
      </c>
      <c r="AA189">
        <v>9.1</v>
      </c>
      <c r="AB189">
        <v>5.7000000000000002E-2</v>
      </c>
    </row>
    <row r="190" spans="1:28" x14ac:dyDescent="0.35">
      <c r="A190" s="1" t="s">
        <v>18</v>
      </c>
      <c r="B190" s="1" t="s">
        <v>35</v>
      </c>
      <c r="C190" s="1" t="s">
        <v>23</v>
      </c>
      <c r="D190" s="1" t="s">
        <v>20</v>
      </c>
      <c r="E190" s="4">
        <v>0.1</v>
      </c>
      <c r="F190">
        <v>26</v>
      </c>
      <c r="G190">
        <v>32</v>
      </c>
      <c r="H190">
        <v>12.9</v>
      </c>
      <c r="I190">
        <v>3.5</v>
      </c>
      <c r="J190">
        <v>0.46400000000000002</v>
      </c>
      <c r="K190">
        <v>1.7</v>
      </c>
      <c r="L190">
        <v>0.27800000000000002</v>
      </c>
      <c r="M190">
        <v>1.8</v>
      </c>
      <c r="N190">
        <v>0.63800000000000001</v>
      </c>
      <c r="O190">
        <v>0.53100000000000003</v>
      </c>
      <c r="P190">
        <v>0.8</v>
      </c>
      <c r="Q190">
        <v>0.70399999999999996</v>
      </c>
      <c r="R190">
        <v>4.5</v>
      </c>
      <c r="S190">
        <v>0.6</v>
      </c>
      <c r="T190">
        <v>0.3</v>
      </c>
      <c r="U190">
        <v>1</v>
      </c>
      <c r="V190">
        <v>0.6</v>
      </c>
      <c r="W190">
        <v>1.8</v>
      </c>
      <c r="X190">
        <v>4.3</v>
      </c>
      <c r="Y190">
        <v>6</v>
      </c>
      <c r="Z190">
        <v>-0.9</v>
      </c>
      <c r="AA190">
        <v>13.9</v>
      </c>
      <c r="AB190">
        <v>0.11700000000000001</v>
      </c>
    </row>
    <row r="191" spans="1:28" x14ac:dyDescent="0.35">
      <c r="A191" s="1" t="s">
        <v>26</v>
      </c>
      <c r="B191" s="1" t="s">
        <v>35</v>
      </c>
      <c r="C191" s="1" t="s">
        <v>23</v>
      </c>
      <c r="D191" s="1" t="s">
        <v>20</v>
      </c>
      <c r="E191" s="4">
        <v>0.1</v>
      </c>
      <c r="F191">
        <v>23</v>
      </c>
      <c r="G191">
        <v>33</v>
      </c>
      <c r="H191">
        <v>12.4</v>
      </c>
      <c r="I191">
        <v>3.8</v>
      </c>
      <c r="J191">
        <v>0.45600000000000002</v>
      </c>
      <c r="K191">
        <v>1.8</v>
      </c>
      <c r="L191">
        <v>0.311</v>
      </c>
      <c r="M191">
        <v>1.9</v>
      </c>
      <c r="N191">
        <v>0.59399999999999997</v>
      </c>
      <c r="O191">
        <v>0.53200000000000003</v>
      </c>
      <c r="P191">
        <v>0.8</v>
      </c>
      <c r="Q191">
        <v>0.76900000000000002</v>
      </c>
      <c r="R191">
        <v>2.5</v>
      </c>
      <c r="S191">
        <v>1.1000000000000001</v>
      </c>
      <c r="T191">
        <v>0.4</v>
      </c>
      <c r="U191">
        <v>0.3</v>
      </c>
      <c r="V191">
        <v>0.7</v>
      </c>
      <c r="W191">
        <v>0.6</v>
      </c>
      <c r="X191">
        <v>4.5999999999999996</v>
      </c>
      <c r="Y191">
        <v>2</v>
      </c>
      <c r="Z191">
        <v>-1.5</v>
      </c>
      <c r="AA191">
        <v>11.9</v>
      </c>
      <c r="AB191">
        <v>6.2E-2</v>
      </c>
    </row>
    <row r="192" spans="1:28" x14ac:dyDescent="0.35">
      <c r="A192" s="1" t="s">
        <v>2</v>
      </c>
      <c r="B192" s="1" t="s">
        <v>597</v>
      </c>
      <c r="C192" s="1" t="s">
        <v>23</v>
      </c>
      <c r="D192" s="1" t="s">
        <v>20</v>
      </c>
      <c r="E192" s="4">
        <v>0.4</v>
      </c>
      <c r="F192">
        <v>24</v>
      </c>
      <c r="G192">
        <v>55</v>
      </c>
      <c r="H192">
        <v>19.100000000000001</v>
      </c>
      <c r="I192">
        <v>4.9000000000000004</v>
      </c>
      <c r="J192">
        <v>0.46400000000000002</v>
      </c>
      <c r="K192">
        <v>2.7</v>
      </c>
      <c r="L192">
        <v>0.371</v>
      </c>
      <c r="M192">
        <v>2.1</v>
      </c>
      <c r="N192">
        <v>0.58599999999999997</v>
      </c>
      <c r="O192">
        <v>0.56899999999999995</v>
      </c>
      <c r="P192">
        <v>0.8</v>
      </c>
      <c r="Q192">
        <v>0.71699999999999997</v>
      </c>
      <c r="R192">
        <v>2.4</v>
      </c>
      <c r="S192">
        <v>1.2</v>
      </c>
      <c r="T192">
        <v>0.6</v>
      </c>
      <c r="U192">
        <v>0.3</v>
      </c>
      <c r="V192">
        <v>0.4</v>
      </c>
      <c r="W192">
        <v>1.9</v>
      </c>
      <c r="X192">
        <v>6.1</v>
      </c>
      <c r="Y192">
        <v>4</v>
      </c>
      <c r="Z192">
        <v>-0.5</v>
      </c>
      <c r="AA192">
        <v>10.7</v>
      </c>
      <c r="AB192">
        <v>0.115</v>
      </c>
    </row>
    <row r="193" spans="1:28" x14ac:dyDescent="0.35">
      <c r="A193" s="1" t="s">
        <v>26</v>
      </c>
      <c r="B193" s="1" t="s">
        <v>598</v>
      </c>
      <c r="C193" s="1" t="s">
        <v>23</v>
      </c>
      <c r="D193" s="1" t="s">
        <v>20</v>
      </c>
      <c r="E193" s="4">
        <v>-0.3</v>
      </c>
      <c r="F193">
        <v>24</v>
      </c>
      <c r="G193">
        <v>69</v>
      </c>
      <c r="H193">
        <v>15.1</v>
      </c>
      <c r="I193">
        <v>4</v>
      </c>
      <c r="J193">
        <v>0.41899999999999998</v>
      </c>
      <c r="K193">
        <v>1.7</v>
      </c>
      <c r="L193">
        <v>0.22500000000000001</v>
      </c>
      <c r="M193">
        <v>2.2999999999999998</v>
      </c>
      <c r="N193">
        <v>0.56599999999999995</v>
      </c>
      <c r="O193">
        <v>0.46800000000000003</v>
      </c>
      <c r="P193">
        <v>0.8</v>
      </c>
      <c r="Q193">
        <v>0.45600000000000002</v>
      </c>
      <c r="R193">
        <v>2.6</v>
      </c>
      <c r="S193">
        <v>1</v>
      </c>
      <c r="T193">
        <v>0.5</v>
      </c>
      <c r="U193">
        <v>0.2</v>
      </c>
      <c r="V193">
        <v>0.6</v>
      </c>
      <c r="W193">
        <v>1</v>
      </c>
      <c r="X193">
        <v>4.2</v>
      </c>
      <c r="Y193">
        <v>1</v>
      </c>
      <c r="Z193">
        <v>-3</v>
      </c>
      <c r="AA193">
        <v>9.1</v>
      </c>
      <c r="AB193">
        <v>3.3000000000000002E-2</v>
      </c>
    </row>
    <row r="194" spans="1:28" x14ac:dyDescent="0.35">
      <c r="A194" s="1" t="s">
        <v>2</v>
      </c>
      <c r="B194" s="1" t="s">
        <v>597</v>
      </c>
      <c r="C194" s="1" t="s">
        <v>23</v>
      </c>
      <c r="D194" s="1" t="s">
        <v>50</v>
      </c>
      <c r="E194" s="4">
        <v>0</v>
      </c>
      <c r="F194">
        <v>32</v>
      </c>
      <c r="G194">
        <v>41</v>
      </c>
      <c r="H194">
        <v>14.7</v>
      </c>
      <c r="I194">
        <v>4.3</v>
      </c>
      <c r="J194">
        <v>0.46899999999999997</v>
      </c>
      <c r="K194">
        <v>2</v>
      </c>
      <c r="L194">
        <v>0.32100000000000001</v>
      </c>
      <c r="M194">
        <v>2.2999999999999998</v>
      </c>
      <c r="N194">
        <v>0.59399999999999997</v>
      </c>
      <c r="O194">
        <v>0.54200000000000004</v>
      </c>
      <c r="P194">
        <v>0.8</v>
      </c>
      <c r="Q194">
        <v>0.77400000000000002</v>
      </c>
      <c r="R194">
        <v>2.7</v>
      </c>
      <c r="S194">
        <v>1.7</v>
      </c>
      <c r="T194">
        <v>0.2</v>
      </c>
      <c r="U194">
        <v>0.3</v>
      </c>
      <c r="V194">
        <v>0.6</v>
      </c>
      <c r="W194">
        <v>1.1000000000000001</v>
      </c>
      <c r="X194">
        <v>5.3</v>
      </c>
      <c r="Y194">
        <v>9</v>
      </c>
      <c r="Z194">
        <v>-2.2999999999999998</v>
      </c>
      <c r="AA194">
        <v>12.1</v>
      </c>
      <c r="AB194">
        <v>9.2999999999999999E-2</v>
      </c>
    </row>
    <row r="195" spans="1:28" x14ac:dyDescent="0.35">
      <c r="A195" s="1" t="s">
        <v>2</v>
      </c>
      <c r="B195" s="1" t="s">
        <v>598</v>
      </c>
      <c r="C195" s="1" t="s">
        <v>23</v>
      </c>
      <c r="D195" s="1" t="s">
        <v>20</v>
      </c>
      <c r="E195" s="4">
        <v>-1.4</v>
      </c>
      <c r="F195">
        <v>20</v>
      </c>
      <c r="G195">
        <v>50</v>
      </c>
      <c r="H195">
        <v>21.2</v>
      </c>
      <c r="I195">
        <v>5.0999999999999996</v>
      </c>
      <c r="J195">
        <v>0.32300000000000001</v>
      </c>
      <c r="K195">
        <v>2.7</v>
      </c>
      <c r="L195">
        <v>0.25900000000000001</v>
      </c>
      <c r="M195">
        <v>2.4</v>
      </c>
      <c r="N195">
        <v>0.39300000000000002</v>
      </c>
      <c r="O195">
        <v>0.39100000000000001</v>
      </c>
      <c r="P195">
        <v>0.8</v>
      </c>
      <c r="Q195">
        <v>0.72499999999999998</v>
      </c>
      <c r="R195">
        <v>2.2999999999999998</v>
      </c>
      <c r="S195">
        <v>1.2</v>
      </c>
      <c r="T195">
        <v>0.5</v>
      </c>
      <c r="U195">
        <v>0.3</v>
      </c>
      <c r="V195">
        <v>0.9</v>
      </c>
      <c r="W195">
        <v>1.9</v>
      </c>
      <c r="X195">
        <v>4.5999999999999996</v>
      </c>
      <c r="Y195">
        <v>0</v>
      </c>
      <c r="Z195">
        <v>-7.3</v>
      </c>
      <c r="AA195">
        <v>3.7</v>
      </c>
      <c r="AB195">
        <v>-5.2999999999999999E-2</v>
      </c>
    </row>
    <row r="196" spans="1:28" x14ac:dyDescent="0.35">
      <c r="A196" s="1" t="s">
        <v>2</v>
      </c>
      <c r="B196" s="1" t="s">
        <v>598</v>
      </c>
      <c r="C196" s="1" t="s">
        <v>23</v>
      </c>
      <c r="D196" s="1" t="s">
        <v>28</v>
      </c>
      <c r="E196" s="4">
        <v>-0.1</v>
      </c>
      <c r="F196">
        <v>23</v>
      </c>
      <c r="G196">
        <v>64</v>
      </c>
      <c r="H196">
        <v>19.8</v>
      </c>
      <c r="I196">
        <v>7.4</v>
      </c>
      <c r="J196">
        <v>0.42899999999999999</v>
      </c>
      <c r="K196">
        <v>4.9000000000000004</v>
      </c>
      <c r="L196">
        <v>0.376</v>
      </c>
      <c r="M196">
        <v>2.5</v>
      </c>
      <c r="N196">
        <v>0.53400000000000003</v>
      </c>
      <c r="O196">
        <v>0.55400000000000005</v>
      </c>
      <c r="P196">
        <v>0.8</v>
      </c>
      <c r="Q196">
        <v>0.84899999999999998</v>
      </c>
      <c r="R196">
        <v>2.9</v>
      </c>
      <c r="S196">
        <v>1.1000000000000001</v>
      </c>
      <c r="T196">
        <v>0.6</v>
      </c>
      <c r="U196">
        <v>0.1</v>
      </c>
      <c r="V196">
        <v>0.6</v>
      </c>
      <c r="W196">
        <v>2</v>
      </c>
      <c r="X196">
        <v>8.9</v>
      </c>
      <c r="Y196">
        <v>2</v>
      </c>
      <c r="Z196">
        <v>-2.2999999999999998</v>
      </c>
      <c r="AA196">
        <v>11.8</v>
      </c>
      <c r="AB196">
        <v>0.06</v>
      </c>
    </row>
    <row r="197" spans="1:28" x14ac:dyDescent="0.35">
      <c r="A197" s="1" t="s">
        <v>18</v>
      </c>
      <c r="B197" s="1" t="s">
        <v>35</v>
      </c>
      <c r="C197" s="1" t="s">
        <v>19</v>
      </c>
      <c r="D197" s="1" t="s">
        <v>20</v>
      </c>
      <c r="E197" s="4">
        <v>0.6</v>
      </c>
      <c r="F197">
        <v>24</v>
      </c>
      <c r="G197">
        <v>40</v>
      </c>
      <c r="H197">
        <v>11.7</v>
      </c>
      <c r="I197">
        <v>2.7</v>
      </c>
      <c r="J197">
        <v>0.79800000000000004</v>
      </c>
      <c r="K197">
        <v>0.1</v>
      </c>
      <c r="L197">
        <v>0.2</v>
      </c>
      <c r="M197">
        <v>2.6</v>
      </c>
      <c r="N197">
        <v>0.82699999999999996</v>
      </c>
      <c r="O197">
        <v>0.80300000000000005</v>
      </c>
      <c r="P197">
        <v>0.8</v>
      </c>
      <c r="Q197">
        <v>0.71899999999999997</v>
      </c>
      <c r="R197">
        <v>3.1</v>
      </c>
      <c r="S197">
        <v>0.6</v>
      </c>
      <c r="T197">
        <v>0.4</v>
      </c>
      <c r="U197">
        <v>0.6</v>
      </c>
      <c r="V197">
        <v>0.5</v>
      </c>
      <c r="W197">
        <v>1.3</v>
      </c>
      <c r="X197">
        <v>5</v>
      </c>
      <c r="Y197">
        <v>3</v>
      </c>
      <c r="Z197">
        <v>2.9</v>
      </c>
      <c r="AA197">
        <v>20.2</v>
      </c>
      <c r="AB197">
        <v>0.216</v>
      </c>
    </row>
    <row r="198" spans="1:28" x14ac:dyDescent="0.35">
      <c r="A198" s="1" t="s">
        <v>2</v>
      </c>
      <c r="B198" s="1" t="s">
        <v>597</v>
      </c>
      <c r="C198" s="1" t="s">
        <v>23</v>
      </c>
      <c r="D198" s="1" t="s">
        <v>20</v>
      </c>
      <c r="E198" s="4">
        <v>0.5</v>
      </c>
      <c r="F198">
        <v>30</v>
      </c>
      <c r="G198">
        <v>72</v>
      </c>
      <c r="H198">
        <v>15.1</v>
      </c>
      <c r="I198">
        <v>6.2</v>
      </c>
      <c r="J198">
        <v>0.40100000000000002</v>
      </c>
      <c r="K198">
        <v>3.6</v>
      </c>
      <c r="L198">
        <v>0.36299999999999999</v>
      </c>
      <c r="M198">
        <v>2.6</v>
      </c>
      <c r="N198">
        <v>0.45300000000000001</v>
      </c>
      <c r="O198">
        <v>0.50600000000000001</v>
      </c>
      <c r="P198">
        <v>0.8</v>
      </c>
      <c r="Q198">
        <v>0.90700000000000003</v>
      </c>
      <c r="R198">
        <v>1.4</v>
      </c>
      <c r="S198">
        <v>2.8</v>
      </c>
      <c r="T198">
        <v>0.5</v>
      </c>
      <c r="U198">
        <v>0.2</v>
      </c>
      <c r="V198">
        <v>0.7</v>
      </c>
      <c r="W198">
        <v>1.5</v>
      </c>
      <c r="X198">
        <v>6.9</v>
      </c>
      <c r="Y198">
        <v>9</v>
      </c>
      <c r="Z198">
        <v>-0.2</v>
      </c>
      <c r="AA198">
        <v>13.8</v>
      </c>
      <c r="AB198">
        <v>9.9000000000000005E-2</v>
      </c>
    </row>
    <row r="199" spans="1:28" x14ac:dyDescent="0.35">
      <c r="A199" s="1" t="s">
        <v>2</v>
      </c>
      <c r="B199" s="1" t="s">
        <v>597</v>
      </c>
      <c r="C199" s="1" t="s">
        <v>23</v>
      </c>
      <c r="D199" s="1" t="s">
        <v>50</v>
      </c>
      <c r="E199" s="4">
        <v>0.3</v>
      </c>
      <c r="F199">
        <v>22</v>
      </c>
      <c r="G199">
        <v>56</v>
      </c>
      <c r="H199">
        <v>14.6</v>
      </c>
      <c r="I199">
        <v>4.8</v>
      </c>
      <c r="J199">
        <v>0.48699999999999999</v>
      </c>
      <c r="K199">
        <v>2.1</v>
      </c>
      <c r="L199">
        <v>0.40799999999999997</v>
      </c>
      <c r="M199">
        <v>2.7</v>
      </c>
      <c r="N199">
        <v>0.55000000000000004</v>
      </c>
      <c r="O199">
        <v>0.57699999999999996</v>
      </c>
      <c r="P199">
        <v>0.8</v>
      </c>
      <c r="Q199">
        <v>0.8</v>
      </c>
      <c r="R199">
        <v>1.9</v>
      </c>
      <c r="S199">
        <v>1.9</v>
      </c>
      <c r="T199">
        <v>0.8</v>
      </c>
      <c r="U199">
        <v>0.3</v>
      </c>
      <c r="V199">
        <v>0.9</v>
      </c>
      <c r="W199">
        <v>1.6</v>
      </c>
      <c r="X199">
        <v>6.2</v>
      </c>
      <c r="Y199">
        <v>2</v>
      </c>
      <c r="Z199">
        <v>-0.5</v>
      </c>
      <c r="AA199">
        <v>14</v>
      </c>
      <c r="AB199">
        <v>0.10100000000000001</v>
      </c>
    </row>
    <row r="200" spans="1:28" x14ac:dyDescent="0.35">
      <c r="A200" s="1" t="s">
        <v>2</v>
      </c>
      <c r="B200" s="1" t="s">
        <v>598</v>
      </c>
      <c r="C200" s="1" t="s">
        <v>23</v>
      </c>
      <c r="D200" s="1" t="s">
        <v>50</v>
      </c>
      <c r="E200" s="4">
        <v>-0.2</v>
      </c>
      <c r="F200">
        <v>24</v>
      </c>
      <c r="G200">
        <v>44</v>
      </c>
      <c r="H200">
        <v>15</v>
      </c>
      <c r="I200">
        <v>5.6</v>
      </c>
      <c r="J200">
        <v>0.45600000000000002</v>
      </c>
      <c r="K200">
        <v>2.9</v>
      </c>
      <c r="L200">
        <v>0.39500000000000002</v>
      </c>
      <c r="M200">
        <v>2.7</v>
      </c>
      <c r="N200">
        <v>0.52100000000000002</v>
      </c>
      <c r="O200">
        <v>0.55800000000000005</v>
      </c>
      <c r="P200">
        <v>0.8</v>
      </c>
      <c r="Q200">
        <v>0.8</v>
      </c>
      <c r="R200">
        <v>1.4</v>
      </c>
      <c r="S200">
        <v>0.9</v>
      </c>
      <c r="T200">
        <v>0.5</v>
      </c>
      <c r="U200">
        <v>0.1</v>
      </c>
      <c r="V200">
        <v>0.7</v>
      </c>
      <c r="W200">
        <v>0.9</v>
      </c>
      <c r="X200">
        <v>6.9</v>
      </c>
      <c r="Y200">
        <v>0</v>
      </c>
      <c r="Z200">
        <v>-3.2</v>
      </c>
      <c r="AA200">
        <v>11.7</v>
      </c>
      <c r="AB200">
        <v>2.9000000000000001E-2</v>
      </c>
    </row>
    <row r="201" spans="1:28" x14ac:dyDescent="0.35">
      <c r="A201" s="1" t="s">
        <v>26</v>
      </c>
      <c r="B201" s="1" t="s">
        <v>598</v>
      </c>
      <c r="C201" s="1" t="s">
        <v>23</v>
      </c>
      <c r="D201" s="1" t="s">
        <v>50</v>
      </c>
      <c r="E201" s="4">
        <v>-0.2</v>
      </c>
      <c r="F201">
        <v>24</v>
      </c>
      <c r="G201">
        <v>66</v>
      </c>
      <c r="H201">
        <v>18.8</v>
      </c>
      <c r="I201">
        <v>5.3</v>
      </c>
      <c r="J201">
        <v>0.45500000000000002</v>
      </c>
      <c r="K201">
        <v>2.5</v>
      </c>
      <c r="L201">
        <v>0.34100000000000003</v>
      </c>
      <c r="M201">
        <v>2.8</v>
      </c>
      <c r="N201">
        <v>0.55700000000000005</v>
      </c>
      <c r="O201">
        <v>0.53600000000000003</v>
      </c>
      <c r="P201">
        <v>0.8</v>
      </c>
      <c r="Q201">
        <v>0.83599999999999997</v>
      </c>
      <c r="R201">
        <v>4.8</v>
      </c>
      <c r="S201">
        <v>1.3</v>
      </c>
      <c r="T201">
        <v>0.6</v>
      </c>
      <c r="U201">
        <v>0.1</v>
      </c>
      <c r="V201">
        <v>0.8</v>
      </c>
      <c r="W201">
        <v>1.2</v>
      </c>
      <c r="X201">
        <v>6.3</v>
      </c>
      <c r="Y201">
        <v>3</v>
      </c>
      <c r="Z201">
        <v>-2.5</v>
      </c>
      <c r="AA201">
        <v>12.9</v>
      </c>
      <c r="AB201">
        <v>6.7000000000000004E-2</v>
      </c>
    </row>
    <row r="202" spans="1:28" x14ac:dyDescent="0.35">
      <c r="A202" s="1" t="s">
        <v>2</v>
      </c>
      <c r="B202" s="1" t="s">
        <v>598</v>
      </c>
      <c r="C202" s="1" t="s">
        <v>19</v>
      </c>
      <c r="D202" s="1" t="s">
        <v>20</v>
      </c>
      <c r="E202" s="4">
        <v>0.5</v>
      </c>
      <c r="F202">
        <v>32</v>
      </c>
      <c r="G202">
        <v>82</v>
      </c>
      <c r="H202">
        <v>22.7</v>
      </c>
      <c r="I202">
        <v>9.6</v>
      </c>
      <c r="J202">
        <v>0.41699999999999998</v>
      </c>
      <c r="K202">
        <v>6.7</v>
      </c>
      <c r="L202">
        <v>0.37</v>
      </c>
      <c r="M202">
        <v>2.9</v>
      </c>
      <c r="N202">
        <v>0.52700000000000002</v>
      </c>
      <c r="O202">
        <v>0.54600000000000004</v>
      </c>
      <c r="P202">
        <v>0.8</v>
      </c>
      <c r="Q202">
        <v>0.82799999999999996</v>
      </c>
      <c r="R202">
        <v>3.2</v>
      </c>
      <c r="S202">
        <v>1.6</v>
      </c>
      <c r="T202">
        <v>0.8</v>
      </c>
      <c r="U202">
        <v>0.3</v>
      </c>
      <c r="V202">
        <v>1.1000000000000001</v>
      </c>
      <c r="W202">
        <v>1.6</v>
      </c>
      <c r="X202">
        <v>11.1</v>
      </c>
      <c r="Y202">
        <v>8</v>
      </c>
      <c r="Z202">
        <v>-1</v>
      </c>
      <c r="AA202">
        <v>12.3</v>
      </c>
      <c r="AB202">
        <v>7.2999999999999995E-2</v>
      </c>
    </row>
    <row r="203" spans="1:28" x14ac:dyDescent="0.35">
      <c r="A203" s="1" t="s">
        <v>26</v>
      </c>
      <c r="B203" s="1" t="s">
        <v>598</v>
      </c>
      <c r="C203" s="1" t="s">
        <v>23</v>
      </c>
      <c r="D203" s="1" t="s">
        <v>50</v>
      </c>
      <c r="E203" s="4">
        <v>-0.2</v>
      </c>
      <c r="F203">
        <v>22</v>
      </c>
      <c r="G203">
        <v>61</v>
      </c>
      <c r="H203">
        <v>17.100000000000001</v>
      </c>
      <c r="I203">
        <v>3.1</v>
      </c>
      <c r="J203">
        <v>0.60399999999999998</v>
      </c>
      <c r="K203">
        <v>0</v>
      </c>
      <c r="L203">
        <v>0</v>
      </c>
      <c r="M203">
        <v>3</v>
      </c>
      <c r="N203">
        <v>0.61099999999999999</v>
      </c>
      <c r="O203">
        <v>0.60399999999999998</v>
      </c>
      <c r="P203">
        <v>0.8</v>
      </c>
      <c r="Q203">
        <v>0.57999999999999996</v>
      </c>
      <c r="R203">
        <v>3.6</v>
      </c>
      <c r="S203">
        <v>1.2</v>
      </c>
      <c r="T203">
        <v>0.5</v>
      </c>
      <c r="U203">
        <v>0.5</v>
      </c>
      <c r="V203">
        <v>0.6</v>
      </c>
      <c r="W203">
        <v>1.7</v>
      </c>
      <c r="X203">
        <v>4.2</v>
      </c>
      <c r="Y203">
        <v>0</v>
      </c>
      <c r="Z203">
        <v>-2.6</v>
      </c>
      <c r="AA203">
        <v>11.1</v>
      </c>
      <c r="AB203">
        <v>7.4999999999999997E-2</v>
      </c>
    </row>
    <row r="204" spans="1:28" x14ac:dyDescent="0.35">
      <c r="A204" s="1" t="s">
        <v>18</v>
      </c>
      <c r="B204" s="1" t="s">
        <v>35</v>
      </c>
      <c r="C204" s="1" t="s">
        <v>23</v>
      </c>
      <c r="D204" s="1" t="s">
        <v>28</v>
      </c>
      <c r="E204" s="4">
        <v>0.1</v>
      </c>
      <c r="F204">
        <v>25</v>
      </c>
      <c r="G204">
        <v>13</v>
      </c>
      <c r="H204">
        <v>9.1999999999999993</v>
      </c>
      <c r="I204">
        <v>3.8</v>
      </c>
      <c r="J204">
        <v>0.69399999999999995</v>
      </c>
      <c r="K204">
        <v>0</v>
      </c>
      <c r="M204">
        <v>3.8</v>
      </c>
      <c r="N204">
        <v>0.69399999999999995</v>
      </c>
      <c r="O204">
        <v>0.69399999999999995</v>
      </c>
      <c r="P204">
        <v>0.8</v>
      </c>
      <c r="Q204">
        <v>0.72699999999999998</v>
      </c>
      <c r="R204">
        <v>3.4</v>
      </c>
      <c r="S204">
        <v>0.2</v>
      </c>
      <c r="T204">
        <v>0.5</v>
      </c>
      <c r="U204">
        <v>0.3</v>
      </c>
      <c r="V204">
        <v>0.8</v>
      </c>
      <c r="W204">
        <v>1.3</v>
      </c>
      <c r="X204">
        <v>5.8</v>
      </c>
      <c r="Y204">
        <v>5</v>
      </c>
      <c r="Z204">
        <v>0.1</v>
      </c>
      <c r="AA204">
        <v>22.4</v>
      </c>
      <c r="AB204">
        <v>0.14599999999999999</v>
      </c>
    </row>
    <row r="205" spans="1:28" x14ac:dyDescent="0.35">
      <c r="A205" s="1" t="s">
        <v>2</v>
      </c>
      <c r="B205" s="1" t="s">
        <v>597</v>
      </c>
      <c r="C205" s="1" t="s">
        <v>23</v>
      </c>
      <c r="D205" s="1" t="s">
        <v>20</v>
      </c>
      <c r="E205" s="4">
        <v>0.5</v>
      </c>
      <c r="F205">
        <v>24</v>
      </c>
      <c r="G205">
        <v>64</v>
      </c>
      <c r="H205">
        <v>27.2</v>
      </c>
      <c r="I205">
        <v>8.3000000000000007</v>
      </c>
      <c r="J205">
        <v>0.498</v>
      </c>
      <c r="K205">
        <v>4</v>
      </c>
      <c r="L205">
        <v>0.39900000000000002</v>
      </c>
      <c r="M205">
        <v>4.4000000000000004</v>
      </c>
      <c r="N205">
        <v>0.58699999999999997</v>
      </c>
      <c r="O205">
        <v>0.59299999999999997</v>
      </c>
      <c r="P205">
        <v>0.8</v>
      </c>
      <c r="Q205">
        <v>0.70799999999999996</v>
      </c>
      <c r="R205">
        <v>3.8</v>
      </c>
      <c r="S205">
        <v>1.5</v>
      </c>
      <c r="T205">
        <v>0.9</v>
      </c>
      <c r="U205">
        <v>0.5</v>
      </c>
      <c r="V205">
        <v>0.8</v>
      </c>
      <c r="W205">
        <v>2</v>
      </c>
      <c r="X205">
        <v>10.4</v>
      </c>
      <c r="Y205">
        <v>2</v>
      </c>
      <c r="Z205">
        <v>-0.7</v>
      </c>
      <c r="AA205">
        <v>12</v>
      </c>
      <c r="AB205">
        <v>8.6999999999999994E-2</v>
      </c>
    </row>
    <row r="206" spans="1:28" x14ac:dyDescent="0.35">
      <c r="A206" s="1" t="s">
        <v>2</v>
      </c>
      <c r="B206" s="1" t="s">
        <v>597</v>
      </c>
      <c r="C206" s="1" t="s">
        <v>23</v>
      </c>
      <c r="D206" s="1" t="s">
        <v>20</v>
      </c>
      <c r="E206" s="4">
        <v>-1.3</v>
      </c>
      <c r="F206">
        <v>20</v>
      </c>
      <c r="G206">
        <v>60</v>
      </c>
      <c r="H206">
        <v>22.8</v>
      </c>
      <c r="I206">
        <v>9.5</v>
      </c>
      <c r="J206">
        <v>0.39100000000000001</v>
      </c>
      <c r="K206">
        <v>5.0999999999999996</v>
      </c>
      <c r="L206">
        <v>0.34</v>
      </c>
      <c r="M206">
        <v>4.4000000000000004</v>
      </c>
      <c r="N206">
        <v>0.45</v>
      </c>
      <c r="O206">
        <v>0.48199999999999998</v>
      </c>
      <c r="P206">
        <v>0.8</v>
      </c>
      <c r="Q206">
        <v>0.93500000000000005</v>
      </c>
      <c r="R206">
        <v>2.1</v>
      </c>
      <c r="S206">
        <v>2.4</v>
      </c>
      <c r="T206">
        <v>0.3</v>
      </c>
      <c r="U206">
        <v>0.1</v>
      </c>
      <c r="V206">
        <v>1.4</v>
      </c>
      <c r="W206">
        <v>1.3</v>
      </c>
      <c r="X206">
        <v>9.9</v>
      </c>
      <c r="Y206">
        <v>1</v>
      </c>
      <c r="Z206">
        <v>-5.7</v>
      </c>
      <c r="AA206">
        <v>8.3000000000000007</v>
      </c>
      <c r="AB206">
        <v>-1.9E-2</v>
      </c>
    </row>
    <row r="207" spans="1:28" x14ac:dyDescent="0.35">
      <c r="A207" s="1" t="s">
        <v>2</v>
      </c>
      <c r="B207" s="1" t="s">
        <v>597</v>
      </c>
      <c r="C207" s="1" t="s">
        <v>23</v>
      </c>
      <c r="D207" s="1" t="s">
        <v>20</v>
      </c>
      <c r="E207" s="4">
        <v>0.1</v>
      </c>
      <c r="F207">
        <v>38</v>
      </c>
      <c r="G207">
        <v>35</v>
      </c>
      <c r="H207">
        <v>18.8</v>
      </c>
      <c r="I207">
        <v>3.3</v>
      </c>
      <c r="J207">
        <v>0.35</v>
      </c>
      <c r="K207">
        <v>2.5</v>
      </c>
      <c r="L207">
        <v>0.33</v>
      </c>
      <c r="M207">
        <v>0.8</v>
      </c>
      <c r="N207">
        <v>0.41399999999999998</v>
      </c>
      <c r="O207">
        <v>0.47399999999999998</v>
      </c>
      <c r="P207">
        <v>0.9</v>
      </c>
      <c r="Q207">
        <v>0.81799999999999995</v>
      </c>
      <c r="R207">
        <v>1.9</v>
      </c>
      <c r="S207">
        <v>2.7</v>
      </c>
      <c r="T207">
        <v>0.9</v>
      </c>
      <c r="U207">
        <v>0.3</v>
      </c>
      <c r="V207">
        <v>0.6</v>
      </c>
      <c r="W207">
        <v>1.8</v>
      </c>
      <c r="X207">
        <v>3.9</v>
      </c>
      <c r="Y207">
        <v>18</v>
      </c>
      <c r="Z207">
        <v>-1.3</v>
      </c>
      <c r="AA207">
        <v>9.8000000000000007</v>
      </c>
      <c r="AB207">
        <v>7.0000000000000007E-2</v>
      </c>
    </row>
    <row r="208" spans="1:28" x14ac:dyDescent="0.35">
      <c r="A208" s="1" t="s">
        <v>2</v>
      </c>
      <c r="B208" s="1" t="s">
        <v>35</v>
      </c>
      <c r="C208" s="1" t="s">
        <v>23</v>
      </c>
      <c r="D208" s="1" t="s">
        <v>20</v>
      </c>
      <c r="E208" s="4">
        <v>-0.1</v>
      </c>
      <c r="F208">
        <v>22</v>
      </c>
      <c r="G208">
        <v>43</v>
      </c>
      <c r="H208">
        <v>8.5</v>
      </c>
      <c r="I208">
        <v>2.1</v>
      </c>
      <c r="J208">
        <v>0.38900000000000001</v>
      </c>
      <c r="K208">
        <v>1.1000000000000001</v>
      </c>
      <c r="L208">
        <v>0.25</v>
      </c>
      <c r="M208">
        <v>1</v>
      </c>
      <c r="N208">
        <v>0.54800000000000004</v>
      </c>
      <c r="O208">
        <v>0.45600000000000002</v>
      </c>
      <c r="P208">
        <v>0.9</v>
      </c>
      <c r="Q208">
        <v>0.71099999999999997</v>
      </c>
      <c r="R208">
        <v>1.3</v>
      </c>
      <c r="S208">
        <v>0.8</v>
      </c>
      <c r="T208">
        <v>0.6</v>
      </c>
      <c r="U208">
        <v>0.1</v>
      </c>
      <c r="V208">
        <v>0.4</v>
      </c>
      <c r="W208">
        <v>1</v>
      </c>
      <c r="X208">
        <v>2.5</v>
      </c>
      <c r="Y208">
        <v>3</v>
      </c>
      <c r="Z208">
        <v>-2.7</v>
      </c>
      <c r="AA208">
        <v>10.7</v>
      </c>
      <c r="AB208">
        <v>7.0000000000000007E-2</v>
      </c>
    </row>
    <row r="209" spans="1:28" x14ac:dyDescent="0.35">
      <c r="A209" s="1" t="s">
        <v>26</v>
      </c>
      <c r="B209" s="1" t="s">
        <v>597</v>
      </c>
      <c r="C209" s="1" t="s">
        <v>23</v>
      </c>
      <c r="D209" s="1" t="s">
        <v>50</v>
      </c>
      <c r="E209" s="4">
        <v>-0.2</v>
      </c>
      <c r="F209">
        <v>24</v>
      </c>
      <c r="G209">
        <v>22</v>
      </c>
      <c r="H209">
        <v>8.1999999999999993</v>
      </c>
      <c r="I209">
        <v>1.7</v>
      </c>
      <c r="J209">
        <v>0.432</v>
      </c>
      <c r="K209">
        <v>0.5</v>
      </c>
      <c r="L209">
        <v>0.1</v>
      </c>
      <c r="M209">
        <v>1.2</v>
      </c>
      <c r="N209">
        <v>0.55600000000000005</v>
      </c>
      <c r="O209">
        <v>0.44600000000000001</v>
      </c>
      <c r="P209">
        <v>0.9</v>
      </c>
      <c r="Q209">
        <v>0.68400000000000005</v>
      </c>
      <c r="R209">
        <v>1.4</v>
      </c>
      <c r="S209">
        <v>0.4</v>
      </c>
      <c r="T209">
        <v>0.1</v>
      </c>
      <c r="U209">
        <v>0.1</v>
      </c>
      <c r="V209">
        <v>0.3</v>
      </c>
      <c r="W209">
        <v>1</v>
      </c>
      <c r="X209">
        <v>2.1</v>
      </c>
      <c r="Y209">
        <v>0</v>
      </c>
      <c r="Z209">
        <v>-6.3</v>
      </c>
      <c r="AA209">
        <v>7.4</v>
      </c>
      <c r="AB209">
        <v>4.5999999999999999E-2</v>
      </c>
    </row>
    <row r="210" spans="1:28" x14ac:dyDescent="0.35">
      <c r="A210" s="1" t="s">
        <v>18</v>
      </c>
      <c r="B210" s="1" t="s">
        <v>598</v>
      </c>
      <c r="C210" s="1" t="s">
        <v>23</v>
      </c>
      <c r="D210" s="1" t="s">
        <v>28</v>
      </c>
      <c r="E210" s="4">
        <v>1.1000000000000001</v>
      </c>
      <c r="F210">
        <v>26</v>
      </c>
      <c r="G210">
        <v>64</v>
      </c>
      <c r="H210">
        <v>11.7</v>
      </c>
      <c r="I210">
        <v>4.8</v>
      </c>
      <c r="J210">
        <v>0.51500000000000001</v>
      </c>
      <c r="K210">
        <v>3.1</v>
      </c>
      <c r="L210">
        <v>0.40500000000000003</v>
      </c>
      <c r="M210">
        <v>1.6</v>
      </c>
      <c r="N210">
        <v>0.72399999999999998</v>
      </c>
      <c r="O210">
        <v>0.64800000000000002</v>
      </c>
      <c r="P210">
        <v>0.9</v>
      </c>
      <c r="Q210">
        <v>0.78600000000000003</v>
      </c>
      <c r="R210">
        <v>2</v>
      </c>
      <c r="S210">
        <v>0.6</v>
      </c>
      <c r="T210">
        <v>0.3</v>
      </c>
      <c r="U210">
        <v>0.9</v>
      </c>
      <c r="V210">
        <v>0.5</v>
      </c>
      <c r="W210">
        <v>1.2</v>
      </c>
      <c r="X210">
        <v>6.9</v>
      </c>
      <c r="Y210">
        <v>3</v>
      </c>
      <c r="Z210">
        <v>3.5</v>
      </c>
      <c r="AA210">
        <v>18.2</v>
      </c>
      <c r="AB210">
        <v>0.16200000000000001</v>
      </c>
    </row>
    <row r="211" spans="1:28" x14ac:dyDescent="0.35">
      <c r="A211" s="1" t="s">
        <v>2</v>
      </c>
      <c r="B211" s="1" t="s">
        <v>598</v>
      </c>
      <c r="C211" s="1" t="s">
        <v>23</v>
      </c>
      <c r="D211" s="1" t="s">
        <v>50</v>
      </c>
      <c r="E211" s="4">
        <v>0.2</v>
      </c>
      <c r="F211">
        <v>23</v>
      </c>
      <c r="G211">
        <v>40</v>
      </c>
      <c r="H211">
        <v>13.1</v>
      </c>
      <c r="I211">
        <v>3</v>
      </c>
      <c r="J211">
        <v>0.46700000000000003</v>
      </c>
      <c r="K211">
        <v>1.3</v>
      </c>
      <c r="L211">
        <v>0.43099999999999999</v>
      </c>
      <c r="M211">
        <v>1.7</v>
      </c>
      <c r="N211">
        <v>0.49299999999999999</v>
      </c>
      <c r="O211">
        <v>0.55800000000000005</v>
      </c>
      <c r="P211">
        <v>0.9</v>
      </c>
      <c r="Q211">
        <v>0.78400000000000003</v>
      </c>
      <c r="R211">
        <v>1.3</v>
      </c>
      <c r="S211">
        <v>0.7</v>
      </c>
      <c r="T211">
        <v>0.9</v>
      </c>
      <c r="U211">
        <v>0.1</v>
      </c>
      <c r="V211">
        <v>0.2</v>
      </c>
      <c r="W211">
        <v>1.5</v>
      </c>
      <c r="X211">
        <v>4.0999999999999996</v>
      </c>
      <c r="Y211">
        <v>1</v>
      </c>
      <c r="Z211">
        <v>-0.2</v>
      </c>
      <c r="AA211">
        <v>12</v>
      </c>
      <c r="AB211">
        <v>0.14699999999999999</v>
      </c>
    </row>
    <row r="212" spans="1:28" x14ac:dyDescent="0.35">
      <c r="A212" s="1" t="s">
        <v>18</v>
      </c>
      <c r="B212" s="1" t="s">
        <v>598</v>
      </c>
      <c r="C212" s="1" t="s">
        <v>33</v>
      </c>
      <c r="D212" s="1" t="s">
        <v>50</v>
      </c>
      <c r="E212" s="4">
        <v>0</v>
      </c>
      <c r="F212">
        <v>26</v>
      </c>
      <c r="G212">
        <v>39</v>
      </c>
      <c r="H212">
        <v>5.6</v>
      </c>
      <c r="I212">
        <v>2.7</v>
      </c>
      <c r="J212">
        <v>0.495</v>
      </c>
      <c r="K212">
        <v>0.9</v>
      </c>
      <c r="L212">
        <v>0.27800000000000002</v>
      </c>
      <c r="M212">
        <v>1.8</v>
      </c>
      <c r="N212">
        <v>0.60899999999999999</v>
      </c>
      <c r="O212">
        <v>0.54300000000000004</v>
      </c>
      <c r="P212">
        <v>0.9</v>
      </c>
      <c r="Q212">
        <v>0.68600000000000005</v>
      </c>
      <c r="R212">
        <v>1.4</v>
      </c>
      <c r="S212">
        <v>0.3</v>
      </c>
      <c r="T212">
        <v>0.2</v>
      </c>
      <c r="U212">
        <v>0.1</v>
      </c>
      <c r="V212">
        <v>0.3</v>
      </c>
      <c r="W212">
        <v>0.7</v>
      </c>
      <c r="X212">
        <v>3.5</v>
      </c>
      <c r="Y212">
        <v>3</v>
      </c>
      <c r="Z212">
        <v>-2.2999999999999998</v>
      </c>
      <c r="AA212">
        <v>18.8</v>
      </c>
      <c r="AB212">
        <v>0.14399999999999999</v>
      </c>
    </row>
    <row r="213" spans="1:28" x14ac:dyDescent="0.35">
      <c r="A213" s="1" t="s">
        <v>18</v>
      </c>
      <c r="B213" s="1" t="s">
        <v>35</v>
      </c>
      <c r="C213" s="1" t="s">
        <v>23</v>
      </c>
      <c r="D213" s="1" t="s">
        <v>28</v>
      </c>
      <c r="E213" s="4">
        <v>-0.5</v>
      </c>
      <c r="F213">
        <v>25</v>
      </c>
      <c r="G213">
        <v>38</v>
      </c>
      <c r="H213">
        <v>10.3</v>
      </c>
      <c r="I213">
        <v>1.9</v>
      </c>
      <c r="J213">
        <v>0.55400000000000005</v>
      </c>
      <c r="K213">
        <v>0</v>
      </c>
      <c r="M213">
        <v>1.9</v>
      </c>
      <c r="N213">
        <v>0.55400000000000005</v>
      </c>
      <c r="O213">
        <v>0.55400000000000005</v>
      </c>
      <c r="P213">
        <v>0.9</v>
      </c>
      <c r="Q213">
        <v>0.39400000000000002</v>
      </c>
      <c r="R213">
        <v>2.8</v>
      </c>
      <c r="S213">
        <v>0.4</v>
      </c>
      <c r="T213">
        <v>0.2</v>
      </c>
      <c r="U213">
        <v>0.4</v>
      </c>
      <c r="V213">
        <v>0.6</v>
      </c>
      <c r="W213">
        <v>1.8</v>
      </c>
      <c r="X213">
        <v>2.5</v>
      </c>
      <c r="Y213">
        <v>1</v>
      </c>
      <c r="Z213">
        <v>-6.8</v>
      </c>
      <c r="AA213">
        <v>8.9</v>
      </c>
      <c r="AB213">
        <v>3.6999999999999998E-2</v>
      </c>
    </row>
    <row r="214" spans="1:28" x14ac:dyDescent="0.35">
      <c r="A214" s="1" t="s">
        <v>26</v>
      </c>
      <c r="B214" s="1" t="s">
        <v>598</v>
      </c>
      <c r="C214" s="1" t="s">
        <v>23</v>
      </c>
      <c r="D214" s="1" t="s">
        <v>28</v>
      </c>
      <c r="E214" s="4">
        <v>0</v>
      </c>
      <c r="F214">
        <v>24</v>
      </c>
      <c r="G214">
        <v>40</v>
      </c>
      <c r="H214">
        <v>7.6</v>
      </c>
      <c r="I214">
        <v>2.1</v>
      </c>
      <c r="J214">
        <v>0.65100000000000002</v>
      </c>
      <c r="K214">
        <v>0.2</v>
      </c>
      <c r="L214">
        <v>0.375</v>
      </c>
      <c r="M214">
        <v>1.9</v>
      </c>
      <c r="N214">
        <v>0.68</v>
      </c>
      <c r="O214">
        <v>0.66900000000000004</v>
      </c>
      <c r="P214">
        <v>0.9</v>
      </c>
      <c r="Q214">
        <v>0.63900000000000001</v>
      </c>
      <c r="R214">
        <v>1.4</v>
      </c>
      <c r="S214">
        <v>0.3</v>
      </c>
      <c r="T214">
        <v>0.1</v>
      </c>
      <c r="U214">
        <v>0.3</v>
      </c>
      <c r="V214">
        <v>0.4</v>
      </c>
      <c r="W214">
        <v>0.8</v>
      </c>
      <c r="X214">
        <v>3.4</v>
      </c>
      <c r="Y214">
        <v>0</v>
      </c>
      <c r="Z214">
        <v>-1.7</v>
      </c>
      <c r="AA214">
        <v>15.2</v>
      </c>
      <c r="AB214">
        <v>0.115</v>
      </c>
    </row>
    <row r="215" spans="1:28" x14ac:dyDescent="0.35">
      <c r="A215" s="1" t="s">
        <v>18</v>
      </c>
      <c r="B215" s="1" t="s">
        <v>35</v>
      </c>
      <c r="C215" s="1" t="s">
        <v>23</v>
      </c>
      <c r="D215" s="1" t="s">
        <v>28</v>
      </c>
      <c r="E215" s="4">
        <v>-0.1</v>
      </c>
      <c r="F215">
        <v>27</v>
      </c>
      <c r="G215">
        <v>11</v>
      </c>
      <c r="H215">
        <v>11.5</v>
      </c>
      <c r="I215">
        <v>2</v>
      </c>
      <c r="J215">
        <v>0.63600000000000001</v>
      </c>
      <c r="K215">
        <v>0</v>
      </c>
      <c r="M215">
        <v>2</v>
      </c>
      <c r="N215">
        <v>0.63600000000000001</v>
      </c>
      <c r="O215">
        <v>0.63600000000000001</v>
      </c>
      <c r="P215">
        <v>0.9</v>
      </c>
      <c r="Q215">
        <v>0.6</v>
      </c>
      <c r="R215">
        <v>3.5</v>
      </c>
      <c r="S215">
        <v>0.5</v>
      </c>
      <c r="T215">
        <v>0.1</v>
      </c>
      <c r="U215">
        <v>0.3</v>
      </c>
      <c r="V215">
        <v>0.4</v>
      </c>
      <c r="W215">
        <v>1.4</v>
      </c>
      <c r="X215">
        <v>3.1</v>
      </c>
      <c r="Y215">
        <v>0</v>
      </c>
      <c r="Z215">
        <v>-5.4</v>
      </c>
      <c r="AA215">
        <v>12.1</v>
      </c>
      <c r="AB215">
        <v>0.10199999999999999</v>
      </c>
    </row>
    <row r="216" spans="1:28" x14ac:dyDescent="0.35">
      <c r="A216" s="1" t="s">
        <v>26</v>
      </c>
      <c r="B216" s="1" t="s">
        <v>598</v>
      </c>
      <c r="C216" s="1" t="s">
        <v>23</v>
      </c>
      <c r="D216" s="1" t="s">
        <v>28</v>
      </c>
      <c r="E216" s="4">
        <v>0.2</v>
      </c>
      <c r="F216">
        <v>29</v>
      </c>
      <c r="G216">
        <v>52</v>
      </c>
      <c r="H216">
        <v>11.3</v>
      </c>
      <c r="I216">
        <v>2.8</v>
      </c>
      <c r="J216">
        <v>0.47299999999999998</v>
      </c>
      <c r="K216">
        <v>0.9</v>
      </c>
      <c r="L216">
        <v>0.34799999999999998</v>
      </c>
      <c r="M216">
        <v>2</v>
      </c>
      <c r="N216">
        <v>0.52900000000000003</v>
      </c>
      <c r="O216">
        <v>0.52700000000000002</v>
      </c>
      <c r="P216">
        <v>0.9</v>
      </c>
      <c r="Q216">
        <v>0.68100000000000005</v>
      </c>
      <c r="R216">
        <v>2.2999999999999998</v>
      </c>
      <c r="S216">
        <v>0.9</v>
      </c>
      <c r="T216">
        <v>0.5</v>
      </c>
      <c r="U216">
        <v>0.1</v>
      </c>
      <c r="V216">
        <v>0.4</v>
      </c>
      <c r="W216">
        <v>1.6</v>
      </c>
      <c r="X216">
        <v>3.6</v>
      </c>
      <c r="Y216">
        <v>4</v>
      </c>
      <c r="Z216">
        <v>-0.7</v>
      </c>
      <c r="AA216">
        <v>12.3</v>
      </c>
      <c r="AB216">
        <v>0.13300000000000001</v>
      </c>
    </row>
    <row r="217" spans="1:28" x14ac:dyDescent="0.35">
      <c r="A217" s="1" t="s">
        <v>2</v>
      </c>
      <c r="B217" s="1" t="s">
        <v>35</v>
      </c>
      <c r="C217" s="1" t="s">
        <v>23</v>
      </c>
      <c r="D217" s="1" t="s">
        <v>50</v>
      </c>
      <c r="E217" s="4">
        <v>-0.1</v>
      </c>
      <c r="F217">
        <v>22</v>
      </c>
      <c r="G217">
        <v>39</v>
      </c>
      <c r="H217">
        <v>13.2</v>
      </c>
      <c r="I217">
        <v>3.3</v>
      </c>
      <c r="J217">
        <v>0.45700000000000002</v>
      </c>
      <c r="K217">
        <v>1.3</v>
      </c>
      <c r="L217">
        <v>0.32700000000000001</v>
      </c>
      <c r="M217">
        <v>2.1</v>
      </c>
      <c r="N217">
        <v>0.53800000000000003</v>
      </c>
      <c r="O217">
        <v>0.51900000000000002</v>
      </c>
      <c r="P217">
        <v>0.9</v>
      </c>
      <c r="Q217">
        <v>0.65700000000000003</v>
      </c>
      <c r="R217">
        <v>2.2000000000000002</v>
      </c>
      <c r="S217">
        <v>1.1000000000000001</v>
      </c>
      <c r="T217">
        <v>0.7</v>
      </c>
      <c r="U217">
        <v>0.3</v>
      </c>
      <c r="V217">
        <v>0.6</v>
      </c>
      <c r="W217">
        <v>0.9</v>
      </c>
      <c r="X217">
        <v>4</v>
      </c>
      <c r="Y217">
        <v>1</v>
      </c>
      <c r="Z217">
        <v>-2.8</v>
      </c>
      <c r="AA217">
        <v>11.4</v>
      </c>
      <c r="AB217">
        <v>5.2999999999999999E-2</v>
      </c>
    </row>
    <row r="218" spans="1:28" x14ac:dyDescent="0.35">
      <c r="A218" s="1" t="s">
        <v>2</v>
      </c>
      <c r="B218" s="1" t="s">
        <v>597</v>
      </c>
      <c r="C218" s="1" t="s">
        <v>23</v>
      </c>
      <c r="D218" s="1" t="s">
        <v>20</v>
      </c>
      <c r="E218" s="4">
        <v>-0.5</v>
      </c>
      <c r="F218">
        <v>22</v>
      </c>
      <c r="G218">
        <v>73</v>
      </c>
      <c r="H218">
        <v>13.5</v>
      </c>
      <c r="I218">
        <v>3.7</v>
      </c>
      <c r="J218">
        <v>0.44800000000000001</v>
      </c>
      <c r="K218">
        <v>1.4</v>
      </c>
      <c r="L218">
        <v>0.35599999999999998</v>
      </c>
      <c r="M218">
        <v>2.2000000000000002</v>
      </c>
      <c r="N218">
        <v>0.50600000000000001</v>
      </c>
      <c r="O218">
        <v>0.51700000000000002</v>
      </c>
      <c r="P218">
        <v>0.9</v>
      </c>
      <c r="Q218">
        <v>0.71</v>
      </c>
      <c r="R218">
        <v>1.7</v>
      </c>
      <c r="S218">
        <v>1.3</v>
      </c>
      <c r="T218">
        <v>0.6</v>
      </c>
      <c r="U218">
        <v>0.2</v>
      </c>
      <c r="V218">
        <v>0.7</v>
      </c>
      <c r="W218">
        <v>1.6</v>
      </c>
      <c r="X218">
        <v>4.5</v>
      </c>
      <c r="Y218">
        <v>2</v>
      </c>
      <c r="Z218">
        <v>-3.8</v>
      </c>
      <c r="AA218">
        <v>9.6</v>
      </c>
      <c r="AB218">
        <v>5.1999999999999998E-2</v>
      </c>
    </row>
    <row r="219" spans="1:28" x14ac:dyDescent="0.35">
      <c r="A219" s="1" t="s">
        <v>2</v>
      </c>
      <c r="B219" s="1" t="s">
        <v>597</v>
      </c>
      <c r="C219" s="1" t="s">
        <v>23</v>
      </c>
      <c r="D219" s="1" t="s">
        <v>28</v>
      </c>
      <c r="E219" s="4">
        <v>0.3</v>
      </c>
      <c r="F219">
        <v>27</v>
      </c>
      <c r="G219">
        <v>14</v>
      </c>
      <c r="H219">
        <v>19.100000000000001</v>
      </c>
      <c r="I219">
        <v>4.4000000000000004</v>
      </c>
      <c r="J219">
        <v>0.50800000000000001</v>
      </c>
      <c r="K219">
        <v>2.1</v>
      </c>
      <c r="L219">
        <v>0.53300000000000003</v>
      </c>
      <c r="M219">
        <v>2.2000000000000002</v>
      </c>
      <c r="N219">
        <v>0.48399999999999999</v>
      </c>
      <c r="O219">
        <v>0.63900000000000001</v>
      </c>
      <c r="P219">
        <v>0.9</v>
      </c>
      <c r="Q219">
        <v>0.75</v>
      </c>
      <c r="R219">
        <v>2.6</v>
      </c>
      <c r="S219">
        <v>1.6</v>
      </c>
      <c r="T219">
        <v>1.5</v>
      </c>
      <c r="U219">
        <v>0.4</v>
      </c>
      <c r="V219">
        <v>1.2</v>
      </c>
      <c r="W219">
        <v>2.1</v>
      </c>
      <c r="X219">
        <v>6.2</v>
      </c>
      <c r="Y219">
        <v>2</v>
      </c>
      <c r="Z219">
        <v>2.1</v>
      </c>
      <c r="AA219">
        <v>13.3</v>
      </c>
      <c r="AB219">
        <v>0.11799999999999999</v>
      </c>
    </row>
    <row r="220" spans="1:28" x14ac:dyDescent="0.35">
      <c r="A220" s="1" t="s">
        <v>26</v>
      </c>
      <c r="B220" s="1" t="s">
        <v>597</v>
      </c>
      <c r="C220" s="1" t="s">
        <v>23</v>
      </c>
      <c r="D220" s="1" t="s">
        <v>20</v>
      </c>
      <c r="E220" s="4">
        <v>0.3</v>
      </c>
      <c r="F220">
        <v>21</v>
      </c>
      <c r="G220">
        <v>75</v>
      </c>
      <c r="H220">
        <v>15.8</v>
      </c>
      <c r="I220">
        <v>4.8</v>
      </c>
      <c r="J220">
        <v>0.47199999999999998</v>
      </c>
      <c r="K220">
        <v>2.5</v>
      </c>
      <c r="L220">
        <v>0.40500000000000003</v>
      </c>
      <c r="M220">
        <v>2.2999999999999998</v>
      </c>
      <c r="N220">
        <v>0.54300000000000004</v>
      </c>
      <c r="O220">
        <v>0.57599999999999996</v>
      </c>
      <c r="P220">
        <v>0.9</v>
      </c>
      <c r="Q220">
        <v>0.66700000000000004</v>
      </c>
      <c r="R220">
        <v>3.1</v>
      </c>
      <c r="S220">
        <v>1.5</v>
      </c>
      <c r="T220">
        <v>0.7</v>
      </c>
      <c r="U220">
        <v>0.3</v>
      </c>
      <c r="V220">
        <v>1</v>
      </c>
      <c r="W220">
        <v>1.5</v>
      </c>
      <c r="X220">
        <v>6.1</v>
      </c>
      <c r="Y220">
        <v>1</v>
      </c>
      <c r="Z220">
        <v>-0.9</v>
      </c>
      <c r="AA220">
        <v>11.9</v>
      </c>
      <c r="AB220">
        <v>6.5000000000000002E-2</v>
      </c>
    </row>
    <row r="221" spans="1:28" x14ac:dyDescent="0.35">
      <c r="A221" s="1" t="s">
        <v>2</v>
      </c>
      <c r="B221" s="1" t="s">
        <v>598</v>
      </c>
      <c r="C221" s="1" t="s">
        <v>33</v>
      </c>
      <c r="D221" s="1" t="s">
        <v>50</v>
      </c>
      <c r="E221" s="4">
        <v>0</v>
      </c>
      <c r="F221">
        <v>29</v>
      </c>
      <c r="G221">
        <v>45</v>
      </c>
      <c r="H221">
        <v>12.7</v>
      </c>
      <c r="I221">
        <v>4.3</v>
      </c>
      <c r="J221">
        <v>0.42599999999999999</v>
      </c>
      <c r="K221">
        <v>1.9</v>
      </c>
      <c r="L221">
        <v>0.36</v>
      </c>
      <c r="M221">
        <v>2.4</v>
      </c>
      <c r="N221">
        <v>0.47699999999999998</v>
      </c>
      <c r="O221">
        <v>0.505</v>
      </c>
      <c r="P221">
        <v>0.9</v>
      </c>
      <c r="Q221">
        <v>0.85699999999999998</v>
      </c>
      <c r="R221">
        <v>1.5</v>
      </c>
      <c r="S221">
        <v>1.6</v>
      </c>
      <c r="T221">
        <v>0.4</v>
      </c>
      <c r="U221">
        <v>0.1</v>
      </c>
      <c r="V221">
        <v>0.5</v>
      </c>
      <c r="W221">
        <v>0.5</v>
      </c>
      <c r="X221">
        <v>5.2</v>
      </c>
      <c r="Y221">
        <v>7</v>
      </c>
      <c r="Z221">
        <v>-1.8</v>
      </c>
      <c r="AA221">
        <v>13.1</v>
      </c>
      <c r="AB221">
        <v>6.4000000000000001E-2</v>
      </c>
    </row>
    <row r="222" spans="1:28" x14ac:dyDescent="0.35">
      <c r="A222" s="1" t="s">
        <v>18</v>
      </c>
      <c r="B222" s="1" t="s">
        <v>597</v>
      </c>
      <c r="C222" s="1" t="s">
        <v>23</v>
      </c>
      <c r="D222" s="1" t="s">
        <v>50</v>
      </c>
      <c r="E222" s="4">
        <v>0.5</v>
      </c>
      <c r="F222">
        <v>25</v>
      </c>
      <c r="G222">
        <v>45</v>
      </c>
      <c r="H222">
        <v>9.6999999999999993</v>
      </c>
      <c r="I222">
        <v>3.2</v>
      </c>
      <c r="J222">
        <v>0.50700000000000001</v>
      </c>
      <c r="K222">
        <v>0.6</v>
      </c>
      <c r="L222">
        <v>0.28599999999999998</v>
      </c>
      <c r="M222">
        <v>2.5</v>
      </c>
      <c r="N222">
        <v>0.56100000000000005</v>
      </c>
      <c r="O222">
        <v>0.53500000000000003</v>
      </c>
      <c r="P222">
        <v>0.9</v>
      </c>
      <c r="Q222">
        <v>0.76200000000000001</v>
      </c>
      <c r="R222">
        <v>2.7</v>
      </c>
      <c r="S222">
        <v>1</v>
      </c>
      <c r="T222">
        <v>0.9</v>
      </c>
      <c r="U222">
        <v>0.6</v>
      </c>
      <c r="V222">
        <v>0.6</v>
      </c>
      <c r="W222">
        <v>1.7</v>
      </c>
      <c r="X222">
        <v>4.0999999999999996</v>
      </c>
      <c r="Y222">
        <v>4</v>
      </c>
      <c r="Z222">
        <v>2.9</v>
      </c>
      <c r="AA222">
        <v>18.600000000000001</v>
      </c>
      <c r="AB222">
        <v>0.17299999999999999</v>
      </c>
    </row>
    <row r="223" spans="1:28" x14ac:dyDescent="0.35">
      <c r="A223" s="1" t="s">
        <v>26</v>
      </c>
      <c r="B223" s="1" t="s">
        <v>597</v>
      </c>
      <c r="C223" s="1" t="s">
        <v>23</v>
      </c>
      <c r="D223" s="1" t="s">
        <v>28</v>
      </c>
      <c r="E223" s="4">
        <v>0</v>
      </c>
      <c r="F223">
        <v>21</v>
      </c>
      <c r="G223">
        <v>35</v>
      </c>
      <c r="H223">
        <v>10.7</v>
      </c>
      <c r="I223">
        <v>3.2</v>
      </c>
      <c r="J223">
        <v>0.53100000000000003</v>
      </c>
      <c r="K223">
        <v>0.8</v>
      </c>
      <c r="L223">
        <v>0.25900000000000001</v>
      </c>
      <c r="M223">
        <v>2.5</v>
      </c>
      <c r="N223">
        <v>0.61599999999999999</v>
      </c>
      <c r="O223">
        <v>0.56200000000000006</v>
      </c>
      <c r="P223">
        <v>0.9</v>
      </c>
      <c r="Q223">
        <v>0.63600000000000001</v>
      </c>
      <c r="R223">
        <v>2.4</v>
      </c>
      <c r="S223">
        <v>0.5</v>
      </c>
      <c r="T223">
        <v>0.3</v>
      </c>
      <c r="U223">
        <v>0.5</v>
      </c>
      <c r="V223">
        <v>0.1</v>
      </c>
      <c r="W223">
        <v>1.3</v>
      </c>
      <c r="X223">
        <v>4.2</v>
      </c>
      <c r="Y223">
        <v>2</v>
      </c>
      <c r="Z223">
        <v>-2.2000000000000002</v>
      </c>
      <c r="AA223">
        <v>14.6</v>
      </c>
      <c r="AB223">
        <v>0.13100000000000001</v>
      </c>
    </row>
    <row r="224" spans="1:28" x14ac:dyDescent="0.35">
      <c r="A224" s="1" t="s">
        <v>2</v>
      </c>
      <c r="B224" s="1" t="s">
        <v>597</v>
      </c>
      <c r="C224" s="1" t="s">
        <v>23</v>
      </c>
      <c r="D224" s="1" t="s">
        <v>20</v>
      </c>
      <c r="E224" s="4">
        <v>0.3</v>
      </c>
      <c r="F224">
        <v>24</v>
      </c>
      <c r="G224">
        <v>57</v>
      </c>
      <c r="H224">
        <v>14.2</v>
      </c>
      <c r="I224">
        <v>5.2</v>
      </c>
      <c r="J224">
        <v>0.46300000000000002</v>
      </c>
      <c r="K224">
        <v>2.7</v>
      </c>
      <c r="L224">
        <v>0.38200000000000001</v>
      </c>
      <c r="M224">
        <v>2.5</v>
      </c>
      <c r="N224">
        <v>0.54900000000000004</v>
      </c>
      <c r="O224">
        <v>0.56100000000000005</v>
      </c>
      <c r="P224">
        <v>0.9</v>
      </c>
      <c r="Q224">
        <v>0.84299999999999997</v>
      </c>
      <c r="R224">
        <v>1.2</v>
      </c>
      <c r="S224">
        <v>2.2999999999999998</v>
      </c>
      <c r="T224">
        <v>0.6</v>
      </c>
      <c r="U224">
        <v>0.1</v>
      </c>
      <c r="V224">
        <v>0.9</v>
      </c>
      <c r="W224">
        <v>1.3</v>
      </c>
      <c r="X224">
        <v>6.6</v>
      </c>
      <c r="Y224">
        <v>1</v>
      </c>
      <c r="Z224">
        <v>-0.6</v>
      </c>
      <c r="AA224">
        <v>14</v>
      </c>
      <c r="AB224">
        <v>0.108</v>
      </c>
    </row>
    <row r="225" spans="1:28" x14ac:dyDescent="0.35">
      <c r="A225" s="1" t="s">
        <v>26</v>
      </c>
      <c r="B225" s="1" t="s">
        <v>598</v>
      </c>
      <c r="C225" s="1" t="s">
        <v>23</v>
      </c>
      <c r="D225" s="1" t="s">
        <v>50</v>
      </c>
      <c r="E225" s="4">
        <v>-0.1</v>
      </c>
      <c r="F225">
        <v>25</v>
      </c>
      <c r="G225">
        <v>37</v>
      </c>
      <c r="H225">
        <v>11.4</v>
      </c>
      <c r="I225">
        <v>3.6</v>
      </c>
      <c r="J225">
        <v>0.433</v>
      </c>
      <c r="K225">
        <v>1</v>
      </c>
      <c r="L225">
        <v>0.21099999999999999</v>
      </c>
      <c r="M225">
        <v>2.6</v>
      </c>
      <c r="N225">
        <v>0.52100000000000002</v>
      </c>
      <c r="O225">
        <v>0.46300000000000002</v>
      </c>
      <c r="P225">
        <v>0.9</v>
      </c>
      <c r="Q225">
        <v>0.8</v>
      </c>
      <c r="R225">
        <v>1.6</v>
      </c>
      <c r="S225">
        <v>0.9</v>
      </c>
      <c r="T225">
        <v>0.5</v>
      </c>
      <c r="U225">
        <v>0.1</v>
      </c>
      <c r="V225">
        <v>0.7</v>
      </c>
      <c r="W225">
        <v>0.7</v>
      </c>
      <c r="X225">
        <v>4.0999999999999996</v>
      </c>
      <c r="Y225">
        <v>1</v>
      </c>
      <c r="Z225">
        <v>-2.8</v>
      </c>
      <c r="AA225">
        <v>10.5</v>
      </c>
      <c r="AB225">
        <v>4.9000000000000002E-2</v>
      </c>
    </row>
    <row r="226" spans="1:28" x14ac:dyDescent="0.35">
      <c r="A226" s="1" t="s">
        <v>2</v>
      </c>
      <c r="B226" s="1" t="s">
        <v>598</v>
      </c>
      <c r="C226" s="1" t="s">
        <v>23</v>
      </c>
      <c r="D226" s="1" t="s">
        <v>20</v>
      </c>
      <c r="E226" s="4">
        <v>1.2</v>
      </c>
      <c r="F226">
        <v>28</v>
      </c>
      <c r="G226">
        <v>65</v>
      </c>
      <c r="H226">
        <v>22.6</v>
      </c>
      <c r="I226">
        <v>6.6</v>
      </c>
      <c r="J226">
        <v>0.47799999999999998</v>
      </c>
      <c r="K226">
        <v>4</v>
      </c>
      <c r="L226">
        <v>0.433</v>
      </c>
      <c r="M226">
        <v>2.6</v>
      </c>
      <c r="N226">
        <v>0.54700000000000004</v>
      </c>
      <c r="O226">
        <v>0.60899999999999999</v>
      </c>
      <c r="P226">
        <v>0.9</v>
      </c>
      <c r="Q226">
        <v>0.89500000000000002</v>
      </c>
      <c r="R226">
        <v>2.8</v>
      </c>
      <c r="S226">
        <v>3.3</v>
      </c>
      <c r="T226">
        <v>0.8</v>
      </c>
      <c r="U226">
        <v>0.1</v>
      </c>
      <c r="V226">
        <v>1.1000000000000001</v>
      </c>
      <c r="W226">
        <v>0.9</v>
      </c>
      <c r="X226">
        <v>8.9</v>
      </c>
      <c r="Y226">
        <v>7</v>
      </c>
      <c r="Z226">
        <v>1.1000000000000001</v>
      </c>
      <c r="AA226">
        <v>13.6</v>
      </c>
      <c r="AB226">
        <v>0.127</v>
      </c>
    </row>
    <row r="227" spans="1:28" x14ac:dyDescent="0.35">
      <c r="A227" s="1" t="s">
        <v>26</v>
      </c>
      <c r="B227" s="1" t="s">
        <v>598</v>
      </c>
      <c r="C227" s="1" t="s">
        <v>19</v>
      </c>
      <c r="D227" s="1" t="s">
        <v>50</v>
      </c>
      <c r="E227" s="4">
        <v>-0.3</v>
      </c>
      <c r="F227">
        <v>27</v>
      </c>
      <c r="G227">
        <v>38</v>
      </c>
      <c r="H227">
        <v>20</v>
      </c>
      <c r="I227">
        <v>7.9</v>
      </c>
      <c r="J227">
        <v>0.39100000000000001</v>
      </c>
      <c r="K227">
        <v>5.3</v>
      </c>
      <c r="L227">
        <v>0.34499999999999997</v>
      </c>
      <c r="M227">
        <v>2.6</v>
      </c>
      <c r="N227">
        <v>0.48499999999999999</v>
      </c>
      <c r="O227">
        <v>0.50700000000000001</v>
      </c>
      <c r="P227">
        <v>0.9</v>
      </c>
      <c r="Q227">
        <v>0.8</v>
      </c>
      <c r="R227">
        <v>2.4</v>
      </c>
      <c r="S227">
        <v>2</v>
      </c>
      <c r="T227">
        <v>0.5</v>
      </c>
      <c r="U227">
        <v>0.2</v>
      </c>
      <c r="V227">
        <v>1.4</v>
      </c>
      <c r="W227">
        <v>1.1000000000000001</v>
      </c>
      <c r="X227">
        <v>8.8000000000000007</v>
      </c>
      <c r="Y227">
        <v>6</v>
      </c>
      <c r="Z227">
        <v>-3.5</v>
      </c>
      <c r="AA227">
        <v>9.8000000000000007</v>
      </c>
      <c r="AB227">
        <v>-8.9999999999999993E-3</v>
      </c>
    </row>
    <row r="228" spans="1:28" x14ac:dyDescent="0.35">
      <c r="A228" s="1" t="s">
        <v>2</v>
      </c>
      <c r="B228" s="1" t="s">
        <v>598</v>
      </c>
      <c r="C228" s="1" t="s">
        <v>23</v>
      </c>
      <c r="D228" s="1" t="s">
        <v>28</v>
      </c>
      <c r="E228" s="4">
        <v>1.6</v>
      </c>
      <c r="F228">
        <v>30</v>
      </c>
      <c r="G228">
        <v>54</v>
      </c>
      <c r="H228">
        <v>19.3</v>
      </c>
      <c r="I228">
        <v>5.8</v>
      </c>
      <c r="J228">
        <v>0.44600000000000001</v>
      </c>
      <c r="K228">
        <v>3.1</v>
      </c>
      <c r="L228">
        <v>0.35299999999999998</v>
      </c>
      <c r="M228">
        <v>2.7</v>
      </c>
      <c r="N228">
        <v>0.55600000000000005</v>
      </c>
      <c r="O228">
        <v>0.54100000000000004</v>
      </c>
      <c r="P228">
        <v>0.9</v>
      </c>
      <c r="Q228">
        <v>0.82399999999999995</v>
      </c>
      <c r="R228">
        <v>2.9</v>
      </c>
      <c r="S228">
        <v>2.5</v>
      </c>
      <c r="T228">
        <v>1.6</v>
      </c>
      <c r="U228">
        <v>0.6</v>
      </c>
      <c r="V228">
        <v>0.7</v>
      </c>
      <c r="W228">
        <v>1.9</v>
      </c>
      <c r="X228">
        <v>7.1</v>
      </c>
      <c r="Y228">
        <v>7</v>
      </c>
      <c r="Z228">
        <v>4</v>
      </c>
      <c r="AA228">
        <v>15.9</v>
      </c>
      <c r="AB228">
        <v>0.18</v>
      </c>
    </row>
    <row r="229" spans="1:28" x14ac:dyDescent="0.35">
      <c r="A229" s="1" t="s">
        <v>2</v>
      </c>
      <c r="B229" s="1" t="s">
        <v>598</v>
      </c>
      <c r="C229" s="1" t="s">
        <v>23</v>
      </c>
      <c r="D229" s="1" t="s">
        <v>50</v>
      </c>
      <c r="E229" s="4">
        <v>-0.1</v>
      </c>
      <c r="F229">
        <v>24</v>
      </c>
      <c r="G229">
        <v>27</v>
      </c>
      <c r="H229">
        <v>18.5</v>
      </c>
      <c r="I229">
        <v>6.2</v>
      </c>
      <c r="J229">
        <v>0.40100000000000002</v>
      </c>
      <c r="K229">
        <v>3.5</v>
      </c>
      <c r="L229">
        <v>0.27400000000000002</v>
      </c>
      <c r="M229">
        <v>2.7</v>
      </c>
      <c r="N229">
        <v>0.56899999999999995</v>
      </c>
      <c r="O229">
        <v>0.47899999999999998</v>
      </c>
      <c r="P229">
        <v>0.9</v>
      </c>
      <c r="Q229">
        <v>0.79200000000000004</v>
      </c>
      <c r="R229">
        <v>3.6</v>
      </c>
      <c r="S229">
        <v>2</v>
      </c>
      <c r="T229">
        <v>0.4</v>
      </c>
      <c r="U229">
        <v>0.3</v>
      </c>
      <c r="V229">
        <v>1.2</v>
      </c>
      <c r="W229">
        <v>1.7</v>
      </c>
      <c r="X229">
        <v>6.6</v>
      </c>
      <c r="Y229">
        <v>2</v>
      </c>
      <c r="Z229">
        <v>-2.8</v>
      </c>
      <c r="AA229">
        <v>9.1999999999999993</v>
      </c>
      <c r="AB229">
        <v>0.04</v>
      </c>
    </row>
    <row r="230" spans="1:28" x14ac:dyDescent="0.35">
      <c r="A230" s="1" t="s">
        <v>18</v>
      </c>
      <c r="B230" s="1" t="s">
        <v>598</v>
      </c>
      <c r="C230" s="1" t="s">
        <v>33</v>
      </c>
      <c r="D230" s="1" t="s">
        <v>50</v>
      </c>
      <c r="E230" s="4">
        <v>0.1</v>
      </c>
      <c r="F230">
        <v>24</v>
      </c>
      <c r="G230">
        <v>36</v>
      </c>
      <c r="H230">
        <v>10.4</v>
      </c>
      <c r="I230">
        <v>3.3</v>
      </c>
      <c r="J230">
        <v>0.58099999999999996</v>
      </c>
      <c r="K230">
        <v>0</v>
      </c>
      <c r="M230">
        <v>3.3</v>
      </c>
      <c r="N230">
        <v>0.58099999999999996</v>
      </c>
      <c r="O230">
        <v>0.58099999999999996</v>
      </c>
      <c r="P230">
        <v>0.9</v>
      </c>
      <c r="Q230">
        <v>0.63600000000000001</v>
      </c>
      <c r="R230">
        <v>4.2</v>
      </c>
      <c r="S230">
        <v>0.5</v>
      </c>
      <c r="T230">
        <v>0.4</v>
      </c>
      <c r="U230">
        <v>0.8</v>
      </c>
      <c r="V230">
        <v>0.6</v>
      </c>
      <c r="W230">
        <v>1.4</v>
      </c>
      <c r="X230">
        <v>4.4000000000000004</v>
      </c>
      <c r="Y230">
        <v>3</v>
      </c>
      <c r="Z230">
        <v>-1.1000000000000001</v>
      </c>
      <c r="AA230">
        <v>19</v>
      </c>
      <c r="AB230">
        <v>0.13600000000000001</v>
      </c>
    </row>
    <row r="231" spans="1:28" x14ac:dyDescent="0.35">
      <c r="A231" s="1" t="s">
        <v>26</v>
      </c>
      <c r="B231" s="1" t="s">
        <v>597</v>
      </c>
      <c r="C231" s="1" t="s">
        <v>19</v>
      </c>
      <c r="D231" s="1" t="s">
        <v>20</v>
      </c>
      <c r="E231" s="4">
        <v>-0.3</v>
      </c>
      <c r="F231">
        <v>23</v>
      </c>
      <c r="G231">
        <v>74</v>
      </c>
      <c r="H231">
        <v>22</v>
      </c>
      <c r="I231">
        <v>6.5</v>
      </c>
      <c r="J231">
        <v>0.41199999999999998</v>
      </c>
      <c r="K231">
        <v>3.2</v>
      </c>
      <c r="L231">
        <v>0.33500000000000002</v>
      </c>
      <c r="M231">
        <v>3.3</v>
      </c>
      <c r="N231">
        <v>0.48799999999999999</v>
      </c>
      <c r="O231">
        <v>0.495</v>
      </c>
      <c r="P231">
        <v>0.9</v>
      </c>
      <c r="Q231">
        <v>0.873</v>
      </c>
      <c r="R231">
        <v>3.3</v>
      </c>
      <c r="S231">
        <v>1.5</v>
      </c>
      <c r="T231">
        <v>0.4</v>
      </c>
      <c r="U231">
        <v>0.2</v>
      </c>
      <c r="V231">
        <v>0.8</v>
      </c>
      <c r="W231">
        <v>1.3</v>
      </c>
      <c r="X231">
        <v>7.2</v>
      </c>
      <c r="Y231">
        <v>0</v>
      </c>
      <c r="Z231">
        <v>-2.6</v>
      </c>
      <c r="AA231">
        <v>9.9</v>
      </c>
      <c r="AB231">
        <v>7.2999999999999995E-2</v>
      </c>
    </row>
    <row r="232" spans="1:28" x14ac:dyDescent="0.35">
      <c r="A232" s="1" t="s">
        <v>2</v>
      </c>
      <c r="B232" s="1" t="s">
        <v>597</v>
      </c>
      <c r="C232" s="1" t="s">
        <v>23</v>
      </c>
      <c r="D232" s="1" t="s">
        <v>50</v>
      </c>
      <c r="E232" s="4">
        <v>-0.8</v>
      </c>
      <c r="F232">
        <v>22</v>
      </c>
      <c r="G232">
        <v>75</v>
      </c>
      <c r="H232">
        <v>19.600000000000001</v>
      </c>
      <c r="I232">
        <v>6.7</v>
      </c>
      <c r="J232">
        <v>0.40500000000000003</v>
      </c>
      <c r="K232">
        <v>3</v>
      </c>
      <c r="L232">
        <v>0.32300000000000001</v>
      </c>
      <c r="M232">
        <v>3.7</v>
      </c>
      <c r="N232">
        <v>0.47</v>
      </c>
      <c r="O232">
        <v>0.47599999999999998</v>
      </c>
      <c r="P232">
        <v>0.9</v>
      </c>
      <c r="Q232">
        <v>0.76800000000000002</v>
      </c>
      <c r="R232">
        <v>1.5</v>
      </c>
      <c r="S232">
        <v>4.2</v>
      </c>
      <c r="T232">
        <v>0.8</v>
      </c>
      <c r="U232">
        <v>0.1</v>
      </c>
      <c r="V232">
        <v>1.6</v>
      </c>
      <c r="W232">
        <v>2.1</v>
      </c>
      <c r="X232">
        <v>7.1</v>
      </c>
      <c r="Y232">
        <v>0</v>
      </c>
      <c r="Z232">
        <v>-4.0999999999999996</v>
      </c>
      <c r="AA232">
        <v>9.9</v>
      </c>
      <c r="AB232">
        <v>2.7E-2</v>
      </c>
    </row>
    <row r="233" spans="1:28" x14ac:dyDescent="0.35">
      <c r="A233" s="1" t="s">
        <v>18</v>
      </c>
      <c r="B233" s="1" t="s">
        <v>598</v>
      </c>
      <c r="C233" s="1" t="s">
        <v>23</v>
      </c>
      <c r="D233" s="1" t="s">
        <v>20</v>
      </c>
      <c r="E233" s="4">
        <v>0.4</v>
      </c>
      <c r="F233">
        <v>27</v>
      </c>
      <c r="G233">
        <v>20</v>
      </c>
      <c r="H233">
        <v>17.600000000000001</v>
      </c>
      <c r="I233">
        <v>3.9</v>
      </c>
      <c r="J233">
        <v>0.64100000000000001</v>
      </c>
      <c r="K233">
        <v>0.2</v>
      </c>
      <c r="L233">
        <v>0.33300000000000002</v>
      </c>
      <c r="M233">
        <v>3.8</v>
      </c>
      <c r="N233">
        <v>0.65300000000000002</v>
      </c>
      <c r="O233">
        <v>0.64700000000000002</v>
      </c>
      <c r="P233">
        <v>0.9</v>
      </c>
      <c r="Q233">
        <v>0.88200000000000001</v>
      </c>
      <c r="R233">
        <v>5.9</v>
      </c>
      <c r="S233">
        <v>1.1000000000000001</v>
      </c>
      <c r="T233">
        <v>0.7</v>
      </c>
      <c r="U233">
        <v>1.7</v>
      </c>
      <c r="V233">
        <v>0.9</v>
      </c>
      <c r="W233">
        <v>1.6</v>
      </c>
      <c r="X233">
        <v>5.8</v>
      </c>
      <c r="Y233">
        <v>6</v>
      </c>
      <c r="Z233">
        <v>3</v>
      </c>
      <c r="AA233">
        <v>18.899999999999999</v>
      </c>
      <c r="AB233">
        <v>0.17499999999999999</v>
      </c>
    </row>
    <row r="234" spans="1:28" x14ac:dyDescent="0.35">
      <c r="A234" s="1" t="s">
        <v>18</v>
      </c>
      <c r="B234" s="1" t="s">
        <v>598</v>
      </c>
      <c r="C234" s="1" t="s">
        <v>19</v>
      </c>
      <c r="D234" s="1" t="s">
        <v>20</v>
      </c>
      <c r="E234" s="4">
        <v>-0.2</v>
      </c>
      <c r="F234">
        <v>32</v>
      </c>
      <c r="G234">
        <v>28</v>
      </c>
      <c r="H234">
        <v>18.899999999999999</v>
      </c>
      <c r="I234">
        <v>4.0999999999999996</v>
      </c>
      <c r="J234">
        <v>0.58799999999999997</v>
      </c>
      <c r="K234">
        <v>0</v>
      </c>
      <c r="M234">
        <v>4.0999999999999996</v>
      </c>
      <c r="N234">
        <v>0.58799999999999997</v>
      </c>
      <c r="O234">
        <v>0.58799999999999997</v>
      </c>
      <c r="P234">
        <v>0.9</v>
      </c>
      <c r="Q234">
        <v>0.4</v>
      </c>
      <c r="R234">
        <v>5.6</v>
      </c>
      <c r="S234">
        <v>1.1000000000000001</v>
      </c>
      <c r="T234">
        <v>0.6</v>
      </c>
      <c r="U234">
        <v>0.8</v>
      </c>
      <c r="V234">
        <v>1</v>
      </c>
      <c r="W234">
        <v>1.9</v>
      </c>
      <c r="X234">
        <v>5.0999999999999996</v>
      </c>
      <c r="Y234">
        <v>13</v>
      </c>
      <c r="Z234">
        <v>-3.6</v>
      </c>
      <c r="AA234">
        <v>12.2</v>
      </c>
      <c r="AB234">
        <v>7.0999999999999994E-2</v>
      </c>
    </row>
    <row r="235" spans="1:28" x14ac:dyDescent="0.35">
      <c r="A235" s="1" t="s">
        <v>26</v>
      </c>
      <c r="B235" s="1" t="s">
        <v>598</v>
      </c>
      <c r="C235" s="1" t="s">
        <v>23</v>
      </c>
      <c r="D235" s="1" t="s">
        <v>20</v>
      </c>
      <c r="E235" s="4">
        <v>0.2</v>
      </c>
      <c r="F235">
        <v>24</v>
      </c>
      <c r="G235">
        <v>76</v>
      </c>
      <c r="H235">
        <v>34.299999999999997</v>
      </c>
      <c r="I235">
        <v>10.8</v>
      </c>
      <c r="J235">
        <v>0.44400000000000001</v>
      </c>
      <c r="K235">
        <v>5.9</v>
      </c>
      <c r="L235">
        <v>0.34300000000000003</v>
      </c>
      <c r="M235">
        <v>4.9000000000000004</v>
      </c>
      <c r="N235">
        <v>0.56599999999999995</v>
      </c>
      <c r="O235">
        <v>0.53800000000000003</v>
      </c>
      <c r="P235">
        <v>0.9</v>
      </c>
      <c r="Q235">
        <v>0.83299999999999996</v>
      </c>
      <c r="R235">
        <v>6.7</v>
      </c>
      <c r="S235">
        <v>1.4</v>
      </c>
      <c r="T235">
        <v>0.8</v>
      </c>
      <c r="U235">
        <v>0.9</v>
      </c>
      <c r="V235">
        <v>0.8</v>
      </c>
      <c r="W235">
        <v>2.4</v>
      </c>
      <c r="X235">
        <v>12.4</v>
      </c>
      <c r="Y235">
        <v>2</v>
      </c>
      <c r="Z235">
        <v>-1.6</v>
      </c>
      <c r="AA235">
        <v>12</v>
      </c>
      <c r="AB235">
        <v>8.2000000000000003E-2</v>
      </c>
    </row>
    <row r="236" spans="1:28" x14ac:dyDescent="0.35">
      <c r="A236" s="1" t="s">
        <v>26</v>
      </c>
      <c r="B236" s="1" t="s">
        <v>597</v>
      </c>
      <c r="C236" s="1" t="s">
        <v>23</v>
      </c>
      <c r="D236" s="1" t="s">
        <v>28</v>
      </c>
      <c r="E236" s="4">
        <v>-0.3</v>
      </c>
      <c r="F236">
        <v>32</v>
      </c>
      <c r="G236">
        <v>51</v>
      </c>
      <c r="H236">
        <v>7.8</v>
      </c>
      <c r="I236">
        <v>1.7</v>
      </c>
      <c r="J236">
        <v>0.48899999999999999</v>
      </c>
      <c r="K236">
        <v>0.6</v>
      </c>
      <c r="L236">
        <v>0.32300000000000001</v>
      </c>
      <c r="M236">
        <v>1.1000000000000001</v>
      </c>
      <c r="N236">
        <v>0.57899999999999996</v>
      </c>
      <c r="O236">
        <v>0.54500000000000004</v>
      </c>
      <c r="P236">
        <v>1</v>
      </c>
      <c r="Q236">
        <v>0.66</v>
      </c>
      <c r="R236">
        <v>1.3</v>
      </c>
      <c r="S236">
        <v>0.3</v>
      </c>
      <c r="T236">
        <v>0.2</v>
      </c>
      <c r="U236">
        <v>0</v>
      </c>
      <c r="V236">
        <v>0.2</v>
      </c>
      <c r="W236">
        <v>0.6</v>
      </c>
      <c r="X236">
        <v>2.5</v>
      </c>
      <c r="Y236">
        <v>4</v>
      </c>
      <c r="Z236">
        <v>-4.5</v>
      </c>
      <c r="AA236">
        <v>10.199999999999999</v>
      </c>
      <c r="AB236">
        <v>5.8000000000000003E-2</v>
      </c>
    </row>
    <row r="237" spans="1:28" x14ac:dyDescent="0.35">
      <c r="A237" s="1" t="s">
        <v>26</v>
      </c>
      <c r="B237" s="1" t="s">
        <v>598</v>
      </c>
      <c r="C237" s="1" t="s">
        <v>19</v>
      </c>
      <c r="D237" s="1" t="s">
        <v>28</v>
      </c>
      <c r="E237" s="4">
        <v>0</v>
      </c>
      <c r="F237">
        <v>28</v>
      </c>
      <c r="G237">
        <v>6</v>
      </c>
      <c r="H237">
        <v>8.6999999999999993</v>
      </c>
      <c r="I237">
        <v>2.8</v>
      </c>
      <c r="J237">
        <v>0.47099999999999997</v>
      </c>
      <c r="K237">
        <v>1.7</v>
      </c>
      <c r="L237">
        <v>0.3</v>
      </c>
      <c r="M237">
        <v>1.2</v>
      </c>
      <c r="N237">
        <v>0.71399999999999997</v>
      </c>
      <c r="O237">
        <v>0.55900000000000005</v>
      </c>
      <c r="P237">
        <v>1</v>
      </c>
      <c r="Q237">
        <v>0.5</v>
      </c>
      <c r="R237">
        <v>1.8</v>
      </c>
      <c r="S237">
        <v>0.7</v>
      </c>
      <c r="T237">
        <v>0.7</v>
      </c>
      <c r="U237">
        <v>0</v>
      </c>
      <c r="V237">
        <v>0.2</v>
      </c>
      <c r="W237">
        <v>0.7</v>
      </c>
      <c r="X237">
        <v>3.7</v>
      </c>
      <c r="Y237">
        <v>0</v>
      </c>
      <c r="Z237">
        <v>1</v>
      </c>
      <c r="AA237">
        <v>15.9</v>
      </c>
      <c r="AB237">
        <v>0.153</v>
      </c>
    </row>
    <row r="238" spans="1:28" x14ac:dyDescent="0.35">
      <c r="A238" s="1" t="s">
        <v>2</v>
      </c>
      <c r="B238" s="1" t="s">
        <v>597</v>
      </c>
      <c r="C238" s="1" t="s">
        <v>23</v>
      </c>
      <c r="D238" s="1" t="s">
        <v>20</v>
      </c>
      <c r="E238" s="4">
        <v>0.5</v>
      </c>
      <c r="F238">
        <v>33</v>
      </c>
      <c r="G238">
        <v>49</v>
      </c>
      <c r="H238">
        <v>17.600000000000001</v>
      </c>
      <c r="I238">
        <v>5.5</v>
      </c>
      <c r="J238">
        <v>0.42399999999999999</v>
      </c>
      <c r="K238">
        <v>4.2</v>
      </c>
      <c r="L238">
        <v>0.42499999999999999</v>
      </c>
      <c r="M238">
        <v>1.3</v>
      </c>
      <c r="N238">
        <v>0.42199999999999999</v>
      </c>
      <c r="O238">
        <v>0.58699999999999997</v>
      </c>
      <c r="P238">
        <v>1</v>
      </c>
      <c r="Q238">
        <v>0.77600000000000002</v>
      </c>
      <c r="R238">
        <v>2.5</v>
      </c>
      <c r="S238">
        <v>1.1000000000000001</v>
      </c>
      <c r="T238">
        <v>0.6</v>
      </c>
      <c r="U238">
        <v>0.1</v>
      </c>
      <c r="V238">
        <v>0.6</v>
      </c>
      <c r="W238">
        <v>0.8</v>
      </c>
      <c r="X238">
        <v>7.3</v>
      </c>
      <c r="Y238">
        <v>13</v>
      </c>
      <c r="Z238">
        <v>0.3</v>
      </c>
      <c r="AA238">
        <v>12.8</v>
      </c>
      <c r="AB238">
        <v>0.1</v>
      </c>
    </row>
    <row r="239" spans="1:28" x14ac:dyDescent="0.35">
      <c r="A239" s="1" t="s">
        <v>26</v>
      </c>
      <c r="B239" s="1" t="s">
        <v>597</v>
      </c>
      <c r="C239" s="1" t="s">
        <v>23</v>
      </c>
      <c r="D239" s="1" t="s">
        <v>50</v>
      </c>
      <c r="E239" s="4">
        <v>-0.3</v>
      </c>
      <c r="F239">
        <v>21</v>
      </c>
      <c r="G239">
        <v>79</v>
      </c>
      <c r="H239">
        <v>14.2</v>
      </c>
      <c r="I239">
        <v>3.6</v>
      </c>
      <c r="J239">
        <v>0.44600000000000001</v>
      </c>
      <c r="K239">
        <v>1.9</v>
      </c>
      <c r="L239">
        <v>0.32700000000000001</v>
      </c>
      <c r="M239">
        <v>1.7</v>
      </c>
      <c r="N239">
        <v>0.58199999999999996</v>
      </c>
      <c r="O239">
        <v>0.53300000000000003</v>
      </c>
      <c r="P239">
        <v>1</v>
      </c>
      <c r="Q239">
        <v>0.78900000000000003</v>
      </c>
      <c r="R239">
        <v>2.1</v>
      </c>
      <c r="S239">
        <v>0.5</v>
      </c>
      <c r="T239">
        <v>0.5</v>
      </c>
      <c r="U239">
        <v>0.3</v>
      </c>
      <c r="V239">
        <v>0.3</v>
      </c>
      <c r="W239">
        <v>1.4</v>
      </c>
      <c r="X239">
        <v>4.5999999999999996</v>
      </c>
      <c r="Y239">
        <v>1</v>
      </c>
      <c r="Z239">
        <v>-3</v>
      </c>
      <c r="AA239">
        <v>10.199999999999999</v>
      </c>
      <c r="AB239">
        <v>0.08</v>
      </c>
    </row>
    <row r="240" spans="1:28" x14ac:dyDescent="0.35">
      <c r="A240" s="1" t="s">
        <v>26</v>
      </c>
      <c r="B240" s="1" t="s">
        <v>598</v>
      </c>
      <c r="C240" s="1" t="s">
        <v>19</v>
      </c>
      <c r="D240" s="1" t="s">
        <v>50</v>
      </c>
      <c r="E240" s="4">
        <v>0.7</v>
      </c>
      <c r="F240">
        <v>25</v>
      </c>
      <c r="G240">
        <v>61</v>
      </c>
      <c r="H240">
        <v>11.2</v>
      </c>
      <c r="I240">
        <v>4.5999999999999996</v>
      </c>
      <c r="J240">
        <v>0.502</v>
      </c>
      <c r="K240">
        <v>2.6</v>
      </c>
      <c r="L240">
        <v>0.373</v>
      </c>
      <c r="M240">
        <v>2</v>
      </c>
      <c r="N240">
        <v>0.67500000000000004</v>
      </c>
      <c r="O240">
        <v>0.60899999999999999</v>
      </c>
      <c r="P240">
        <v>1</v>
      </c>
      <c r="Q240">
        <v>0.74099999999999999</v>
      </c>
      <c r="R240">
        <v>3.1</v>
      </c>
      <c r="S240">
        <v>0.8</v>
      </c>
      <c r="T240">
        <v>0.4</v>
      </c>
      <c r="U240">
        <v>0.3</v>
      </c>
      <c r="V240">
        <v>0.4</v>
      </c>
      <c r="W240">
        <v>1</v>
      </c>
      <c r="X240">
        <v>6.3</v>
      </c>
      <c r="Y240">
        <v>3</v>
      </c>
      <c r="Z240">
        <v>2.2999999999999998</v>
      </c>
      <c r="AA240">
        <v>19.7</v>
      </c>
      <c r="AB240">
        <v>0.152</v>
      </c>
    </row>
    <row r="241" spans="1:28" x14ac:dyDescent="0.35">
      <c r="A241" s="1" t="s">
        <v>26</v>
      </c>
      <c r="B241" s="1" t="s">
        <v>597</v>
      </c>
      <c r="C241" s="1" t="s">
        <v>23</v>
      </c>
      <c r="D241" s="1" t="s">
        <v>20</v>
      </c>
      <c r="E241" s="4">
        <v>0.2</v>
      </c>
      <c r="F241">
        <v>36</v>
      </c>
      <c r="G241">
        <v>23</v>
      </c>
      <c r="H241">
        <v>10.9</v>
      </c>
      <c r="I241">
        <v>5</v>
      </c>
      <c r="J241">
        <v>0.35699999999999998</v>
      </c>
      <c r="K241">
        <v>2.9</v>
      </c>
      <c r="L241">
        <v>0.35799999999999998</v>
      </c>
      <c r="M241">
        <v>2.1</v>
      </c>
      <c r="N241">
        <v>0.35399999999999998</v>
      </c>
      <c r="O241">
        <v>0.46100000000000002</v>
      </c>
      <c r="P241">
        <v>1</v>
      </c>
      <c r="Q241">
        <v>0.69599999999999995</v>
      </c>
      <c r="R241">
        <v>4.0999999999999996</v>
      </c>
      <c r="S241">
        <v>1</v>
      </c>
      <c r="T241">
        <v>0.7</v>
      </c>
      <c r="U241">
        <v>0.2</v>
      </c>
      <c r="V241">
        <v>0.6</v>
      </c>
      <c r="W241">
        <v>0.9</v>
      </c>
      <c r="X241">
        <v>5.3</v>
      </c>
      <c r="Y241">
        <v>16</v>
      </c>
      <c r="Z241">
        <v>0.4</v>
      </c>
      <c r="AA241">
        <v>16.2</v>
      </c>
      <c r="AB241">
        <v>8.3000000000000004E-2</v>
      </c>
    </row>
    <row r="242" spans="1:28" x14ac:dyDescent="0.35">
      <c r="A242" s="1" t="s">
        <v>18</v>
      </c>
      <c r="B242" s="1" t="s">
        <v>598</v>
      </c>
      <c r="C242" s="1" t="s">
        <v>19</v>
      </c>
      <c r="D242" s="1" t="s">
        <v>28</v>
      </c>
      <c r="E242" s="4">
        <v>-0.2</v>
      </c>
      <c r="F242">
        <v>32</v>
      </c>
      <c r="G242">
        <v>38</v>
      </c>
      <c r="H242">
        <v>16.3</v>
      </c>
      <c r="I242">
        <v>3.4</v>
      </c>
      <c r="J242">
        <v>0.47299999999999998</v>
      </c>
      <c r="K242">
        <v>1</v>
      </c>
      <c r="L242">
        <v>0.24299999999999999</v>
      </c>
      <c r="M242">
        <v>2.4</v>
      </c>
      <c r="N242">
        <v>0.56499999999999995</v>
      </c>
      <c r="O242">
        <v>0.50800000000000001</v>
      </c>
      <c r="P242">
        <v>1</v>
      </c>
      <c r="Q242">
        <v>0.83799999999999997</v>
      </c>
      <c r="R242">
        <v>4.3</v>
      </c>
      <c r="S242">
        <v>1.6</v>
      </c>
      <c r="T242">
        <v>0.5</v>
      </c>
      <c r="U242">
        <v>0.5</v>
      </c>
      <c r="V242">
        <v>0.7</v>
      </c>
      <c r="W242">
        <v>1.8</v>
      </c>
      <c r="X242">
        <v>4.3</v>
      </c>
      <c r="Y242">
        <v>7</v>
      </c>
      <c r="Z242">
        <v>-3.3</v>
      </c>
      <c r="AA242">
        <v>12.1</v>
      </c>
      <c r="AB242">
        <v>7.6999999999999999E-2</v>
      </c>
    </row>
    <row r="243" spans="1:28" x14ac:dyDescent="0.35">
      <c r="A243" s="1" t="s">
        <v>26</v>
      </c>
      <c r="B243" s="1" t="s">
        <v>598</v>
      </c>
      <c r="C243" s="1" t="s">
        <v>23</v>
      </c>
      <c r="D243" s="1" t="s">
        <v>50</v>
      </c>
      <c r="E243" s="4">
        <v>0.2</v>
      </c>
      <c r="F243">
        <v>25</v>
      </c>
      <c r="G243">
        <v>36</v>
      </c>
      <c r="H243">
        <v>16.100000000000001</v>
      </c>
      <c r="I243">
        <v>3.4</v>
      </c>
      <c r="J243">
        <v>0.48799999999999999</v>
      </c>
      <c r="K243">
        <v>0.9</v>
      </c>
      <c r="L243">
        <v>0.28100000000000003</v>
      </c>
      <c r="M243">
        <v>2.5</v>
      </c>
      <c r="N243">
        <v>0.56200000000000006</v>
      </c>
      <c r="O243">
        <v>0.52500000000000002</v>
      </c>
      <c r="P243">
        <v>1</v>
      </c>
      <c r="Q243">
        <v>0.55600000000000005</v>
      </c>
      <c r="R243">
        <v>5.0999999999999996</v>
      </c>
      <c r="S243">
        <v>1.1000000000000001</v>
      </c>
      <c r="T243">
        <v>1</v>
      </c>
      <c r="U243">
        <v>0.3</v>
      </c>
      <c r="V243">
        <v>0.8</v>
      </c>
      <c r="W243">
        <v>1.9</v>
      </c>
      <c r="X243">
        <v>4.0999999999999996</v>
      </c>
      <c r="Y243">
        <v>6</v>
      </c>
      <c r="Z243">
        <v>-1</v>
      </c>
      <c r="AA243">
        <v>13.2</v>
      </c>
      <c r="AB243">
        <v>0.114</v>
      </c>
    </row>
    <row r="244" spans="1:28" x14ac:dyDescent="0.35">
      <c r="A244" s="1" t="s">
        <v>2</v>
      </c>
      <c r="B244" s="1" t="s">
        <v>598</v>
      </c>
      <c r="C244" s="1" t="s">
        <v>23</v>
      </c>
      <c r="D244" s="1" t="s">
        <v>20</v>
      </c>
      <c r="E244" s="4">
        <v>1.6</v>
      </c>
      <c r="F244">
        <v>28</v>
      </c>
      <c r="G244">
        <v>62</v>
      </c>
      <c r="H244">
        <v>25.9</v>
      </c>
      <c r="I244">
        <v>9.6</v>
      </c>
      <c r="J244">
        <v>0.42199999999999999</v>
      </c>
      <c r="K244">
        <v>7.1</v>
      </c>
      <c r="L244">
        <v>0.39700000000000002</v>
      </c>
      <c r="M244">
        <v>2.5</v>
      </c>
      <c r="N244">
        <v>0.49</v>
      </c>
      <c r="O244">
        <v>0.56799999999999995</v>
      </c>
      <c r="P244">
        <v>1</v>
      </c>
      <c r="Q244">
        <v>0.77800000000000002</v>
      </c>
      <c r="R244">
        <v>3.7</v>
      </c>
      <c r="S244">
        <v>3.6</v>
      </c>
      <c r="T244">
        <v>1.2</v>
      </c>
      <c r="U244">
        <v>0.3</v>
      </c>
      <c r="V244">
        <v>1.6</v>
      </c>
      <c r="W244">
        <v>1.8</v>
      </c>
      <c r="X244">
        <v>11.7</v>
      </c>
      <c r="Y244">
        <v>6</v>
      </c>
      <c r="Z244">
        <v>1.9</v>
      </c>
      <c r="AA244">
        <v>14.1</v>
      </c>
      <c r="AB244">
        <v>0.115</v>
      </c>
    </row>
    <row r="245" spans="1:28" x14ac:dyDescent="0.35">
      <c r="A245" s="1" t="s">
        <v>2</v>
      </c>
      <c r="B245" s="1" t="s">
        <v>35</v>
      </c>
      <c r="C245" s="1" t="s">
        <v>23</v>
      </c>
      <c r="D245" s="1" t="s">
        <v>50</v>
      </c>
      <c r="E245" s="4">
        <v>0</v>
      </c>
      <c r="F245">
        <v>28</v>
      </c>
      <c r="G245">
        <v>57</v>
      </c>
      <c r="H245">
        <v>14.7</v>
      </c>
      <c r="I245">
        <v>4.5</v>
      </c>
      <c r="J245">
        <v>0.45300000000000001</v>
      </c>
      <c r="K245">
        <v>1.9</v>
      </c>
      <c r="L245">
        <v>0.35799999999999998</v>
      </c>
      <c r="M245">
        <v>2.6</v>
      </c>
      <c r="N245">
        <v>0.52</v>
      </c>
      <c r="O245">
        <v>0.52800000000000002</v>
      </c>
      <c r="P245">
        <v>1</v>
      </c>
      <c r="Q245">
        <v>0.79700000000000004</v>
      </c>
      <c r="R245">
        <v>1.8</v>
      </c>
      <c r="S245">
        <v>1.8</v>
      </c>
      <c r="T245">
        <v>0.4</v>
      </c>
      <c r="U245">
        <v>0.1</v>
      </c>
      <c r="V245">
        <v>0.7</v>
      </c>
      <c r="W245">
        <v>1.2</v>
      </c>
      <c r="X245">
        <v>5.5</v>
      </c>
      <c r="Y245">
        <v>6</v>
      </c>
      <c r="Z245">
        <v>-2.2000000000000002</v>
      </c>
      <c r="AA245">
        <v>11.9</v>
      </c>
      <c r="AB245">
        <v>7.6999999999999999E-2</v>
      </c>
    </row>
    <row r="246" spans="1:28" x14ac:dyDescent="0.35">
      <c r="A246" s="1" t="s">
        <v>18</v>
      </c>
      <c r="B246" s="1" t="s">
        <v>35</v>
      </c>
      <c r="C246" s="1" t="s">
        <v>23</v>
      </c>
      <c r="D246" s="1" t="s">
        <v>50</v>
      </c>
      <c r="E246" s="4">
        <v>0.6</v>
      </c>
      <c r="F246">
        <v>27</v>
      </c>
      <c r="G246">
        <v>66</v>
      </c>
      <c r="H246">
        <v>14.6</v>
      </c>
      <c r="I246">
        <v>4.9000000000000004</v>
      </c>
      <c r="J246">
        <v>0.50800000000000001</v>
      </c>
      <c r="K246">
        <v>2.2000000000000002</v>
      </c>
      <c r="L246">
        <v>0.32400000000000001</v>
      </c>
      <c r="M246">
        <v>2.6</v>
      </c>
      <c r="N246">
        <v>0.66500000000000004</v>
      </c>
      <c r="O246">
        <v>0.58299999999999996</v>
      </c>
      <c r="P246">
        <v>1</v>
      </c>
      <c r="Q246">
        <v>0.85899999999999999</v>
      </c>
      <c r="R246">
        <v>3.8</v>
      </c>
      <c r="S246">
        <v>0.8</v>
      </c>
      <c r="T246">
        <v>0.4</v>
      </c>
      <c r="U246">
        <v>0.6</v>
      </c>
      <c r="V246">
        <v>0.5</v>
      </c>
      <c r="W246">
        <v>1.2</v>
      </c>
      <c r="X246">
        <v>6.5</v>
      </c>
      <c r="Y246">
        <v>7</v>
      </c>
      <c r="Z246">
        <v>0.6</v>
      </c>
      <c r="AA246">
        <v>17.2</v>
      </c>
      <c r="AB246">
        <v>0.152</v>
      </c>
    </row>
    <row r="247" spans="1:28" x14ac:dyDescent="0.35">
      <c r="A247" s="1" t="s">
        <v>2</v>
      </c>
      <c r="B247" s="1" t="s">
        <v>35</v>
      </c>
      <c r="C247" s="1" t="s">
        <v>33</v>
      </c>
      <c r="D247" s="1" t="s">
        <v>28</v>
      </c>
      <c r="E247" s="4">
        <v>-0.2</v>
      </c>
      <c r="F247">
        <v>24</v>
      </c>
      <c r="G247">
        <v>13</v>
      </c>
      <c r="H247">
        <v>14.1</v>
      </c>
      <c r="I247">
        <v>6</v>
      </c>
      <c r="J247">
        <v>0.39700000000000002</v>
      </c>
      <c r="K247">
        <v>3.4</v>
      </c>
      <c r="L247">
        <v>0.29499999999999998</v>
      </c>
      <c r="M247">
        <v>2.6</v>
      </c>
      <c r="N247">
        <v>0.52900000000000003</v>
      </c>
      <c r="O247">
        <v>0.48099999999999998</v>
      </c>
      <c r="P247">
        <v>1</v>
      </c>
      <c r="Q247">
        <v>0.84599999999999997</v>
      </c>
      <c r="R247">
        <v>1.5</v>
      </c>
      <c r="S247">
        <v>1.8</v>
      </c>
      <c r="T247">
        <v>0.2</v>
      </c>
      <c r="U247">
        <v>0.2</v>
      </c>
      <c r="V247">
        <v>1.1000000000000001</v>
      </c>
      <c r="W247">
        <v>1.4</v>
      </c>
      <c r="X247">
        <v>6.6</v>
      </c>
      <c r="Y247">
        <v>2</v>
      </c>
      <c r="Z247">
        <v>-6.1</v>
      </c>
      <c r="AA247">
        <v>9.5</v>
      </c>
      <c r="AB247">
        <v>-2.5000000000000001E-2</v>
      </c>
    </row>
    <row r="248" spans="1:28" x14ac:dyDescent="0.35">
      <c r="A248" s="1" t="s">
        <v>2</v>
      </c>
      <c r="B248" s="1" t="s">
        <v>598</v>
      </c>
      <c r="C248" s="1" t="s">
        <v>33</v>
      </c>
      <c r="D248" s="1" t="s">
        <v>20</v>
      </c>
      <c r="E248" s="4">
        <v>0.6</v>
      </c>
      <c r="F248">
        <v>27</v>
      </c>
      <c r="G248">
        <v>15</v>
      </c>
      <c r="H248">
        <v>20.8</v>
      </c>
      <c r="I248">
        <v>5.9</v>
      </c>
      <c r="J248">
        <v>0.47699999999999998</v>
      </c>
      <c r="K248">
        <v>3.2</v>
      </c>
      <c r="L248">
        <v>0.438</v>
      </c>
      <c r="M248">
        <v>2.7</v>
      </c>
      <c r="N248">
        <v>0.52500000000000002</v>
      </c>
      <c r="O248">
        <v>0.59699999999999998</v>
      </c>
      <c r="P248">
        <v>1</v>
      </c>
      <c r="Q248">
        <v>0.46700000000000003</v>
      </c>
      <c r="R248">
        <v>3.5</v>
      </c>
      <c r="S248">
        <v>1.9</v>
      </c>
      <c r="T248">
        <v>2.2000000000000002</v>
      </c>
      <c r="U248">
        <v>0.6</v>
      </c>
      <c r="V248">
        <v>0.9</v>
      </c>
      <c r="W248">
        <v>0.9</v>
      </c>
      <c r="X248">
        <v>7.5</v>
      </c>
      <c r="Y248">
        <v>5</v>
      </c>
      <c r="Z248">
        <v>5</v>
      </c>
      <c r="AA248">
        <v>17</v>
      </c>
      <c r="AB248">
        <v>0.14599999999999999</v>
      </c>
    </row>
    <row r="249" spans="1:28" x14ac:dyDescent="0.35">
      <c r="A249" s="1" t="s">
        <v>18</v>
      </c>
      <c r="B249" s="1" t="s">
        <v>598</v>
      </c>
      <c r="C249" s="1" t="s">
        <v>19</v>
      </c>
      <c r="D249" s="1" t="s">
        <v>28</v>
      </c>
      <c r="E249" s="4">
        <v>0.3</v>
      </c>
      <c r="F249">
        <v>29</v>
      </c>
      <c r="G249">
        <v>42</v>
      </c>
      <c r="H249">
        <v>11.9</v>
      </c>
      <c r="I249">
        <v>3.6</v>
      </c>
      <c r="J249">
        <v>0.53300000000000003</v>
      </c>
      <c r="K249">
        <v>0.6</v>
      </c>
      <c r="L249">
        <v>0.42299999999999999</v>
      </c>
      <c r="M249">
        <v>3</v>
      </c>
      <c r="N249">
        <v>0.55600000000000005</v>
      </c>
      <c r="O249">
        <v>0.56899999999999995</v>
      </c>
      <c r="P249">
        <v>1</v>
      </c>
      <c r="Q249">
        <v>0.67500000000000004</v>
      </c>
      <c r="R249">
        <v>3.3</v>
      </c>
      <c r="S249">
        <v>0.9</v>
      </c>
      <c r="T249">
        <v>0.3</v>
      </c>
      <c r="U249">
        <v>0.2</v>
      </c>
      <c r="V249">
        <v>0.5</v>
      </c>
      <c r="W249">
        <v>1.2</v>
      </c>
      <c r="X249">
        <v>4.8</v>
      </c>
      <c r="Y249">
        <v>3</v>
      </c>
      <c r="Z249">
        <v>0.4</v>
      </c>
      <c r="AA249">
        <v>16</v>
      </c>
      <c r="AB249">
        <v>0.159</v>
      </c>
    </row>
    <row r="250" spans="1:28" x14ac:dyDescent="0.35">
      <c r="A250" s="1" t="s">
        <v>2</v>
      </c>
      <c r="B250" s="1" t="s">
        <v>598</v>
      </c>
      <c r="C250" s="1" t="s">
        <v>23</v>
      </c>
      <c r="D250" s="1" t="s">
        <v>28</v>
      </c>
      <c r="E250" s="4">
        <v>0</v>
      </c>
      <c r="F250">
        <v>26</v>
      </c>
      <c r="G250">
        <v>2</v>
      </c>
      <c r="H250">
        <v>10</v>
      </c>
      <c r="I250">
        <v>5</v>
      </c>
      <c r="J250">
        <v>0.2</v>
      </c>
      <c r="K250">
        <v>2</v>
      </c>
      <c r="L250">
        <v>0.25</v>
      </c>
      <c r="M250">
        <v>3</v>
      </c>
      <c r="N250">
        <v>0.16700000000000001</v>
      </c>
      <c r="O250">
        <v>0.25</v>
      </c>
      <c r="P250">
        <v>1</v>
      </c>
      <c r="Q250">
        <v>0.5</v>
      </c>
      <c r="R250">
        <v>4</v>
      </c>
      <c r="S250">
        <v>0.5</v>
      </c>
      <c r="T250">
        <v>1</v>
      </c>
      <c r="U250">
        <v>0</v>
      </c>
      <c r="V250">
        <v>1</v>
      </c>
      <c r="W250">
        <v>0</v>
      </c>
      <c r="X250">
        <v>3</v>
      </c>
      <c r="Y250">
        <v>1</v>
      </c>
      <c r="Z250">
        <v>-4.3</v>
      </c>
      <c r="AA250">
        <v>7.1</v>
      </c>
      <c r="AB250">
        <v>-0.15</v>
      </c>
    </row>
    <row r="251" spans="1:28" x14ac:dyDescent="0.35">
      <c r="A251" s="1" t="s">
        <v>2</v>
      </c>
      <c r="B251" s="1" t="s">
        <v>597</v>
      </c>
      <c r="C251" s="1" t="s">
        <v>23</v>
      </c>
      <c r="D251" s="1" t="s">
        <v>50</v>
      </c>
      <c r="E251" s="4">
        <v>-0.2</v>
      </c>
      <c r="F251">
        <v>25</v>
      </c>
      <c r="G251">
        <v>60</v>
      </c>
      <c r="H251">
        <v>21.9</v>
      </c>
      <c r="I251">
        <v>7.8</v>
      </c>
      <c r="J251">
        <v>0.40600000000000003</v>
      </c>
      <c r="K251">
        <v>4.7</v>
      </c>
      <c r="L251">
        <v>0.35099999999999998</v>
      </c>
      <c r="M251">
        <v>3.1</v>
      </c>
      <c r="N251">
        <v>0.49199999999999999</v>
      </c>
      <c r="O251">
        <v>0.51300000000000001</v>
      </c>
      <c r="P251">
        <v>1</v>
      </c>
      <c r="Q251">
        <v>0.79300000000000004</v>
      </c>
      <c r="R251">
        <v>3.7</v>
      </c>
      <c r="S251">
        <v>2</v>
      </c>
      <c r="T251">
        <v>0.6</v>
      </c>
      <c r="U251">
        <v>0.2</v>
      </c>
      <c r="V251">
        <v>1.2</v>
      </c>
      <c r="W251">
        <v>1.3</v>
      </c>
      <c r="X251">
        <v>8.6999999999999993</v>
      </c>
      <c r="Y251">
        <v>1</v>
      </c>
      <c r="Z251">
        <v>-2.6</v>
      </c>
      <c r="AA251">
        <v>10.9</v>
      </c>
      <c r="AB251">
        <v>3.3000000000000002E-2</v>
      </c>
    </row>
    <row r="252" spans="1:28" x14ac:dyDescent="0.35">
      <c r="A252" s="1" t="s">
        <v>18</v>
      </c>
      <c r="B252" s="1" t="s">
        <v>597</v>
      </c>
      <c r="C252" s="1" t="s">
        <v>19</v>
      </c>
      <c r="D252" s="1" t="s">
        <v>50</v>
      </c>
      <c r="E252" s="4">
        <v>0.3</v>
      </c>
      <c r="F252">
        <v>25</v>
      </c>
      <c r="G252">
        <v>62</v>
      </c>
      <c r="H252">
        <v>13.9</v>
      </c>
      <c r="I252">
        <v>3.3</v>
      </c>
      <c r="J252">
        <v>0.65</v>
      </c>
      <c r="K252">
        <v>0</v>
      </c>
      <c r="L252">
        <v>0</v>
      </c>
      <c r="M252">
        <v>3.2</v>
      </c>
      <c r="N252">
        <v>0.66</v>
      </c>
      <c r="O252">
        <v>0.65</v>
      </c>
      <c r="P252">
        <v>1</v>
      </c>
      <c r="Q252">
        <v>0.754</v>
      </c>
      <c r="R252">
        <v>3.8</v>
      </c>
      <c r="S252">
        <v>0.7</v>
      </c>
      <c r="T252">
        <v>0.3</v>
      </c>
      <c r="U252">
        <v>0.7</v>
      </c>
      <c r="V252">
        <v>0.6</v>
      </c>
      <c r="W252">
        <v>1.7</v>
      </c>
      <c r="X252">
        <v>5</v>
      </c>
      <c r="Y252">
        <v>3</v>
      </c>
      <c r="Z252">
        <v>-0.7</v>
      </c>
      <c r="AA252">
        <v>16.3</v>
      </c>
      <c r="AB252">
        <v>0.17899999999999999</v>
      </c>
    </row>
    <row r="253" spans="1:28" x14ac:dyDescent="0.35">
      <c r="A253" s="1" t="s">
        <v>26</v>
      </c>
      <c r="B253" s="1" t="s">
        <v>598</v>
      </c>
      <c r="C253" s="1" t="s">
        <v>23</v>
      </c>
      <c r="D253" s="1" t="s">
        <v>20</v>
      </c>
      <c r="E253" s="4">
        <v>0.3</v>
      </c>
      <c r="F253">
        <v>21</v>
      </c>
      <c r="G253">
        <v>71</v>
      </c>
      <c r="H253">
        <v>20.2</v>
      </c>
      <c r="I253">
        <v>8.4</v>
      </c>
      <c r="J253">
        <v>0.45900000000000002</v>
      </c>
      <c r="K253">
        <v>5.2</v>
      </c>
      <c r="L253">
        <v>0.42199999999999999</v>
      </c>
      <c r="M253">
        <v>3.2</v>
      </c>
      <c r="N253">
        <v>0.52</v>
      </c>
      <c r="O253">
        <v>0.59</v>
      </c>
      <c r="P253">
        <v>1</v>
      </c>
      <c r="Q253">
        <v>0.89</v>
      </c>
      <c r="R253">
        <v>3</v>
      </c>
      <c r="S253">
        <v>1.5</v>
      </c>
      <c r="T253">
        <v>0.6</v>
      </c>
      <c r="U253">
        <v>0.1</v>
      </c>
      <c r="V253">
        <v>1.5</v>
      </c>
      <c r="W253">
        <v>1.6</v>
      </c>
      <c r="X253">
        <v>10.9</v>
      </c>
      <c r="Y253">
        <v>1</v>
      </c>
      <c r="Z253">
        <v>-1.2</v>
      </c>
      <c r="AA253">
        <v>13.4</v>
      </c>
      <c r="AB253">
        <v>4.2000000000000003E-2</v>
      </c>
    </row>
    <row r="254" spans="1:28" x14ac:dyDescent="0.35">
      <c r="A254" s="1" t="s">
        <v>2</v>
      </c>
      <c r="B254" s="1" t="s">
        <v>598</v>
      </c>
      <c r="C254" s="1" t="s">
        <v>19</v>
      </c>
      <c r="D254" s="1" t="s">
        <v>50</v>
      </c>
      <c r="E254" s="4">
        <v>0.1</v>
      </c>
      <c r="F254">
        <v>22</v>
      </c>
      <c r="G254">
        <v>36</v>
      </c>
      <c r="H254">
        <v>16.600000000000001</v>
      </c>
      <c r="I254">
        <v>5.0999999999999996</v>
      </c>
      <c r="J254">
        <v>0.495</v>
      </c>
      <c r="K254">
        <v>1.7</v>
      </c>
      <c r="L254">
        <v>0.38300000000000001</v>
      </c>
      <c r="M254">
        <v>3.4</v>
      </c>
      <c r="N254">
        <v>0.54800000000000004</v>
      </c>
      <c r="O254">
        <v>0.55700000000000005</v>
      </c>
      <c r="P254">
        <v>1</v>
      </c>
      <c r="Q254">
        <v>0.82899999999999996</v>
      </c>
      <c r="R254">
        <v>1.9</v>
      </c>
      <c r="S254">
        <v>1.8</v>
      </c>
      <c r="T254">
        <v>0.7</v>
      </c>
      <c r="U254">
        <v>0.1</v>
      </c>
      <c r="V254">
        <v>0.8</v>
      </c>
      <c r="W254">
        <v>1.9</v>
      </c>
      <c r="X254">
        <v>6.5</v>
      </c>
      <c r="Y254">
        <v>0</v>
      </c>
      <c r="Z254">
        <v>-1.6</v>
      </c>
      <c r="AA254">
        <v>12</v>
      </c>
      <c r="AB254">
        <v>0.122</v>
      </c>
    </row>
    <row r="255" spans="1:28" x14ac:dyDescent="0.35">
      <c r="A255" s="1" t="s">
        <v>2</v>
      </c>
      <c r="B255" s="1" t="s">
        <v>35</v>
      </c>
      <c r="C255" s="1" t="s">
        <v>19</v>
      </c>
      <c r="D255" s="1" t="s">
        <v>50</v>
      </c>
      <c r="E255" s="4">
        <v>-1</v>
      </c>
      <c r="F255">
        <v>31</v>
      </c>
      <c r="G255">
        <v>41</v>
      </c>
      <c r="H255">
        <v>19.100000000000001</v>
      </c>
      <c r="I255">
        <v>6.7</v>
      </c>
      <c r="J255">
        <v>0.34799999999999998</v>
      </c>
      <c r="K255">
        <v>3</v>
      </c>
      <c r="L255">
        <v>0.36</v>
      </c>
      <c r="M255">
        <v>3.6</v>
      </c>
      <c r="N255">
        <v>0.33800000000000002</v>
      </c>
      <c r="O255">
        <v>0.43</v>
      </c>
      <c r="P255">
        <v>1</v>
      </c>
      <c r="Q255">
        <v>0.82899999999999996</v>
      </c>
      <c r="R255">
        <v>2.2000000000000002</v>
      </c>
      <c r="S255">
        <v>3.1</v>
      </c>
      <c r="T255">
        <v>0.4</v>
      </c>
      <c r="U255">
        <v>0</v>
      </c>
      <c r="V255">
        <v>1.9</v>
      </c>
      <c r="W255">
        <v>1.1000000000000001</v>
      </c>
      <c r="X255">
        <v>6.6</v>
      </c>
      <c r="Y255">
        <v>1</v>
      </c>
      <c r="Z255">
        <v>-7</v>
      </c>
      <c r="AA255">
        <v>6.5</v>
      </c>
      <c r="AB255">
        <v>-0.06</v>
      </c>
    </row>
    <row r="256" spans="1:28" x14ac:dyDescent="0.35">
      <c r="A256" s="1" t="s">
        <v>2</v>
      </c>
      <c r="B256" s="1" t="s">
        <v>35</v>
      </c>
      <c r="C256" s="1" t="s">
        <v>23</v>
      </c>
      <c r="D256" s="1" t="s">
        <v>50</v>
      </c>
      <c r="E256" s="4">
        <v>0.2</v>
      </c>
      <c r="F256">
        <v>28</v>
      </c>
      <c r="G256">
        <v>67</v>
      </c>
      <c r="H256">
        <v>21.1</v>
      </c>
      <c r="I256">
        <v>6.2</v>
      </c>
      <c r="J256">
        <v>0.496</v>
      </c>
      <c r="K256">
        <v>2.4</v>
      </c>
      <c r="L256">
        <v>0.36799999999999999</v>
      </c>
      <c r="M256">
        <v>3.7</v>
      </c>
      <c r="N256">
        <v>0.57999999999999996</v>
      </c>
      <c r="O256">
        <v>0.56899999999999995</v>
      </c>
      <c r="P256">
        <v>1</v>
      </c>
      <c r="Q256">
        <v>0.69099999999999995</v>
      </c>
      <c r="R256">
        <v>3</v>
      </c>
      <c r="S256">
        <v>1.8</v>
      </c>
      <c r="T256">
        <v>0.7</v>
      </c>
      <c r="U256">
        <v>0.2</v>
      </c>
      <c r="V256">
        <v>0.7</v>
      </c>
      <c r="W256">
        <v>1.9</v>
      </c>
      <c r="X256">
        <v>7.7</v>
      </c>
      <c r="Y256">
        <v>5</v>
      </c>
      <c r="Z256">
        <v>-1.3</v>
      </c>
      <c r="AA256">
        <v>12</v>
      </c>
      <c r="AB256">
        <v>0.10100000000000001</v>
      </c>
    </row>
    <row r="257" spans="1:28" x14ac:dyDescent="0.35">
      <c r="A257" s="1" t="s">
        <v>26</v>
      </c>
      <c r="B257" s="1" t="s">
        <v>597</v>
      </c>
      <c r="C257" s="1" t="s">
        <v>23</v>
      </c>
      <c r="D257" s="1" t="s">
        <v>28</v>
      </c>
      <c r="E257" s="4">
        <v>-0.1</v>
      </c>
      <c r="F257">
        <v>23</v>
      </c>
      <c r="G257">
        <v>10</v>
      </c>
      <c r="H257">
        <v>25.3</v>
      </c>
      <c r="I257">
        <v>6.9</v>
      </c>
      <c r="J257">
        <v>0.39100000000000001</v>
      </c>
      <c r="K257">
        <v>3.2</v>
      </c>
      <c r="L257">
        <v>0.156</v>
      </c>
      <c r="M257">
        <v>3.7</v>
      </c>
      <c r="N257">
        <v>0.59499999999999997</v>
      </c>
      <c r="O257">
        <v>0.42799999999999999</v>
      </c>
      <c r="P257">
        <v>1</v>
      </c>
      <c r="Q257">
        <v>0.8</v>
      </c>
      <c r="R257">
        <v>7</v>
      </c>
      <c r="S257">
        <v>1</v>
      </c>
      <c r="T257">
        <v>0.9</v>
      </c>
      <c r="U257">
        <v>1.2</v>
      </c>
      <c r="V257">
        <v>0.7</v>
      </c>
      <c r="W257">
        <v>1.6</v>
      </c>
      <c r="X257">
        <v>6.7</v>
      </c>
      <c r="Y257">
        <v>0</v>
      </c>
      <c r="Z257">
        <v>-4.3</v>
      </c>
      <c r="AA257">
        <v>11.8</v>
      </c>
      <c r="AB257">
        <v>4.4999999999999998E-2</v>
      </c>
    </row>
    <row r="258" spans="1:28" x14ac:dyDescent="0.35">
      <c r="A258" s="1" t="s">
        <v>2</v>
      </c>
      <c r="B258" s="1" t="s">
        <v>597</v>
      </c>
      <c r="C258" s="1" t="s">
        <v>23</v>
      </c>
      <c r="D258" s="1" t="s">
        <v>50</v>
      </c>
      <c r="E258" s="4">
        <v>0.8</v>
      </c>
      <c r="F258">
        <v>24</v>
      </c>
      <c r="G258">
        <v>64</v>
      </c>
      <c r="H258">
        <v>24.9</v>
      </c>
      <c r="I258">
        <v>8.5</v>
      </c>
      <c r="J258">
        <v>0.40600000000000003</v>
      </c>
      <c r="K258">
        <v>4.9000000000000004</v>
      </c>
      <c r="L258">
        <v>0.36899999999999999</v>
      </c>
      <c r="M258">
        <v>3.7</v>
      </c>
      <c r="N258">
        <v>0.45500000000000002</v>
      </c>
      <c r="O258">
        <v>0.51100000000000001</v>
      </c>
      <c r="P258">
        <v>1</v>
      </c>
      <c r="Q258">
        <v>0.81299999999999994</v>
      </c>
      <c r="R258">
        <v>2.5</v>
      </c>
      <c r="S258">
        <v>2.9</v>
      </c>
      <c r="T258">
        <v>1</v>
      </c>
      <c r="U258">
        <v>0.3</v>
      </c>
      <c r="V258">
        <v>0.6</v>
      </c>
      <c r="W258">
        <v>1.7</v>
      </c>
      <c r="X258">
        <v>9.5</v>
      </c>
      <c r="Y258">
        <v>3</v>
      </c>
      <c r="Z258">
        <v>0</v>
      </c>
      <c r="AA258">
        <v>12.6</v>
      </c>
      <c r="AB258">
        <v>9.8000000000000004E-2</v>
      </c>
    </row>
    <row r="259" spans="1:28" x14ac:dyDescent="0.35">
      <c r="A259" s="1" t="s">
        <v>26</v>
      </c>
      <c r="B259" s="1" t="s">
        <v>598</v>
      </c>
      <c r="C259" s="1" t="s">
        <v>19</v>
      </c>
      <c r="D259" s="1" t="s">
        <v>50</v>
      </c>
      <c r="E259" s="4">
        <v>0</v>
      </c>
      <c r="F259">
        <v>23</v>
      </c>
      <c r="G259">
        <v>42</v>
      </c>
      <c r="H259">
        <v>18.8</v>
      </c>
      <c r="I259">
        <v>5.6</v>
      </c>
      <c r="J259">
        <v>0.57399999999999995</v>
      </c>
      <c r="K259">
        <v>1.6</v>
      </c>
      <c r="L259">
        <v>0.318</v>
      </c>
      <c r="M259">
        <v>4</v>
      </c>
      <c r="N259">
        <v>0.67500000000000004</v>
      </c>
      <c r="O259">
        <v>0.61899999999999999</v>
      </c>
      <c r="P259">
        <v>1</v>
      </c>
      <c r="Q259">
        <v>0.77300000000000002</v>
      </c>
      <c r="R259">
        <v>5</v>
      </c>
      <c r="S259">
        <v>1.1000000000000001</v>
      </c>
      <c r="T259">
        <v>0.5</v>
      </c>
      <c r="U259">
        <v>1</v>
      </c>
      <c r="V259">
        <v>1</v>
      </c>
      <c r="W259">
        <v>2.5</v>
      </c>
      <c r="X259">
        <v>7.7</v>
      </c>
      <c r="Y259">
        <v>0</v>
      </c>
      <c r="Z259">
        <v>-2</v>
      </c>
      <c r="AA259">
        <v>15.6</v>
      </c>
      <c r="AB259">
        <v>9.6000000000000002E-2</v>
      </c>
    </row>
    <row r="260" spans="1:28" x14ac:dyDescent="0.35">
      <c r="A260" s="1" t="s">
        <v>2</v>
      </c>
      <c r="B260" s="1" t="s">
        <v>597</v>
      </c>
      <c r="C260" s="1" t="s">
        <v>23</v>
      </c>
      <c r="D260" s="1" t="s">
        <v>20</v>
      </c>
      <c r="E260" s="4">
        <v>-1.6</v>
      </c>
      <c r="F260">
        <v>19</v>
      </c>
      <c r="G260">
        <v>82</v>
      </c>
      <c r="H260">
        <v>30</v>
      </c>
      <c r="I260">
        <v>9.1</v>
      </c>
      <c r="J260">
        <v>0.40100000000000002</v>
      </c>
      <c r="K260">
        <v>5</v>
      </c>
      <c r="L260">
        <v>0.33900000000000002</v>
      </c>
      <c r="M260">
        <v>4.2</v>
      </c>
      <c r="N260">
        <v>0.47499999999999998</v>
      </c>
      <c r="O260">
        <v>0.49299999999999999</v>
      </c>
      <c r="P260">
        <v>1</v>
      </c>
      <c r="Q260">
        <v>0.81200000000000006</v>
      </c>
      <c r="R260">
        <v>4.2</v>
      </c>
      <c r="S260">
        <v>4.4000000000000004</v>
      </c>
      <c r="T260">
        <v>0.7</v>
      </c>
      <c r="U260">
        <v>0.3</v>
      </c>
      <c r="V260">
        <v>1.7</v>
      </c>
      <c r="W260">
        <v>2.2999999999999998</v>
      </c>
      <c r="X260">
        <v>9.8000000000000007</v>
      </c>
      <c r="Y260">
        <v>0</v>
      </c>
      <c r="Z260">
        <v>-4.5999999999999996</v>
      </c>
      <c r="AA260">
        <v>9</v>
      </c>
      <c r="AB260">
        <v>5.0000000000000001E-3</v>
      </c>
    </row>
    <row r="261" spans="1:28" x14ac:dyDescent="0.35">
      <c r="A261" s="1" t="s">
        <v>26</v>
      </c>
      <c r="B261" s="1" t="s">
        <v>597</v>
      </c>
      <c r="C261" s="1" t="s">
        <v>23</v>
      </c>
      <c r="D261" s="1" t="s">
        <v>28</v>
      </c>
      <c r="E261" s="4">
        <v>-0.5</v>
      </c>
      <c r="F261">
        <v>21</v>
      </c>
      <c r="G261">
        <v>44</v>
      </c>
      <c r="H261">
        <v>26.3</v>
      </c>
      <c r="I261">
        <v>8.6</v>
      </c>
      <c r="J261">
        <v>0.45500000000000002</v>
      </c>
      <c r="K261">
        <v>4.3</v>
      </c>
      <c r="L261">
        <v>0.36299999999999999</v>
      </c>
      <c r="M261">
        <v>4.3</v>
      </c>
      <c r="N261">
        <v>0.54800000000000004</v>
      </c>
      <c r="O261">
        <v>0.54600000000000004</v>
      </c>
      <c r="P261">
        <v>1</v>
      </c>
      <c r="Q261">
        <v>0.69599999999999995</v>
      </c>
      <c r="R261">
        <v>3.4</v>
      </c>
      <c r="S261">
        <v>1.6</v>
      </c>
      <c r="T261">
        <v>1</v>
      </c>
      <c r="U261">
        <v>0.4</v>
      </c>
      <c r="V261">
        <v>1.1000000000000001</v>
      </c>
      <c r="W261">
        <v>2.2000000000000002</v>
      </c>
      <c r="X261">
        <v>10.1</v>
      </c>
      <c r="Y261">
        <v>0</v>
      </c>
      <c r="Z261">
        <v>-3.7</v>
      </c>
      <c r="AA261">
        <v>11.3</v>
      </c>
      <c r="AB261">
        <v>3.9E-2</v>
      </c>
    </row>
    <row r="262" spans="1:28" x14ac:dyDescent="0.35">
      <c r="A262" s="1" t="s">
        <v>26</v>
      </c>
      <c r="B262" s="1" t="s">
        <v>598</v>
      </c>
      <c r="C262" s="1" t="s">
        <v>23</v>
      </c>
      <c r="D262" s="1" t="s">
        <v>20</v>
      </c>
      <c r="E262" s="4">
        <v>0.5</v>
      </c>
      <c r="F262">
        <v>34</v>
      </c>
      <c r="G262">
        <v>72</v>
      </c>
      <c r="H262">
        <v>27.3</v>
      </c>
      <c r="I262">
        <v>12.2</v>
      </c>
      <c r="J262">
        <v>0.41199999999999998</v>
      </c>
      <c r="K262">
        <v>7.7</v>
      </c>
      <c r="L262">
        <v>0.39100000000000001</v>
      </c>
      <c r="M262">
        <v>4.5</v>
      </c>
      <c r="N262">
        <v>0.44800000000000001</v>
      </c>
      <c r="O262">
        <v>0.53500000000000003</v>
      </c>
      <c r="P262">
        <v>1</v>
      </c>
      <c r="Q262">
        <v>0.90500000000000003</v>
      </c>
      <c r="R262">
        <v>3.4</v>
      </c>
      <c r="S262">
        <v>2</v>
      </c>
      <c r="T262">
        <v>0.7</v>
      </c>
      <c r="U262">
        <v>0.4</v>
      </c>
      <c r="V262">
        <v>1.2</v>
      </c>
      <c r="W262">
        <v>1.1000000000000001</v>
      </c>
      <c r="X262">
        <v>14</v>
      </c>
      <c r="Y262">
        <v>13</v>
      </c>
      <c r="Z262">
        <v>-1</v>
      </c>
      <c r="AA262">
        <v>12.9</v>
      </c>
      <c r="AB262">
        <v>4.4999999999999998E-2</v>
      </c>
    </row>
    <row r="263" spans="1:28" x14ac:dyDescent="0.35">
      <c r="A263" s="1" t="s">
        <v>2</v>
      </c>
      <c r="B263" s="1" t="s">
        <v>597</v>
      </c>
      <c r="C263" s="1" t="s">
        <v>23</v>
      </c>
      <c r="D263" s="1" t="s">
        <v>28</v>
      </c>
      <c r="E263" s="4">
        <v>-0.1</v>
      </c>
      <c r="F263">
        <v>26</v>
      </c>
      <c r="G263">
        <v>4</v>
      </c>
      <c r="H263">
        <v>19.8</v>
      </c>
      <c r="I263">
        <v>6.8</v>
      </c>
      <c r="J263">
        <v>0.40699999999999997</v>
      </c>
      <c r="K263">
        <v>2</v>
      </c>
      <c r="L263">
        <v>0.375</v>
      </c>
      <c r="M263">
        <v>4.8</v>
      </c>
      <c r="N263">
        <v>0.42099999999999999</v>
      </c>
      <c r="O263">
        <v>0.46300000000000002</v>
      </c>
      <c r="P263">
        <v>1</v>
      </c>
      <c r="Q263">
        <v>0.75</v>
      </c>
      <c r="R263">
        <v>1.5</v>
      </c>
      <c r="S263">
        <v>3.3</v>
      </c>
      <c r="T263">
        <v>0.8</v>
      </c>
      <c r="U263">
        <v>0.5</v>
      </c>
      <c r="V263">
        <v>1.5</v>
      </c>
      <c r="W263">
        <v>2.5</v>
      </c>
      <c r="X263">
        <v>7</v>
      </c>
      <c r="Y263">
        <v>1</v>
      </c>
      <c r="Z263">
        <v>-7.6</v>
      </c>
      <c r="AA263">
        <v>8.6999999999999993</v>
      </c>
      <c r="AB263">
        <v>-2E-3</v>
      </c>
    </row>
    <row r="264" spans="1:28" x14ac:dyDescent="0.35">
      <c r="A264" s="1" t="s">
        <v>2</v>
      </c>
      <c r="B264" s="1" t="s">
        <v>597</v>
      </c>
      <c r="C264" s="1" t="s">
        <v>23</v>
      </c>
      <c r="D264" s="1" t="s">
        <v>28</v>
      </c>
      <c r="E264" s="4">
        <v>-0.5</v>
      </c>
      <c r="F264">
        <v>24</v>
      </c>
      <c r="G264">
        <v>15</v>
      </c>
      <c r="H264">
        <v>24.7</v>
      </c>
      <c r="I264">
        <v>8.6999999999999993</v>
      </c>
      <c r="J264">
        <v>0.32300000000000001</v>
      </c>
      <c r="K264">
        <v>3.7</v>
      </c>
      <c r="L264">
        <v>0.214</v>
      </c>
      <c r="M264">
        <v>4.9000000000000004</v>
      </c>
      <c r="N264">
        <v>0.40500000000000003</v>
      </c>
      <c r="O264">
        <v>0.36899999999999999</v>
      </c>
      <c r="P264">
        <v>1</v>
      </c>
      <c r="Q264">
        <v>0.86699999999999999</v>
      </c>
      <c r="R264">
        <v>3.3</v>
      </c>
      <c r="S264">
        <v>3.7</v>
      </c>
      <c r="T264">
        <v>1</v>
      </c>
      <c r="U264">
        <v>0.1</v>
      </c>
      <c r="V264">
        <v>2.1</v>
      </c>
      <c r="W264">
        <v>1.5</v>
      </c>
      <c r="X264">
        <v>7.3</v>
      </c>
      <c r="Y264">
        <v>0</v>
      </c>
      <c r="Z264">
        <v>-7.1</v>
      </c>
      <c r="AA264">
        <v>6.3</v>
      </c>
      <c r="AB264">
        <v>-6.9000000000000006E-2</v>
      </c>
    </row>
    <row r="265" spans="1:28" x14ac:dyDescent="0.35">
      <c r="A265" s="1" t="s">
        <v>18</v>
      </c>
      <c r="B265" s="1" t="s">
        <v>597</v>
      </c>
      <c r="C265" s="1" t="s">
        <v>23</v>
      </c>
      <c r="D265" s="1" t="s">
        <v>20</v>
      </c>
      <c r="E265" s="4">
        <v>0.7</v>
      </c>
      <c r="F265">
        <v>20</v>
      </c>
      <c r="G265">
        <v>64</v>
      </c>
      <c r="H265">
        <v>22.2</v>
      </c>
      <c r="I265">
        <v>7.3</v>
      </c>
      <c r="J265">
        <v>0.55400000000000005</v>
      </c>
      <c r="K265">
        <v>1.7</v>
      </c>
      <c r="L265">
        <v>0.315</v>
      </c>
      <c r="M265">
        <v>5.5</v>
      </c>
      <c r="N265">
        <v>0.629</v>
      </c>
      <c r="O265">
        <v>0.59199999999999997</v>
      </c>
      <c r="P265">
        <v>1</v>
      </c>
      <c r="Q265">
        <v>0.68700000000000006</v>
      </c>
      <c r="R265">
        <v>7.4</v>
      </c>
      <c r="S265">
        <v>0.9</v>
      </c>
      <c r="T265">
        <v>0.6</v>
      </c>
      <c r="U265">
        <v>1.1000000000000001</v>
      </c>
      <c r="V265">
        <v>0.9</v>
      </c>
      <c r="W265">
        <v>1.7</v>
      </c>
      <c r="X265">
        <v>9.3000000000000007</v>
      </c>
      <c r="Y265">
        <v>0</v>
      </c>
      <c r="Z265">
        <v>-0.1</v>
      </c>
      <c r="AA265">
        <v>17.399999999999999</v>
      </c>
      <c r="AB265">
        <v>0.14000000000000001</v>
      </c>
    </row>
    <row r="266" spans="1:28" x14ac:dyDescent="0.35">
      <c r="A266" s="1" t="s">
        <v>2</v>
      </c>
      <c r="B266" s="1" t="s">
        <v>597</v>
      </c>
      <c r="C266" s="1" t="s">
        <v>23</v>
      </c>
      <c r="D266" s="1" t="s">
        <v>28</v>
      </c>
      <c r="E266" s="4">
        <v>1.2</v>
      </c>
      <c r="F266">
        <v>32</v>
      </c>
      <c r="G266">
        <v>79</v>
      </c>
      <c r="H266">
        <v>17.899999999999999</v>
      </c>
      <c r="I266">
        <v>7.9</v>
      </c>
      <c r="J266">
        <v>0.51900000000000002</v>
      </c>
      <c r="K266">
        <v>0.6</v>
      </c>
      <c r="L266">
        <v>0.30599999999999999</v>
      </c>
      <c r="M266">
        <v>7.3</v>
      </c>
      <c r="N266">
        <v>0.53700000000000003</v>
      </c>
      <c r="O266">
        <v>0.53100000000000003</v>
      </c>
      <c r="P266">
        <v>1</v>
      </c>
      <c r="Q266">
        <v>0.74</v>
      </c>
      <c r="R266">
        <v>2.4</v>
      </c>
      <c r="S266">
        <v>4.4000000000000004</v>
      </c>
      <c r="T266">
        <v>1.1000000000000001</v>
      </c>
      <c r="U266">
        <v>0.3</v>
      </c>
      <c r="V266">
        <v>1.4</v>
      </c>
      <c r="W266">
        <v>1</v>
      </c>
      <c r="X266">
        <v>9.1</v>
      </c>
      <c r="Y266">
        <v>9</v>
      </c>
      <c r="Z266">
        <v>1.2</v>
      </c>
      <c r="AA266">
        <v>18.399999999999999</v>
      </c>
      <c r="AB266">
        <v>0.109</v>
      </c>
    </row>
    <row r="267" spans="1:28" x14ac:dyDescent="0.35">
      <c r="A267" s="1" t="s">
        <v>2</v>
      </c>
      <c r="B267" s="1" t="s">
        <v>35</v>
      </c>
      <c r="C267" s="1" t="s">
        <v>23</v>
      </c>
      <c r="D267" s="1" t="s">
        <v>20</v>
      </c>
      <c r="E267" s="4">
        <v>0.3</v>
      </c>
      <c r="F267">
        <v>24</v>
      </c>
      <c r="G267">
        <v>24</v>
      </c>
      <c r="H267">
        <v>10</v>
      </c>
      <c r="I267">
        <v>4.9000000000000004</v>
      </c>
      <c r="J267">
        <v>0.39800000000000002</v>
      </c>
      <c r="K267">
        <v>3.4</v>
      </c>
      <c r="L267">
        <v>0.39</v>
      </c>
      <c r="M267">
        <v>1.5</v>
      </c>
      <c r="N267">
        <v>0.41699999999999998</v>
      </c>
      <c r="O267">
        <v>0.53400000000000003</v>
      </c>
      <c r="P267">
        <v>1.1000000000000001</v>
      </c>
      <c r="Q267">
        <v>0.88500000000000001</v>
      </c>
      <c r="R267">
        <v>1</v>
      </c>
      <c r="S267">
        <v>1.3</v>
      </c>
      <c r="T267">
        <v>0.8</v>
      </c>
      <c r="U267">
        <v>0.2</v>
      </c>
      <c r="V267">
        <v>1</v>
      </c>
      <c r="W267">
        <v>1.2</v>
      </c>
      <c r="X267">
        <v>6.2</v>
      </c>
      <c r="Y267">
        <v>3</v>
      </c>
      <c r="Z267">
        <v>2.7</v>
      </c>
      <c r="AA267">
        <v>16</v>
      </c>
      <c r="AB267">
        <v>9.5000000000000001E-2</v>
      </c>
    </row>
    <row r="268" spans="1:28" x14ac:dyDescent="0.35">
      <c r="A268" s="1" t="s">
        <v>2</v>
      </c>
      <c r="B268" s="1" t="s">
        <v>598</v>
      </c>
      <c r="C268" s="1" t="s">
        <v>23</v>
      </c>
      <c r="D268" s="1" t="s">
        <v>28</v>
      </c>
      <c r="E268" s="4">
        <v>1.9</v>
      </c>
      <c r="F268">
        <v>25</v>
      </c>
      <c r="G268">
        <v>80</v>
      </c>
      <c r="H268">
        <v>24.4</v>
      </c>
      <c r="I268">
        <v>5.8</v>
      </c>
      <c r="J268">
        <v>0.48899999999999999</v>
      </c>
      <c r="K268">
        <v>4</v>
      </c>
      <c r="L268">
        <v>0.433</v>
      </c>
      <c r="M268">
        <v>1.8</v>
      </c>
      <c r="N268">
        <v>0.61499999999999999</v>
      </c>
      <c r="O268">
        <v>0.63900000000000001</v>
      </c>
      <c r="P268">
        <v>1.1000000000000001</v>
      </c>
      <c r="Q268">
        <v>0.84899999999999998</v>
      </c>
      <c r="R268">
        <v>2.7</v>
      </c>
      <c r="S268">
        <v>1.5</v>
      </c>
      <c r="T268">
        <v>1.5</v>
      </c>
      <c r="U268">
        <v>0.8</v>
      </c>
      <c r="V268">
        <v>0.9</v>
      </c>
      <c r="W268">
        <v>2.2000000000000002</v>
      </c>
      <c r="X268">
        <v>8.3000000000000007</v>
      </c>
      <c r="Y268">
        <v>2</v>
      </c>
      <c r="Z268">
        <v>1.9</v>
      </c>
      <c r="AA268">
        <v>13.5</v>
      </c>
      <c r="AB268">
        <v>0.122</v>
      </c>
    </row>
    <row r="269" spans="1:28" x14ac:dyDescent="0.35">
      <c r="A269" s="1" t="s">
        <v>26</v>
      </c>
      <c r="B269" s="1" t="s">
        <v>35</v>
      </c>
      <c r="C269" s="1" t="s">
        <v>33</v>
      </c>
      <c r="D269" s="1" t="s">
        <v>50</v>
      </c>
      <c r="E269" s="4">
        <v>-0.2</v>
      </c>
      <c r="F269">
        <v>22</v>
      </c>
      <c r="G269">
        <v>20</v>
      </c>
      <c r="H269">
        <v>12.5</v>
      </c>
      <c r="I269">
        <v>3</v>
      </c>
      <c r="J269">
        <v>0.42399999999999999</v>
      </c>
      <c r="K269">
        <v>1.1000000000000001</v>
      </c>
      <c r="L269">
        <v>0.28599999999999998</v>
      </c>
      <c r="M269">
        <v>1.9</v>
      </c>
      <c r="N269">
        <v>0.5</v>
      </c>
      <c r="O269">
        <v>0.47499999999999998</v>
      </c>
      <c r="P269">
        <v>1.1000000000000001</v>
      </c>
      <c r="Q269">
        <v>0.68200000000000005</v>
      </c>
      <c r="R269">
        <v>2.4</v>
      </c>
      <c r="S269">
        <v>0.3</v>
      </c>
      <c r="T269">
        <v>0.4</v>
      </c>
      <c r="U269">
        <v>0.5</v>
      </c>
      <c r="V269">
        <v>0.5</v>
      </c>
      <c r="W269">
        <v>0.9</v>
      </c>
      <c r="X269">
        <v>3.6</v>
      </c>
      <c r="Y269">
        <v>3</v>
      </c>
      <c r="Z269">
        <v>-5.4</v>
      </c>
      <c r="AA269">
        <v>10</v>
      </c>
      <c r="AB269">
        <v>3.3000000000000002E-2</v>
      </c>
    </row>
    <row r="270" spans="1:28" x14ac:dyDescent="0.35">
      <c r="A270" s="1" t="s">
        <v>26</v>
      </c>
      <c r="B270" s="1" t="s">
        <v>597</v>
      </c>
      <c r="C270" s="1" t="s">
        <v>19</v>
      </c>
      <c r="D270" s="1" t="s">
        <v>28</v>
      </c>
      <c r="E270" s="4">
        <v>-0.3</v>
      </c>
      <c r="F270">
        <v>29</v>
      </c>
      <c r="G270">
        <v>75</v>
      </c>
      <c r="H270">
        <v>16.5</v>
      </c>
      <c r="I270">
        <v>5</v>
      </c>
      <c r="J270">
        <v>0.40200000000000002</v>
      </c>
      <c r="K270">
        <v>3</v>
      </c>
      <c r="L270">
        <v>0.33500000000000002</v>
      </c>
      <c r="M270">
        <v>1.9</v>
      </c>
      <c r="N270">
        <v>0.50700000000000001</v>
      </c>
      <c r="O270">
        <v>0.504</v>
      </c>
      <c r="P270">
        <v>1.1000000000000001</v>
      </c>
      <c r="Q270">
        <v>0.83299999999999996</v>
      </c>
      <c r="R270">
        <v>2.9</v>
      </c>
      <c r="S270">
        <v>0.9</v>
      </c>
      <c r="T270">
        <v>0.4</v>
      </c>
      <c r="U270">
        <v>0.2</v>
      </c>
      <c r="V270">
        <v>0.7</v>
      </c>
      <c r="W270">
        <v>1.3</v>
      </c>
      <c r="X270">
        <v>5.9</v>
      </c>
      <c r="Y270">
        <v>2</v>
      </c>
      <c r="Z270">
        <v>-2.9</v>
      </c>
      <c r="AA270">
        <v>9.6999999999999993</v>
      </c>
      <c r="AB270">
        <v>6.3E-2</v>
      </c>
    </row>
    <row r="271" spans="1:28" x14ac:dyDescent="0.35">
      <c r="A271" s="1" t="s">
        <v>2</v>
      </c>
      <c r="B271" s="1" t="s">
        <v>597</v>
      </c>
      <c r="C271" s="1" t="s">
        <v>19</v>
      </c>
      <c r="D271" s="1" t="s">
        <v>50</v>
      </c>
      <c r="E271" s="4">
        <v>-0.2</v>
      </c>
      <c r="F271">
        <v>23</v>
      </c>
      <c r="G271">
        <v>55</v>
      </c>
      <c r="H271">
        <v>14.2</v>
      </c>
      <c r="I271">
        <v>3.7</v>
      </c>
      <c r="J271">
        <v>0.438</v>
      </c>
      <c r="K271">
        <v>1.7</v>
      </c>
      <c r="L271">
        <v>0.33700000000000002</v>
      </c>
      <c r="M271">
        <v>2</v>
      </c>
      <c r="N271">
        <v>0.52800000000000002</v>
      </c>
      <c r="O271">
        <v>0.51700000000000002</v>
      </c>
      <c r="P271">
        <v>1.1000000000000001</v>
      </c>
      <c r="Q271">
        <v>0.67200000000000004</v>
      </c>
      <c r="R271">
        <v>1.7</v>
      </c>
      <c r="S271">
        <v>1.2</v>
      </c>
      <c r="T271">
        <v>0.6</v>
      </c>
      <c r="U271">
        <v>0.1</v>
      </c>
      <c r="V271">
        <v>0.4</v>
      </c>
      <c r="W271">
        <v>1.7</v>
      </c>
      <c r="X271">
        <v>4.5999999999999996</v>
      </c>
      <c r="Y271">
        <v>0</v>
      </c>
      <c r="Z271">
        <v>-3.1</v>
      </c>
      <c r="AA271">
        <v>10.199999999999999</v>
      </c>
      <c r="AB271">
        <v>8.5999999999999993E-2</v>
      </c>
    </row>
    <row r="272" spans="1:28" x14ac:dyDescent="0.35">
      <c r="A272" s="1" t="s">
        <v>2</v>
      </c>
      <c r="B272" s="1" t="s">
        <v>35</v>
      </c>
      <c r="C272" s="1" t="s">
        <v>33</v>
      </c>
      <c r="D272" s="1" t="s">
        <v>28</v>
      </c>
      <c r="E272" s="4">
        <v>-0.1</v>
      </c>
      <c r="F272">
        <v>31</v>
      </c>
      <c r="G272">
        <v>68</v>
      </c>
      <c r="H272">
        <v>18.5</v>
      </c>
      <c r="I272">
        <v>4.2</v>
      </c>
      <c r="J272">
        <v>0.42899999999999999</v>
      </c>
      <c r="K272">
        <v>2.1</v>
      </c>
      <c r="L272">
        <v>0.32600000000000001</v>
      </c>
      <c r="M272">
        <v>2.1</v>
      </c>
      <c r="N272">
        <v>0.52700000000000002</v>
      </c>
      <c r="O272">
        <v>0.50900000000000001</v>
      </c>
      <c r="P272">
        <v>1.1000000000000001</v>
      </c>
      <c r="Q272">
        <v>0.72399999999999998</v>
      </c>
      <c r="R272">
        <v>3.2</v>
      </c>
      <c r="S272">
        <v>0.8</v>
      </c>
      <c r="T272">
        <v>1</v>
      </c>
      <c r="U272">
        <v>0.5</v>
      </c>
      <c r="V272">
        <v>0.5</v>
      </c>
      <c r="W272">
        <v>1.4</v>
      </c>
      <c r="X272">
        <v>5.0999999999999996</v>
      </c>
      <c r="Y272">
        <v>5</v>
      </c>
      <c r="Z272">
        <v>-2.2999999999999998</v>
      </c>
      <c r="AA272">
        <v>10.7</v>
      </c>
      <c r="AB272">
        <v>6.3E-2</v>
      </c>
    </row>
    <row r="273" spans="1:28" x14ac:dyDescent="0.35">
      <c r="A273" s="1" t="s">
        <v>2</v>
      </c>
      <c r="B273" s="1" t="s">
        <v>598</v>
      </c>
      <c r="C273" s="1" t="s">
        <v>23</v>
      </c>
      <c r="D273" s="1" t="s">
        <v>20</v>
      </c>
      <c r="E273" s="4">
        <v>-0.4</v>
      </c>
      <c r="F273">
        <v>21</v>
      </c>
      <c r="G273">
        <v>58</v>
      </c>
      <c r="H273">
        <v>11.8</v>
      </c>
      <c r="I273">
        <v>3.2</v>
      </c>
      <c r="J273">
        <v>0.435</v>
      </c>
      <c r="K273">
        <v>1</v>
      </c>
      <c r="L273">
        <v>0.29299999999999998</v>
      </c>
      <c r="M273">
        <v>2.2000000000000002</v>
      </c>
      <c r="N273">
        <v>0.5</v>
      </c>
      <c r="O273">
        <v>0.48099999999999998</v>
      </c>
      <c r="P273">
        <v>1.1000000000000001</v>
      </c>
      <c r="Q273">
        <v>0.623</v>
      </c>
      <c r="R273">
        <v>1.1000000000000001</v>
      </c>
      <c r="S273">
        <v>2</v>
      </c>
      <c r="T273">
        <v>0.6</v>
      </c>
      <c r="U273">
        <v>0.1</v>
      </c>
      <c r="V273">
        <v>0.9</v>
      </c>
      <c r="W273">
        <v>0.8</v>
      </c>
      <c r="X273">
        <v>3.7</v>
      </c>
      <c r="Y273">
        <v>2</v>
      </c>
      <c r="Z273">
        <v>-4.2</v>
      </c>
      <c r="AA273">
        <v>9.9</v>
      </c>
      <c r="AB273">
        <v>1.0999999999999999E-2</v>
      </c>
    </row>
    <row r="274" spans="1:28" x14ac:dyDescent="0.35">
      <c r="A274" s="1" t="s">
        <v>26</v>
      </c>
      <c r="B274" s="1" t="s">
        <v>598</v>
      </c>
      <c r="C274" s="1" t="s">
        <v>23</v>
      </c>
      <c r="D274" s="1" t="s">
        <v>28</v>
      </c>
      <c r="E274" s="4">
        <v>0.4</v>
      </c>
      <c r="F274">
        <v>23</v>
      </c>
      <c r="G274">
        <v>82</v>
      </c>
      <c r="H274">
        <v>23.6</v>
      </c>
      <c r="I274">
        <v>8.1</v>
      </c>
      <c r="J274">
        <v>0.41499999999999998</v>
      </c>
      <c r="K274">
        <v>5.9</v>
      </c>
      <c r="L274">
        <v>0.371</v>
      </c>
      <c r="M274">
        <v>2.2999999999999998</v>
      </c>
      <c r="N274">
        <v>0.53</v>
      </c>
      <c r="O274">
        <v>0.54900000000000004</v>
      </c>
      <c r="P274">
        <v>1.1000000000000001</v>
      </c>
      <c r="Q274">
        <v>0.90400000000000003</v>
      </c>
      <c r="R274">
        <v>3.9</v>
      </c>
      <c r="S274">
        <v>1.4</v>
      </c>
      <c r="T274">
        <v>0.7</v>
      </c>
      <c r="U274">
        <v>0.4</v>
      </c>
      <c r="V274">
        <v>0.9</v>
      </c>
      <c r="W274">
        <v>1.4</v>
      </c>
      <c r="X274">
        <v>9.9</v>
      </c>
      <c r="Y274">
        <v>2</v>
      </c>
      <c r="Z274">
        <v>-1.3</v>
      </c>
      <c r="AA274">
        <v>12.2</v>
      </c>
      <c r="AB274">
        <v>6.2E-2</v>
      </c>
    </row>
    <row r="275" spans="1:28" x14ac:dyDescent="0.35">
      <c r="A275" s="1" t="s">
        <v>18</v>
      </c>
      <c r="B275" s="1" t="s">
        <v>598</v>
      </c>
      <c r="C275" s="1" t="s">
        <v>23</v>
      </c>
      <c r="D275" s="1" t="s">
        <v>50</v>
      </c>
      <c r="E275" s="4">
        <v>0.2</v>
      </c>
      <c r="F275">
        <v>36</v>
      </c>
      <c r="G275">
        <v>56</v>
      </c>
      <c r="H275">
        <v>12.3</v>
      </c>
      <c r="I275">
        <v>2.5</v>
      </c>
      <c r="J275">
        <v>0.65</v>
      </c>
      <c r="K275">
        <v>0</v>
      </c>
      <c r="M275">
        <v>2.5</v>
      </c>
      <c r="N275">
        <v>0.65</v>
      </c>
      <c r="O275">
        <v>0.65</v>
      </c>
      <c r="P275">
        <v>1.1000000000000001</v>
      </c>
      <c r="Q275">
        <v>0.42199999999999999</v>
      </c>
      <c r="R275">
        <v>5.0999999999999996</v>
      </c>
      <c r="S275">
        <v>0.9</v>
      </c>
      <c r="T275">
        <v>0.3</v>
      </c>
      <c r="U275">
        <v>0.5</v>
      </c>
      <c r="V275">
        <v>0.7</v>
      </c>
      <c r="W275">
        <v>1.3</v>
      </c>
      <c r="X275">
        <v>3.7</v>
      </c>
      <c r="Y275">
        <v>16</v>
      </c>
      <c r="Z275">
        <v>-1.2</v>
      </c>
      <c r="AA275">
        <v>15.4</v>
      </c>
      <c r="AB275">
        <v>0.127</v>
      </c>
    </row>
    <row r="276" spans="1:28" x14ac:dyDescent="0.35">
      <c r="A276" s="1" t="s">
        <v>2</v>
      </c>
      <c r="B276" s="1" t="s">
        <v>597</v>
      </c>
      <c r="C276" s="1" t="s">
        <v>33</v>
      </c>
      <c r="D276" s="1" t="s">
        <v>20</v>
      </c>
      <c r="E276" s="4">
        <v>-1.1000000000000001</v>
      </c>
      <c r="F276">
        <v>24</v>
      </c>
      <c r="G276">
        <v>68</v>
      </c>
      <c r="H276">
        <v>27.8</v>
      </c>
      <c r="I276">
        <v>6.2</v>
      </c>
      <c r="J276">
        <v>0.42799999999999999</v>
      </c>
      <c r="K276">
        <v>3.6</v>
      </c>
      <c r="L276">
        <v>0.39100000000000001</v>
      </c>
      <c r="M276">
        <v>2.5</v>
      </c>
      <c r="N276">
        <v>0.48</v>
      </c>
      <c r="O276">
        <v>0.54300000000000004</v>
      </c>
      <c r="P276">
        <v>1.1000000000000001</v>
      </c>
      <c r="Q276">
        <v>0.68100000000000005</v>
      </c>
      <c r="R276">
        <v>2.5</v>
      </c>
      <c r="S276">
        <v>1.6</v>
      </c>
      <c r="T276">
        <v>1.1000000000000001</v>
      </c>
      <c r="U276">
        <v>0.2</v>
      </c>
      <c r="V276">
        <v>1</v>
      </c>
      <c r="W276">
        <v>2.4</v>
      </c>
      <c r="X276">
        <v>7.4</v>
      </c>
      <c r="Y276">
        <v>4</v>
      </c>
      <c r="Z276">
        <v>-4.3</v>
      </c>
      <c r="AA276">
        <v>7.8</v>
      </c>
      <c r="AB276">
        <v>3.6999999999999998E-2</v>
      </c>
    </row>
    <row r="277" spans="1:28" x14ac:dyDescent="0.35">
      <c r="A277" s="1" t="s">
        <v>2</v>
      </c>
      <c r="B277" s="1" t="s">
        <v>598</v>
      </c>
      <c r="C277" s="1" t="s">
        <v>23</v>
      </c>
      <c r="D277" s="1" t="s">
        <v>20</v>
      </c>
      <c r="E277" s="4">
        <v>1.6</v>
      </c>
      <c r="F277">
        <v>39</v>
      </c>
      <c r="G277">
        <v>82</v>
      </c>
      <c r="H277">
        <v>28</v>
      </c>
      <c r="I277">
        <v>7.1</v>
      </c>
      <c r="J277">
        <v>0.42699999999999999</v>
      </c>
      <c r="K277">
        <v>4.5</v>
      </c>
      <c r="L277">
        <v>0.377</v>
      </c>
      <c r="M277">
        <v>2.6</v>
      </c>
      <c r="N277">
        <v>0.51400000000000001</v>
      </c>
      <c r="O277">
        <v>0.54700000000000004</v>
      </c>
      <c r="P277">
        <v>1.1000000000000001</v>
      </c>
      <c r="Q277">
        <v>0.92400000000000004</v>
      </c>
      <c r="R277">
        <v>3.6</v>
      </c>
      <c r="S277">
        <v>7.4</v>
      </c>
      <c r="T277">
        <v>1.3</v>
      </c>
      <c r="U277">
        <v>0.3</v>
      </c>
      <c r="V277">
        <v>1.6</v>
      </c>
      <c r="W277">
        <v>1.8</v>
      </c>
      <c r="X277">
        <v>8.8000000000000007</v>
      </c>
      <c r="Y277">
        <v>19</v>
      </c>
      <c r="Z277">
        <v>0.8</v>
      </c>
      <c r="AA277">
        <v>14.7</v>
      </c>
      <c r="AB277">
        <v>0.12</v>
      </c>
    </row>
    <row r="278" spans="1:28" x14ac:dyDescent="0.35">
      <c r="A278" s="1" t="s">
        <v>26</v>
      </c>
      <c r="B278" s="1" t="s">
        <v>35</v>
      </c>
      <c r="C278" s="1" t="s">
        <v>23</v>
      </c>
      <c r="D278" s="1" t="s">
        <v>20</v>
      </c>
      <c r="E278" s="4">
        <v>0.1</v>
      </c>
      <c r="F278">
        <v>25</v>
      </c>
      <c r="G278">
        <v>31</v>
      </c>
      <c r="H278">
        <v>8.5</v>
      </c>
      <c r="I278">
        <v>3.4</v>
      </c>
      <c r="J278">
        <v>0.51900000000000002</v>
      </c>
      <c r="K278">
        <v>0.6</v>
      </c>
      <c r="L278">
        <v>0.158</v>
      </c>
      <c r="M278">
        <v>2.8</v>
      </c>
      <c r="N278">
        <v>0.59799999999999998</v>
      </c>
      <c r="O278">
        <v>0.53300000000000003</v>
      </c>
      <c r="P278">
        <v>1.1000000000000001</v>
      </c>
      <c r="Q278">
        <v>0.65700000000000003</v>
      </c>
      <c r="R278">
        <v>2.7</v>
      </c>
      <c r="S278">
        <v>0.4</v>
      </c>
      <c r="T278">
        <v>0.3</v>
      </c>
      <c r="U278">
        <v>0.3</v>
      </c>
      <c r="V278">
        <v>0.4</v>
      </c>
      <c r="W278">
        <v>0.6</v>
      </c>
      <c r="X278">
        <v>4.4000000000000004</v>
      </c>
      <c r="Y278">
        <v>6</v>
      </c>
      <c r="Z278">
        <v>-1.2</v>
      </c>
      <c r="AA278">
        <v>18.399999999999999</v>
      </c>
      <c r="AB278">
        <v>0.108</v>
      </c>
    </row>
    <row r="279" spans="1:28" x14ac:dyDescent="0.35">
      <c r="A279" s="1" t="s">
        <v>26</v>
      </c>
      <c r="B279" s="1" t="s">
        <v>598</v>
      </c>
      <c r="C279" s="1" t="s">
        <v>23</v>
      </c>
      <c r="D279" s="1" t="s">
        <v>20</v>
      </c>
      <c r="E279" s="4">
        <v>0.1</v>
      </c>
      <c r="F279">
        <v>23</v>
      </c>
      <c r="G279">
        <v>78</v>
      </c>
      <c r="H279">
        <v>19.2</v>
      </c>
      <c r="I279">
        <v>7.1</v>
      </c>
      <c r="J279">
        <v>0.46100000000000002</v>
      </c>
      <c r="K279">
        <v>4.4000000000000004</v>
      </c>
      <c r="L279">
        <v>0.376</v>
      </c>
      <c r="M279">
        <v>2.8</v>
      </c>
      <c r="N279">
        <v>0.59399999999999997</v>
      </c>
      <c r="O279">
        <v>0.57599999999999996</v>
      </c>
      <c r="P279">
        <v>1.1000000000000001</v>
      </c>
      <c r="Q279">
        <v>0.76200000000000001</v>
      </c>
      <c r="R279">
        <v>2.8</v>
      </c>
      <c r="S279">
        <v>0.8</v>
      </c>
      <c r="T279">
        <v>0.3</v>
      </c>
      <c r="U279">
        <v>0.1</v>
      </c>
      <c r="V279">
        <v>0.5</v>
      </c>
      <c r="W279">
        <v>1.2</v>
      </c>
      <c r="X279">
        <v>9.1</v>
      </c>
      <c r="Y279">
        <v>0</v>
      </c>
      <c r="Z279">
        <v>-1.8</v>
      </c>
      <c r="AA279">
        <v>12.7</v>
      </c>
      <c r="AB279">
        <v>8.5999999999999993E-2</v>
      </c>
    </row>
    <row r="280" spans="1:28" x14ac:dyDescent="0.35">
      <c r="A280" s="1" t="s">
        <v>2</v>
      </c>
      <c r="B280" s="1" t="s">
        <v>597</v>
      </c>
      <c r="C280" s="1" t="s">
        <v>23</v>
      </c>
      <c r="D280" s="1" t="s">
        <v>20</v>
      </c>
      <c r="E280" s="4">
        <v>3.2</v>
      </c>
      <c r="F280">
        <v>27</v>
      </c>
      <c r="G280">
        <v>80</v>
      </c>
      <c r="H280">
        <v>28.4</v>
      </c>
      <c r="I280">
        <v>10.8</v>
      </c>
      <c r="J280">
        <v>0.47199999999999998</v>
      </c>
      <c r="K280">
        <v>7.8</v>
      </c>
      <c r="L280">
        <v>0.40699999999999997</v>
      </c>
      <c r="M280">
        <v>3</v>
      </c>
      <c r="N280">
        <v>0.64200000000000002</v>
      </c>
      <c r="O280">
        <v>0.62</v>
      </c>
      <c r="P280">
        <v>1.1000000000000001</v>
      </c>
      <c r="Q280">
        <v>0.84499999999999997</v>
      </c>
      <c r="R280">
        <v>3.8</v>
      </c>
      <c r="S280">
        <v>3.5</v>
      </c>
      <c r="T280">
        <v>0.9</v>
      </c>
      <c r="U280">
        <v>0.2</v>
      </c>
      <c r="V280">
        <v>1</v>
      </c>
      <c r="W280">
        <v>1.5</v>
      </c>
      <c r="X280">
        <v>14.3</v>
      </c>
      <c r="Y280">
        <v>4</v>
      </c>
      <c r="Z280">
        <v>3.5</v>
      </c>
      <c r="AA280">
        <v>17.600000000000001</v>
      </c>
      <c r="AB280">
        <v>0.183</v>
      </c>
    </row>
    <row r="281" spans="1:28" x14ac:dyDescent="0.35">
      <c r="A281" s="1" t="s">
        <v>18</v>
      </c>
      <c r="B281" s="1" t="s">
        <v>597</v>
      </c>
      <c r="C281" s="1" t="s">
        <v>23</v>
      </c>
      <c r="D281" s="1" t="s">
        <v>50</v>
      </c>
      <c r="E281" s="4">
        <v>0.4</v>
      </c>
      <c r="F281">
        <v>26</v>
      </c>
      <c r="G281">
        <v>17</v>
      </c>
      <c r="H281">
        <v>17.100000000000001</v>
      </c>
      <c r="I281">
        <v>3.3</v>
      </c>
      <c r="J281">
        <v>0.66100000000000003</v>
      </c>
      <c r="K281">
        <v>0</v>
      </c>
      <c r="M281">
        <v>3.3</v>
      </c>
      <c r="N281">
        <v>0.66100000000000003</v>
      </c>
      <c r="O281">
        <v>0.66100000000000003</v>
      </c>
      <c r="P281">
        <v>1.1000000000000001</v>
      </c>
      <c r="Q281">
        <v>0.68400000000000005</v>
      </c>
      <c r="R281">
        <v>5.9</v>
      </c>
      <c r="S281">
        <v>0.8</v>
      </c>
      <c r="T281">
        <v>0.9</v>
      </c>
      <c r="U281">
        <v>1.1000000000000001</v>
      </c>
      <c r="V281">
        <v>0.6</v>
      </c>
      <c r="W281">
        <v>1.5</v>
      </c>
      <c r="X281">
        <v>5.0999999999999996</v>
      </c>
      <c r="Y281">
        <v>6</v>
      </c>
      <c r="Z281">
        <v>3.3</v>
      </c>
      <c r="AA281">
        <v>20.399999999999999</v>
      </c>
      <c r="AB281">
        <v>0.221</v>
      </c>
    </row>
    <row r="282" spans="1:28" x14ac:dyDescent="0.35">
      <c r="A282" s="1" t="s">
        <v>26</v>
      </c>
      <c r="B282" s="1" t="s">
        <v>35</v>
      </c>
      <c r="C282" s="1" t="s">
        <v>23</v>
      </c>
      <c r="D282" s="1" t="s">
        <v>50</v>
      </c>
      <c r="E282" s="4">
        <v>-0.4</v>
      </c>
      <c r="F282">
        <v>24</v>
      </c>
      <c r="G282">
        <v>43</v>
      </c>
      <c r="H282">
        <v>21.2</v>
      </c>
      <c r="I282">
        <v>4.7</v>
      </c>
      <c r="J282">
        <v>0.55200000000000005</v>
      </c>
      <c r="K282">
        <v>1.3</v>
      </c>
      <c r="L282">
        <v>0.25900000000000001</v>
      </c>
      <c r="M282">
        <v>3.3</v>
      </c>
      <c r="N282">
        <v>0.67100000000000004</v>
      </c>
      <c r="O282">
        <v>0.59</v>
      </c>
      <c r="P282">
        <v>1.1000000000000001</v>
      </c>
      <c r="Q282">
        <v>0.78700000000000003</v>
      </c>
      <c r="R282">
        <v>2.9</v>
      </c>
      <c r="S282">
        <v>1.1000000000000001</v>
      </c>
      <c r="T282">
        <v>0.4</v>
      </c>
      <c r="U282">
        <v>0.5</v>
      </c>
      <c r="V282">
        <v>0.6</v>
      </c>
      <c r="W282">
        <v>2.2999999999999998</v>
      </c>
      <c r="X282">
        <v>6.4</v>
      </c>
      <c r="Y282">
        <v>4</v>
      </c>
      <c r="Z282">
        <v>-3.6</v>
      </c>
      <c r="AA282">
        <v>10.199999999999999</v>
      </c>
      <c r="AB282">
        <v>6.8000000000000005E-2</v>
      </c>
    </row>
    <row r="283" spans="1:28" x14ac:dyDescent="0.35">
      <c r="A283" s="1" t="s">
        <v>2</v>
      </c>
      <c r="B283" s="1" t="s">
        <v>35</v>
      </c>
      <c r="C283" s="1" t="s">
        <v>23</v>
      </c>
      <c r="D283" s="1" t="s">
        <v>20</v>
      </c>
      <c r="E283" s="4">
        <v>-0.3</v>
      </c>
      <c r="F283">
        <v>26</v>
      </c>
      <c r="G283">
        <v>74</v>
      </c>
      <c r="H283">
        <v>27.4</v>
      </c>
      <c r="I283">
        <v>6.4</v>
      </c>
      <c r="J283">
        <v>0.46800000000000003</v>
      </c>
      <c r="K283">
        <v>2.9</v>
      </c>
      <c r="L283">
        <v>0.39800000000000002</v>
      </c>
      <c r="M283">
        <v>3.6</v>
      </c>
      <c r="N283">
        <v>0.52500000000000002</v>
      </c>
      <c r="O283">
        <v>0.55700000000000005</v>
      </c>
      <c r="P283">
        <v>1.1000000000000001</v>
      </c>
      <c r="Q283">
        <v>0.69</v>
      </c>
      <c r="R283">
        <v>2.2999999999999998</v>
      </c>
      <c r="S283">
        <v>4.9000000000000004</v>
      </c>
      <c r="T283">
        <v>1</v>
      </c>
      <c r="U283">
        <v>0.2</v>
      </c>
      <c r="V283">
        <v>1.7</v>
      </c>
      <c r="W283">
        <v>2.5</v>
      </c>
      <c r="X283">
        <v>7.9</v>
      </c>
      <c r="Y283">
        <v>3</v>
      </c>
      <c r="Z283">
        <v>-2.6</v>
      </c>
      <c r="AA283">
        <v>10.199999999999999</v>
      </c>
      <c r="AB283">
        <v>7.0000000000000007E-2</v>
      </c>
    </row>
    <row r="284" spans="1:28" x14ac:dyDescent="0.35">
      <c r="A284" s="1" t="s">
        <v>26</v>
      </c>
      <c r="B284" s="1" t="s">
        <v>35</v>
      </c>
      <c r="C284" s="1" t="s">
        <v>33</v>
      </c>
      <c r="D284" s="1" t="s">
        <v>20</v>
      </c>
      <c r="E284" s="4">
        <v>0.9</v>
      </c>
      <c r="F284">
        <v>31</v>
      </c>
      <c r="G284">
        <v>61</v>
      </c>
      <c r="H284">
        <v>16.399999999999999</v>
      </c>
      <c r="I284">
        <v>5</v>
      </c>
      <c r="J284">
        <v>0.46899999999999997</v>
      </c>
      <c r="K284">
        <v>1.1000000000000001</v>
      </c>
      <c r="L284">
        <v>0.35699999999999998</v>
      </c>
      <c r="M284">
        <v>3.8</v>
      </c>
      <c r="N284">
        <v>0.502</v>
      </c>
      <c r="O284">
        <v>0.51</v>
      </c>
      <c r="P284">
        <v>1.1000000000000001</v>
      </c>
      <c r="Q284">
        <v>0.73799999999999999</v>
      </c>
      <c r="R284">
        <v>3.4</v>
      </c>
      <c r="S284">
        <v>2.4</v>
      </c>
      <c r="T284">
        <v>0.7</v>
      </c>
      <c r="U284">
        <v>0.5</v>
      </c>
      <c r="V284">
        <v>0.6</v>
      </c>
      <c r="W284">
        <v>1.3</v>
      </c>
      <c r="X284">
        <v>5.9</v>
      </c>
      <c r="Y284">
        <v>10</v>
      </c>
      <c r="Z284">
        <v>1.5</v>
      </c>
      <c r="AA284">
        <v>15.1</v>
      </c>
      <c r="AB284">
        <v>0.13500000000000001</v>
      </c>
    </row>
    <row r="285" spans="1:28" x14ac:dyDescent="0.35">
      <c r="A285" s="1" t="s">
        <v>2</v>
      </c>
      <c r="B285" s="1" t="s">
        <v>597</v>
      </c>
      <c r="C285" s="1" t="s">
        <v>23</v>
      </c>
      <c r="D285" s="1" t="s">
        <v>28</v>
      </c>
      <c r="E285" s="4">
        <v>0.3</v>
      </c>
      <c r="F285">
        <v>27</v>
      </c>
      <c r="G285">
        <v>41</v>
      </c>
      <c r="H285">
        <v>15.1</v>
      </c>
      <c r="I285">
        <v>5.6</v>
      </c>
      <c r="J285">
        <v>0.48699999999999999</v>
      </c>
      <c r="K285">
        <v>1.7</v>
      </c>
      <c r="L285">
        <v>0.4</v>
      </c>
      <c r="M285">
        <v>3.9</v>
      </c>
      <c r="N285">
        <v>0.52500000000000002</v>
      </c>
      <c r="O285">
        <v>0.54800000000000004</v>
      </c>
      <c r="P285">
        <v>1.1000000000000001</v>
      </c>
      <c r="Q285">
        <v>0.73299999999999998</v>
      </c>
      <c r="R285">
        <v>1.5</v>
      </c>
      <c r="S285">
        <v>1.9</v>
      </c>
      <c r="T285">
        <v>0.6</v>
      </c>
      <c r="U285">
        <v>0.3</v>
      </c>
      <c r="V285">
        <v>0.4</v>
      </c>
      <c r="W285">
        <v>0.7</v>
      </c>
      <c r="X285">
        <v>7</v>
      </c>
      <c r="Y285">
        <v>3</v>
      </c>
      <c r="Z285">
        <v>0.2</v>
      </c>
      <c r="AA285">
        <v>16.100000000000001</v>
      </c>
      <c r="AB285">
        <v>0.10299999999999999</v>
      </c>
    </row>
    <row r="286" spans="1:28" x14ac:dyDescent="0.35">
      <c r="A286" s="1" t="s">
        <v>2</v>
      </c>
      <c r="B286" s="1" t="s">
        <v>597</v>
      </c>
      <c r="C286" s="1" t="s">
        <v>23</v>
      </c>
      <c r="D286" s="1" t="s">
        <v>28</v>
      </c>
      <c r="E286" s="4">
        <v>0</v>
      </c>
      <c r="F286">
        <v>25</v>
      </c>
      <c r="G286">
        <v>5</v>
      </c>
      <c r="H286">
        <v>12.4</v>
      </c>
      <c r="I286">
        <v>2.4</v>
      </c>
      <c r="J286">
        <v>0.5</v>
      </c>
      <c r="K286">
        <v>1</v>
      </c>
      <c r="L286">
        <v>0.2</v>
      </c>
      <c r="M286">
        <v>1.4</v>
      </c>
      <c r="N286">
        <v>0.71399999999999997</v>
      </c>
      <c r="O286">
        <v>0.54200000000000004</v>
      </c>
      <c r="P286">
        <v>1.2</v>
      </c>
      <c r="Q286">
        <v>0.66700000000000004</v>
      </c>
      <c r="R286">
        <v>1</v>
      </c>
      <c r="S286">
        <v>2</v>
      </c>
      <c r="T286">
        <v>0.8</v>
      </c>
      <c r="U286">
        <v>0.4</v>
      </c>
      <c r="V286">
        <v>1.6</v>
      </c>
      <c r="W286">
        <v>0.4</v>
      </c>
      <c r="X286">
        <v>3.4</v>
      </c>
      <c r="Y286">
        <v>2</v>
      </c>
      <c r="Z286">
        <v>-5.4</v>
      </c>
      <c r="AA286">
        <v>9.6999999999999993</v>
      </c>
      <c r="AB286">
        <v>7.0000000000000001E-3</v>
      </c>
    </row>
    <row r="287" spans="1:28" x14ac:dyDescent="0.35">
      <c r="A287" s="1" t="s">
        <v>2</v>
      </c>
      <c r="B287" s="1" t="s">
        <v>597</v>
      </c>
      <c r="C287" s="1" t="s">
        <v>33</v>
      </c>
      <c r="D287" s="1" t="s">
        <v>20</v>
      </c>
      <c r="E287" s="4">
        <v>0.1</v>
      </c>
      <c r="F287">
        <v>36</v>
      </c>
      <c r="G287">
        <v>39</v>
      </c>
      <c r="H287">
        <v>19.7</v>
      </c>
      <c r="I287">
        <v>5.2</v>
      </c>
      <c r="J287">
        <v>0.42599999999999999</v>
      </c>
      <c r="K287">
        <v>3.5</v>
      </c>
      <c r="L287">
        <v>0.40899999999999997</v>
      </c>
      <c r="M287">
        <v>1.7</v>
      </c>
      <c r="N287">
        <v>0.46300000000000002</v>
      </c>
      <c r="O287">
        <v>0.56399999999999995</v>
      </c>
      <c r="P287">
        <v>1.2</v>
      </c>
      <c r="Q287">
        <v>0.75</v>
      </c>
      <c r="R287">
        <v>1.2</v>
      </c>
      <c r="S287">
        <v>1.7</v>
      </c>
      <c r="T287">
        <v>0.7</v>
      </c>
      <c r="U287">
        <v>0.3</v>
      </c>
      <c r="V287">
        <v>0.7</v>
      </c>
      <c r="W287">
        <v>0.8</v>
      </c>
      <c r="X287">
        <v>6.8</v>
      </c>
      <c r="Y287">
        <v>16</v>
      </c>
      <c r="Z287">
        <v>-1.6</v>
      </c>
      <c r="AA287">
        <v>10.8</v>
      </c>
      <c r="AB287">
        <v>5.2999999999999999E-2</v>
      </c>
    </row>
    <row r="288" spans="1:28" x14ac:dyDescent="0.35">
      <c r="A288" s="1" t="s">
        <v>2</v>
      </c>
      <c r="B288" s="1" t="s">
        <v>598</v>
      </c>
      <c r="C288" s="1" t="s">
        <v>23</v>
      </c>
      <c r="D288" s="1" t="s">
        <v>20</v>
      </c>
      <c r="E288" s="4">
        <v>-0.1</v>
      </c>
      <c r="F288">
        <v>22</v>
      </c>
      <c r="G288">
        <v>36</v>
      </c>
      <c r="H288">
        <v>11</v>
      </c>
      <c r="I288">
        <v>3.5</v>
      </c>
      <c r="J288">
        <v>0.37</v>
      </c>
      <c r="K288">
        <v>1.7</v>
      </c>
      <c r="L288">
        <v>0.29499999999999998</v>
      </c>
      <c r="M288">
        <v>1.8</v>
      </c>
      <c r="N288">
        <v>0.439</v>
      </c>
      <c r="O288">
        <v>0.441</v>
      </c>
      <c r="P288">
        <v>1.2</v>
      </c>
      <c r="Q288">
        <v>0.59099999999999997</v>
      </c>
      <c r="R288">
        <v>2.1</v>
      </c>
      <c r="S288">
        <v>1.1000000000000001</v>
      </c>
      <c r="T288">
        <v>0.6</v>
      </c>
      <c r="U288">
        <v>0.1</v>
      </c>
      <c r="V288">
        <v>0.5</v>
      </c>
      <c r="W288">
        <v>1.1000000000000001</v>
      </c>
      <c r="X288">
        <v>3.8</v>
      </c>
      <c r="Y288">
        <v>0</v>
      </c>
      <c r="Z288">
        <v>-3.2</v>
      </c>
      <c r="AA288">
        <v>10.8</v>
      </c>
      <c r="AB288">
        <v>4.2999999999999997E-2</v>
      </c>
    </row>
    <row r="289" spans="1:28" x14ac:dyDescent="0.35">
      <c r="A289" s="1" t="s">
        <v>26</v>
      </c>
      <c r="B289" s="1" t="s">
        <v>598</v>
      </c>
      <c r="C289" s="1" t="s">
        <v>33</v>
      </c>
      <c r="D289" s="1" t="s">
        <v>20</v>
      </c>
      <c r="E289" s="4">
        <v>0.4</v>
      </c>
      <c r="F289">
        <v>29</v>
      </c>
      <c r="G289">
        <v>69</v>
      </c>
      <c r="H289">
        <v>19.600000000000001</v>
      </c>
      <c r="I289">
        <v>5.4</v>
      </c>
      <c r="J289">
        <v>0.42</v>
      </c>
      <c r="K289">
        <v>3.4</v>
      </c>
      <c r="L289">
        <v>0.34</v>
      </c>
      <c r="M289">
        <v>2</v>
      </c>
      <c r="N289">
        <v>0.55900000000000005</v>
      </c>
      <c r="O289">
        <v>0.52800000000000002</v>
      </c>
      <c r="P289">
        <v>1.2</v>
      </c>
      <c r="Q289">
        <v>0.7</v>
      </c>
      <c r="R289">
        <v>4.5999999999999996</v>
      </c>
      <c r="S289">
        <v>1.2</v>
      </c>
      <c r="T289">
        <v>0.6</v>
      </c>
      <c r="U289">
        <v>0.3</v>
      </c>
      <c r="V289">
        <v>0.6</v>
      </c>
      <c r="W289">
        <v>1.2</v>
      </c>
      <c r="X289">
        <v>6.5</v>
      </c>
      <c r="Y289">
        <v>9</v>
      </c>
      <c r="Z289">
        <v>-0.7</v>
      </c>
      <c r="AA289">
        <v>12.3</v>
      </c>
      <c r="AB289">
        <v>9.0999999999999998E-2</v>
      </c>
    </row>
    <row r="290" spans="1:28" x14ac:dyDescent="0.35">
      <c r="A290" s="1" t="s">
        <v>26</v>
      </c>
      <c r="B290" s="1" t="s">
        <v>598</v>
      </c>
      <c r="C290" s="1" t="s">
        <v>23</v>
      </c>
      <c r="D290" s="1" t="s">
        <v>50</v>
      </c>
      <c r="E290" s="4">
        <v>0.2</v>
      </c>
      <c r="F290">
        <v>22</v>
      </c>
      <c r="G290">
        <v>60</v>
      </c>
      <c r="H290">
        <v>12.5</v>
      </c>
      <c r="I290">
        <v>3.8</v>
      </c>
      <c r="J290">
        <v>0.51500000000000001</v>
      </c>
      <c r="K290">
        <v>1.2</v>
      </c>
      <c r="L290">
        <v>0.38900000000000001</v>
      </c>
      <c r="M290">
        <v>2.6</v>
      </c>
      <c r="N290">
        <v>0.57299999999999995</v>
      </c>
      <c r="O290">
        <v>0.57599999999999996</v>
      </c>
      <c r="P290">
        <v>1.2</v>
      </c>
      <c r="Q290">
        <v>0.69</v>
      </c>
      <c r="R290">
        <v>3.5</v>
      </c>
      <c r="S290">
        <v>0.6</v>
      </c>
      <c r="T290">
        <v>0.6</v>
      </c>
      <c r="U290">
        <v>0.1</v>
      </c>
      <c r="V290">
        <v>0.6</v>
      </c>
      <c r="W290">
        <v>1.5</v>
      </c>
      <c r="X290">
        <v>5.2</v>
      </c>
      <c r="Y290">
        <v>2</v>
      </c>
      <c r="Z290">
        <v>-0.8</v>
      </c>
      <c r="AA290">
        <v>15</v>
      </c>
      <c r="AB290">
        <v>0.128</v>
      </c>
    </row>
    <row r="291" spans="1:28" x14ac:dyDescent="0.35">
      <c r="A291" s="1" t="s">
        <v>2</v>
      </c>
      <c r="B291" s="1" t="s">
        <v>597</v>
      </c>
      <c r="C291" s="1" t="s">
        <v>23</v>
      </c>
      <c r="D291" s="1" t="s">
        <v>20</v>
      </c>
      <c r="E291" s="4">
        <v>0.3</v>
      </c>
      <c r="F291">
        <v>31</v>
      </c>
      <c r="G291">
        <v>77</v>
      </c>
      <c r="H291">
        <v>29.6</v>
      </c>
      <c r="I291">
        <v>7.1</v>
      </c>
      <c r="J291">
        <v>0.439</v>
      </c>
      <c r="K291">
        <v>4.3</v>
      </c>
      <c r="L291">
        <v>0.34200000000000003</v>
      </c>
      <c r="M291">
        <v>2.8</v>
      </c>
      <c r="N291">
        <v>0.58899999999999997</v>
      </c>
      <c r="O291">
        <v>0.54300000000000004</v>
      </c>
      <c r="P291">
        <v>1.2</v>
      </c>
      <c r="Q291">
        <v>0.86299999999999999</v>
      </c>
      <c r="R291">
        <v>2.2000000000000002</v>
      </c>
      <c r="S291">
        <v>1.8</v>
      </c>
      <c r="T291">
        <v>1.3</v>
      </c>
      <c r="U291">
        <v>0.4</v>
      </c>
      <c r="V291">
        <v>0.8</v>
      </c>
      <c r="W291">
        <v>1.8</v>
      </c>
      <c r="X291">
        <v>8.6999999999999993</v>
      </c>
      <c r="Y291">
        <v>11</v>
      </c>
      <c r="Z291">
        <v>-1.4</v>
      </c>
      <c r="AA291">
        <v>9.9</v>
      </c>
      <c r="AB291">
        <v>9.6000000000000002E-2</v>
      </c>
    </row>
    <row r="292" spans="1:28" x14ac:dyDescent="0.35">
      <c r="A292" s="1" t="s">
        <v>2</v>
      </c>
      <c r="B292" s="1" t="s">
        <v>597</v>
      </c>
      <c r="C292" s="1" t="s">
        <v>23</v>
      </c>
      <c r="D292" s="1" t="s">
        <v>50</v>
      </c>
      <c r="E292" s="4">
        <v>0.2</v>
      </c>
      <c r="F292">
        <v>26</v>
      </c>
      <c r="G292">
        <v>74</v>
      </c>
      <c r="H292">
        <v>25.6</v>
      </c>
      <c r="I292">
        <v>8.9</v>
      </c>
      <c r="J292">
        <v>0.43099999999999999</v>
      </c>
      <c r="K292">
        <v>5.9</v>
      </c>
      <c r="L292">
        <v>0.41599999999999998</v>
      </c>
      <c r="M292">
        <v>3</v>
      </c>
      <c r="N292">
        <v>0.46</v>
      </c>
      <c r="O292">
        <v>0.56799999999999995</v>
      </c>
      <c r="P292">
        <v>1.2</v>
      </c>
      <c r="Q292">
        <v>0.84799999999999998</v>
      </c>
      <c r="R292">
        <v>2.2999999999999998</v>
      </c>
      <c r="S292">
        <v>1.2</v>
      </c>
      <c r="T292">
        <v>1</v>
      </c>
      <c r="U292">
        <v>0.1</v>
      </c>
      <c r="V292">
        <v>0.6</v>
      </c>
      <c r="W292">
        <v>1.7</v>
      </c>
      <c r="X292">
        <v>11.1</v>
      </c>
      <c r="Y292">
        <v>6</v>
      </c>
      <c r="Z292">
        <v>-1.6</v>
      </c>
      <c r="AA292">
        <v>11.7</v>
      </c>
      <c r="AB292">
        <v>8.4000000000000005E-2</v>
      </c>
    </row>
    <row r="293" spans="1:28" x14ac:dyDescent="0.35">
      <c r="A293" s="1" t="s">
        <v>18</v>
      </c>
      <c r="B293" s="1" t="s">
        <v>35</v>
      </c>
      <c r="C293" s="1" t="s">
        <v>23</v>
      </c>
      <c r="D293" s="1" t="s">
        <v>28</v>
      </c>
      <c r="E293" s="4">
        <v>0.3</v>
      </c>
      <c r="F293">
        <v>27</v>
      </c>
      <c r="G293">
        <v>61</v>
      </c>
      <c r="H293">
        <v>12.2</v>
      </c>
      <c r="I293">
        <v>3.2</v>
      </c>
      <c r="J293">
        <v>0.59299999999999997</v>
      </c>
      <c r="K293">
        <v>0.1</v>
      </c>
      <c r="L293">
        <v>0.5</v>
      </c>
      <c r="M293">
        <v>3.1</v>
      </c>
      <c r="N293">
        <v>0.59599999999999997</v>
      </c>
      <c r="O293">
        <v>0.60099999999999998</v>
      </c>
      <c r="P293">
        <v>1.2</v>
      </c>
      <c r="Q293">
        <v>0.66200000000000003</v>
      </c>
      <c r="R293">
        <v>3.7</v>
      </c>
      <c r="S293">
        <v>0.9</v>
      </c>
      <c r="T293">
        <v>0.2</v>
      </c>
      <c r="U293">
        <v>0.6</v>
      </c>
      <c r="V293">
        <v>0.7</v>
      </c>
      <c r="W293">
        <v>1</v>
      </c>
      <c r="X293">
        <v>4.5999999999999996</v>
      </c>
      <c r="Y293">
        <v>6</v>
      </c>
      <c r="Z293">
        <v>-0.7</v>
      </c>
      <c r="AA293">
        <v>15.6</v>
      </c>
      <c r="AB293">
        <v>0.107</v>
      </c>
    </row>
    <row r="294" spans="1:28" x14ac:dyDescent="0.35">
      <c r="A294" s="1" t="s">
        <v>26</v>
      </c>
      <c r="B294" s="1" t="s">
        <v>35</v>
      </c>
      <c r="C294" s="1" t="s">
        <v>23</v>
      </c>
      <c r="D294" s="1" t="s">
        <v>20</v>
      </c>
      <c r="E294" s="4">
        <v>0.5</v>
      </c>
      <c r="F294">
        <v>27</v>
      </c>
      <c r="G294">
        <v>64</v>
      </c>
      <c r="H294">
        <v>15.3</v>
      </c>
      <c r="I294">
        <v>4.7</v>
      </c>
      <c r="J294">
        <v>0.50700000000000001</v>
      </c>
      <c r="K294">
        <v>1.7</v>
      </c>
      <c r="L294">
        <v>0.30199999999999999</v>
      </c>
      <c r="M294">
        <v>3.1</v>
      </c>
      <c r="N294">
        <v>0.61699999999999999</v>
      </c>
      <c r="O294">
        <v>0.56000000000000005</v>
      </c>
      <c r="P294">
        <v>1.2</v>
      </c>
      <c r="Q294">
        <v>0.88500000000000001</v>
      </c>
      <c r="R294">
        <v>4.5</v>
      </c>
      <c r="S294">
        <v>1.7</v>
      </c>
      <c r="T294">
        <v>0.5</v>
      </c>
      <c r="U294">
        <v>0.5</v>
      </c>
      <c r="V294">
        <v>0.9</v>
      </c>
      <c r="W294">
        <v>2.1</v>
      </c>
      <c r="X294">
        <v>6.4</v>
      </c>
      <c r="Y294">
        <v>7</v>
      </c>
      <c r="Z294">
        <v>0</v>
      </c>
      <c r="AA294">
        <v>16</v>
      </c>
      <c r="AB294">
        <v>0.13200000000000001</v>
      </c>
    </row>
    <row r="295" spans="1:28" x14ac:dyDescent="0.35">
      <c r="A295" s="1" t="s">
        <v>26</v>
      </c>
      <c r="B295" s="1" t="s">
        <v>35</v>
      </c>
      <c r="C295" s="1" t="s">
        <v>23</v>
      </c>
      <c r="D295" s="1" t="s">
        <v>50</v>
      </c>
      <c r="E295" s="4">
        <v>0.1</v>
      </c>
      <c r="F295">
        <v>29</v>
      </c>
      <c r="G295">
        <v>53</v>
      </c>
      <c r="H295">
        <v>22.1</v>
      </c>
      <c r="I295">
        <v>6.1</v>
      </c>
      <c r="J295">
        <v>0.41799999999999998</v>
      </c>
      <c r="K295">
        <v>2.8</v>
      </c>
      <c r="L295">
        <v>0.28499999999999998</v>
      </c>
      <c r="M295">
        <v>3.3</v>
      </c>
      <c r="N295">
        <v>0.53400000000000003</v>
      </c>
      <c r="O295">
        <v>0.48499999999999999</v>
      </c>
      <c r="P295">
        <v>1.2</v>
      </c>
      <c r="Q295">
        <v>0.70499999999999996</v>
      </c>
      <c r="R295">
        <v>4.2</v>
      </c>
      <c r="S295">
        <v>2</v>
      </c>
      <c r="T295">
        <v>1.1000000000000001</v>
      </c>
      <c r="U295">
        <v>0.6</v>
      </c>
      <c r="V295">
        <v>1</v>
      </c>
      <c r="W295">
        <v>1.8</v>
      </c>
      <c r="X295">
        <v>6.8</v>
      </c>
      <c r="Y295">
        <v>5</v>
      </c>
      <c r="Z295">
        <v>-1.7</v>
      </c>
      <c r="AA295">
        <v>11.3</v>
      </c>
      <c r="AB295">
        <v>5.3999999999999999E-2</v>
      </c>
    </row>
    <row r="296" spans="1:28" x14ac:dyDescent="0.35">
      <c r="A296" s="1" t="s">
        <v>26</v>
      </c>
      <c r="B296" s="1" t="s">
        <v>597</v>
      </c>
      <c r="C296" s="1" t="s">
        <v>23</v>
      </c>
      <c r="D296" s="1" t="s">
        <v>28</v>
      </c>
      <c r="E296" s="4">
        <v>0.5</v>
      </c>
      <c r="F296">
        <v>23</v>
      </c>
      <c r="G296">
        <v>62</v>
      </c>
      <c r="H296">
        <v>21.6</v>
      </c>
      <c r="I296">
        <v>6.6</v>
      </c>
      <c r="J296">
        <v>0.51100000000000001</v>
      </c>
      <c r="K296">
        <v>3.1</v>
      </c>
      <c r="L296">
        <v>0.38300000000000001</v>
      </c>
      <c r="M296">
        <v>3.5</v>
      </c>
      <c r="N296">
        <v>0.624</v>
      </c>
      <c r="O296">
        <v>0.60099999999999998</v>
      </c>
      <c r="P296">
        <v>1.2</v>
      </c>
      <c r="Q296">
        <v>0.68500000000000005</v>
      </c>
      <c r="R296">
        <v>5.7</v>
      </c>
      <c r="S296">
        <v>1</v>
      </c>
      <c r="T296">
        <v>1</v>
      </c>
      <c r="U296">
        <v>0.6</v>
      </c>
      <c r="V296">
        <v>0.9</v>
      </c>
      <c r="W296">
        <v>1.8</v>
      </c>
      <c r="X296">
        <v>8.8000000000000007</v>
      </c>
      <c r="Y296">
        <v>3</v>
      </c>
      <c r="Z296">
        <v>-0.5</v>
      </c>
      <c r="AA296">
        <v>15.7</v>
      </c>
      <c r="AB296">
        <v>0.1</v>
      </c>
    </row>
    <row r="297" spans="1:28" x14ac:dyDescent="0.35">
      <c r="A297" s="1" t="s">
        <v>18</v>
      </c>
      <c r="B297" s="1" t="s">
        <v>597</v>
      </c>
      <c r="C297" s="1" t="s">
        <v>23</v>
      </c>
      <c r="D297" s="1" t="s">
        <v>20</v>
      </c>
      <c r="E297" s="4">
        <v>0.9</v>
      </c>
      <c r="F297">
        <v>23</v>
      </c>
      <c r="G297">
        <v>72</v>
      </c>
      <c r="H297">
        <v>19.899999999999999</v>
      </c>
      <c r="I297">
        <v>4.4000000000000004</v>
      </c>
      <c r="J297">
        <v>0.55900000000000005</v>
      </c>
      <c r="K297">
        <v>0.7</v>
      </c>
      <c r="L297">
        <v>0.32100000000000001</v>
      </c>
      <c r="M297">
        <v>3.6</v>
      </c>
      <c r="N297">
        <v>0.60699999999999998</v>
      </c>
      <c r="O297">
        <v>0.58599999999999997</v>
      </c>
      <c r="P297">
        <v>1.2</v>
      </c>
      <c r="Q297">
        <v>0.75900000000000001</v>
      </c>
      <c r="R297">
        <v>5.5</v>
      </c>
      <c r="S297">
        <v>1.7</v>
      </c>
      <c r="T297">
        <v>0.4</v>
      </c>
      <c r="U297">
        <v>1.4</v>
      </c>
      <c r="V297">
        <v>0.9</v>
      </c>
      <c r="W297">
        <v>2.5</v>
      </c>
      <c r="X297">
        <v>6</v>
      </c>
      <c r="Y297">
        <v>4</v>
      </c>
      <c r="Z297">
        <v>0.6</v>
      </c>
      <c r="AA297">
        <v>14.6</v>
      </c>
      <c r="AB297">
        <v>0.14399999999999999</v>
      </c>
    </row>
    <row r="298" spans="1:28" x14ac:dyDescent="0.35">
      <c r="A298" s="1" t="s">
        <v>2</v>
      </c>
      <c r="B298" s="1" t="s">
        <v>35</v>
      </c>
      <c r="C298" s="1" t="s">
        <v>19</v>
      </c>
      <c r="D298" s="1" t="s">
        <v>20</v>
      </c>
      <c r="E298" s="4">
        <v>0</v>
      </c>
      <c r="F298">
        <v>32</v>
      </c>
      <c r="G298">
        <v>54</v>
      </c>
      <c r="H298">
        <v>25</v>
      </c>
      <c r="I298">
        <v>9.1</v>
      </c>
      <c r="J298">
        <v>0.42699999999999999</v>
      </c>
      <c r="K298">
        <v>5.4</v>
      </c>
      <c r="L298">
        <v>0.36299999999999999</v>
      </c>
      <c r="M298">
        <v>3.8</v>
      </c>
      <c r="N298">
        <v>0.51700000000000002</v>
      </c>
      <c r="O298">
        <v>0.53400000000000003</v>
      </c>
      <c r="P298">
        <v>1.2</v>
      </c>
      <c r="Q298">
        <v>0.879</v>
      </c>
      <c r="R298">
        <v>2.9</v>
      </c>
      <c r="S298">
        <v>2.7</v>
      </c>
      <c r="T298">
        <v>0.8</v>
      </c>
      <c r="U298">
        <v>0.2</v>
      </c>
      <c r="V298">
        <v>1.4</v>
      </c>
      <c r="W298">
        <v>2.4</v>
      </c>
      <c r="X298">
        <v>10.8</v>
      </c>
      <c r="Y298">
        <v>7</v>
      </c>
      <c r="Z298">
        <v>-2</v>
      </c>
      <c r="AA298">
        <v>11.1</v>
      </c>
      <c r="AB298">
        <v>6.9000000000000006E-2</v>
      </c>
    </row>
    <row r="299" spans="1:28" x14ac:dyDescent="0.35">
      <c r="A299" s="1" t="s">
        <v>2</v>
      </c>
      <c r="B299" s="1" t="s">
        <v>597</v>
      </c>
      <c r="C299" s="1" t="s">
        <v>23</v>
      </c>
      <c r="D299" s="1" t="s">
        <v>20</v>
      </c>
      <c r="E299" s="4">
        <v>1.3</v>
      </c>
      <c r="F299">
        <v>34</v>
      </c>
      <c r="G299">
        <v>62</v>
      </c>
      <c r="H299">
        <v>30.6</v>
      </c>
      <c r="I299">
        <v>9.1999999999999993</v>
      </c>
      <c r="J299">
        <v>0.443</v>
      </c>
      <c r="K299">
        <v>4.9000000000000004</v>
      </c>
      <c r="L299">
        <v>0.35299999999999998</v>
      </c>
      <c r="M299">
        <v>4.3</v>
      </c>
      <c r="N299">
        <v>0.54700000000000004</v>
      </c>
      <c r="O299">
        <v>0.53800000000000003</v>
      </c>
      <c r="P299">
        <v>1.2</v>
      </c>
      <c r="Q299">
        <v>0.90900000000000003</v>
      </c>
      <c r="R299">
        <v>4.3</v>
      </c>
      <c r="S299">
        <v>3.9</v>
      </c>
      <c r="T299">
        <v>1.1000000000000001</v>
      </c>
      <c r="U299">
        <v>0.4</v>
      </c>
      <c r="V299">
        <v>1.2</v>
      </c>
      <c r="W299">
        <v>1.6</v>
      </c>
      <c r="X299">
        <v>11.1</v>
      </c>
      <c r="Y299">
        <v>15</v>
      </c>
      <c r="Z299">
        <v>0.7</v>
      </c>
      <c r="AA299">
        <v>13.5</v>
      </c>
      <c r="AB299">
        <v>0.13</v>
      </c>
    </row>
    <row r="300" spans="1:28" x14ac:dyDescent="0.35">
      <c r="A300" s="1" t="s">
        <v>18</v>
      </c>
      <c r="B300" s="1" t="s">
        <v>597</v>
      </c>
      <c r="C300" s="1" t="s">
        <v>19</v>
      </c>
      <c r="D300" s="1" t="s">
        <v>20</v>
      </c>
      <c r="E300" s="4">
        <v>0</v>
      </c>
      <c r="F300">
        <v>25</v>
      </c>
      <c r="G300">
        <v>57</v>
      </c>
      <c r="H300">
        <v>20.5</v>
      </c>
      <c r="I300">
        <v>5.7</v>
      </c>
      <c r="J300">
        <v>0.502</v>
      </c>
      <c r="K300">
        <v>0.6</v>
      </c>
      <c r="L300">
        <v>0.27800000000000002</v>
      </c>
      <c r="M300">
        <v>5.0999999999999996</v>
      </c>
      <c r="N300">
        <v>0.52900000000000003</v>
      </c>
      <c r="O300">
        <v>0.51700000000000002</v>
      </c>
      <c r="P300">
        <v>1.2</v>
      </c>
      <c r="Q300">
        <v>0.59399999999999997</v>
      </c>
      <c r="R300">
        <v>5.6</v>
      </c>
      <c r="S300">
        <v>1</v>
      </c>
      <c r="T300">
        <v>0.8</v>
      </c>
      <c r="U300">
        <v>0.7</v>
      </c>
      <c r="V300">
        <v>0.8</v>
      </c>
      <c r="W300">
        <v>1.4</v>
      </c>
      <c r="X300">
        <v>6.6</v>
      </c>
      <c r="Y300">
        <v>4</v>
      </c>
      <c r="Z300">
        <v>-1.9</v>
      </c>
      <c r="AA300">
        <v>13.6</v>
      </c>
      <c r="AB300">
        <v>9.5000000000000001E-2</v>
      </c>
    </row>
    <row r="301" spans="1:28" x14ac:dyDescent="0.35">
      <c r="A301" s="1" t="s">
        <v>2</v>
      </c>
      <c r="B301" s="1" t="s">
        <v>598</v>
      </c>
      <c r="C301" s="1" t="s">
        <v>23</v>
      </c>
      <c r="D301" s="1" t="s">
        <v>50</v>
      </c>
      <c r="E301" s="4">
        <v>1.4</v>
      </c>
      <c r="F301">
        <v>26</v>
      </c>
      <c r="G301">
        <v>76</v>
      </c>
      <c r="H301">
        <v>22.9</v>
      </c>
      <c r="I301">
        <v>9.6</v>
      </c>
      <c r="J301">
        <v>0.48799999999999999</v>
      </c>
      <c r="K301">
        <v>4.5</v>
      </c>
      <c r="L301">
        <v>0.38300000000000001</v>
      </c>
      <c r="M301">
        <v>5.0999999999999996</v>
      </c>
      <c r="N301">
        <v>0.57799999999999996</v>
      </c>
      <c r="O301">
        <v>0.57699999999999996</v>
      </c>
      <c r="P301">
        <v>1.2</v>
      </c>
      <c r="Q301">
        <v>0.83099999999999996</v>
      </c>
      <c r="R301">
        <v>3.9</v>
      </c>
      <c r="S301">
        <v>1.8</v>
      </c>
      <c r="T301">
        <v>0.8</v>
      </c>
      <c r="U301">
        <v>0.2</v>
      </c>
      <c r="V301">
        <v>0.9</v>
      </c>
      <c r="W301">
        <v>1.3</v>
      </c>
      <c r="X301">
        <v>12</v>
      </c>
      <c r="Y301">
        <v>3</v>
      </c>
      <c r="Z301">
        <v>1.1000000000000001</v>
      </c>
      <c r="AA301">
        <v>16.100000000000001</v>
      </c>
      <c r="AB301">
        <v>0.14799999999999999</v>
      </c>
    </row>
    <row r="302" spans="1:28" x14ac:dyDescent="0.35">
      <c r="A302" s="1" t="s">
        <v>26</v>
      </c>
      <c r="B302" s="1" t="s">
        <v>598</v>
      </c>
      <c r="C302" s="1" t="s">
        <v>23</v>
      </c>
      <c r="D302" s="1" t="s">
        <v>20</v>
      </c>
      <c r="E302" s="4">
        <v>0</v>
      </c>
      <c r="F302">
        <v>21</v>
      </c>
      <c r="G302">
        <v>3</v>
      </c>
      <c r="H302">
        <v>25</v>
      </c>
      <c r="I302">
        <v>6</v>
      </c>
      <c r="J302">
        <v>0.222</v>
      </c>
      <c r="K302">
        <v>4</v>
      </c>
      <c r="L302">
        <v>0.25</v>
      </c>
      <c r="M302">
        <v>2</v>
      </c>
      <c r="N302">
        <v>0.16700000000000001</v>
      </c>
      <c r="O302">
        <v>0.30599999999999999</v>
      </c>
      <c r="P302">
        <v>1.3</v>
      </c>
      <c r="Q302">
        <v>0.75</v>
      </c>
      <c r="R302">
        <v>5</v>
      </c>
      <c r="S302">
        <v>0.7</v>
      </c>
      <c r="T302">
        <v>1.7</v>
      </c>
      <c r="U302">
        <v>1.3</v>
      </c>
      <c r="V302">
        <v>0.7</v>
      </c>
      <c r="W302">
        <v>2.7</v>
      </c>
      <c r="X302">
        <v>4.7</v>
      </c>
      <c r="Y302">
        <v>1</v>
      </c>
      <c r="Z302">
        <v>-3.5</v>
      </c>
      <c r="AA302">
        <v>7.1</v>
      </c>
      <c r="AB302">
        <v>-8.0000000000000002E-3</v>
      </c>
    </row>
    <row r="303" spans="1:28" x14ac:dyDescent="0.35">
      <c r="A303" s="1" t="s">
        <v>2</v>
      </c>
      <c r="B303" s="1" t="s">
        <v>598</v>
      </c>
      <c r="C303" s="1" t="s">
        <v>23</v>
      </c>
      <c r="D303" s="1" t="s">
        <v>20</v>
      </c>
      <c r="E303" s="4">
        <v>1.4</v>
      </c>
      <c r="F303">
        <v>37</v>
      </c>
      <c r="G303">
        <v>71</v>
      </c>
      <c r="H303">
        <v>24.7</v>
      </c>
      <c r="I303">
        <v>6.6</v>
      </c>
      <c r="J303">
        <v>0.4</v>
      </c>
      <c r="K303">
        <v>4.4000000000000004</v>
      </c>
      <c r="L303">
        <v>0.41</v>
      </c>
      <c r="M303">
        <v>2.2000000000000002</v>
      </c>
      <c r="N303">
        <v>0.38</v>
      </c>
      <c r="O303">
        <v>0.53500000000000003</v>
      </c>
      <c r="P303">
        <v>1.3</v>
      </c>
      <c r="Q303">
        <v>0.9</v>
      </c>
      <c r="R303">
        <v>2.6</v>
      </c>
      <c r="S303">
        <v>4.5</v>
      </c>
      <c r="T303">
        <v>1.1000000000000001</v>
      </c>
      <c r="U303">
        <v>0.2</v>
      </c>
      <c r="V303">
        <v>1.1000000000000001</v>
      </c>
      <c r="W303">
        <v>1.6</v>
      </c>
      <c r="X303">
        <v>8.1999999999999993</v>
      </c>
      <c r="Y303">
        <v>17</v>
      </c>
      <c r="Z303">
        <v>1.2</v>
      </c>
      <c r="AA303">
        <v>13.3</v>
      </c>
      <c r="AB303">
        <v>0.14199999999999999</v>
      </c>
    </row>
    <row r="304" spans="1:28" x14ac:dyDescent="0.35">
      <c r="A304" s="1" t="s">
        <v>26</v>
      </c>
      <c r="B304" s="1" t="s">
        <v>597</v>
      </c>
      <c r="C304" s="1" t="s">
        <v>19</v>
      </c>
      <c r="D304" s="1" t="s">
        <v>50</v>
      </c>
      <c r="E304" s="4">
        <v>0.2</v>
      </c>
      <c r="F304">
        <v>22</v>
      </c>
      <c r="G304">
        <v>33</v>
      </c>
      <c r="H304">
        <v>16.2</v>
      </c>
      <c r="I304">
        <v>5.2</v>
      </c>
      <c r="J304">
        <v>0.42099999999999999</v>
      </c>
      <c r="K304">
        <v>2.5</v>
      </c>
      <c r="L304">
        <v>0.25900000000000001</v>
      </c>
      <c r="M304">
        <v>2.7</v>
      </c>
      <c r="N304">
        <v>0.56699999999999995</v>
      </c>
      <c r="O304">
        <v>0.48199999999999998</v>
      </c>
      <c r="P304">
        <v>1.3</v>
      </c>
      <c r="Q304">
        <v>0.76200000000000001</v>
      </c>
      <c r="R304">
        <v>4.2</v>
      </c>
      <c r="S304">
        <v>0.8</v>
      </c>
      <c r="T304">
        <v>0.8</v>
      </c>
      <c r="U304">
        <v>1</v>
      </c>
      <c r="V304">
        <v>0.5</v>
      </c>
      <c r="W304">
        <v>1.7</v>
      </c>
      <c r="X304">
        <v>6</v>
      </c>
      <c r="Y304">
        <v>1</v>
      </c>
      <c r="Z304">
        <v>-0.6</v>
      </c>
      <c r="AA304">
        <v>14.4</v>
      </c>
      <c r="AB304">
        <v>0.106</v>
      </c>
    </row>
    <row r="305" spans="1:28" x14ac:dyDescent="0.35">
      <c r="A305" s="1" t="s">
        <v>2</v>
      </c>
      <c r="B305" s="1" t="s">
        <v>598</v>
      </c>
      <c r="C305" s="1" t="s">
        <v>23</v>
      </c>
      <c r="D305" s="1" t="s">
        <v>50</v>
      </c>
      <c r="E305" s="4">
        <v>0</v>
      </c>
      <c r="F305">
        <v>26</v>
      </c>
      <c r="G305">
        <v>6</v>
      </c>
      <c r="H305">
        <v>20.2</v>
      </c>
      <c r="I305">
        <v>9</v>
      </c>
      <c r="J305">
        <v>0.40699999999999997</v>
      </c>
      <c r="K305">
        <v>5.8</v>
      </c>
      <c r="L305">
        <v>0.371</v>
      </c>
      <c r="M305">
        <v>3.2</v>
      </c>
      <c r="N305">
        <v>0.47399999999999998</v>
      </c>
      <c r="O305">
        <v>0.52800000000000002</v>
      </c>
      <c r="P305">
        <v>1.3</v>
      </c>
      <c r="Q305">
        <v>0.625</v>
      </c>
      <c r="R305">
        <v>3.3</v>
      </c>
      <c r="S305">
        <v>2.8</v>
      </c>
      <c r="T305">
        <v>1.2</v>
      </c>
      <c r="U305">
        <v>0.3</v>
      </c>
      <c r="V305">
        <v>1.7</v>
      </c>
      <c r="W305">
        <v>3</v>
      </c>
      <c r="X305">
        <v>10.3</v>
      </c>
      <c r="Y305">
        <v>6</v>
      </c>
      <c r="Z305">
        <v>-0.8</v>
      </c>
      <c r="AA305">
        <v>13.3</v>
      </c>
      <c r="AB305">
        <v>7.5999999999999998E-2</v>
      </c>
    </row>
    <row r="306" spans="1:28" x14ac:dyDescent="0.35">
      <c r="A306" s="1" t="s">
        <v>18</v>
      </c>
      <c r="B306" s="1" t="s">
        <v>598</v>
      </c>
      <c r="C306" s="1" t="s">
        <v>19</v>
      </c>
      <c r="D306" s="1" t="s">
        <v>28</v>
      </c>
      <c r="E306" s="4">
        <v>0.1</v>
      </c>
      <c r="F306">
        <v>23</v>
      </c>
      <c r="G306">
        <v>4</v>
      </c>
      <c r="H306">
        <v>12.8</v>
      </c>
      <c r="I306">
        <v>3.3</v>
      </c>
      <c r="J306">
        <v>0.76900000000000002</v>
      </c>
      <c r="K306">
        <v>0</v>
      </c>
      <c r="M306">
        <v>3.3</v>
      </c>
      <c r="N306">
        <v>0.76900000000000002</v>
      </c>
      <c r="O306">
        <v>0.76900000000000002</v>
      </c>
      <c r="P306">
        <v>1.3</v>
      </c>
      <c r="Q306">
        <v>0.8</v>
      </c>
      <c r="R306">
        <v>5.3</v>
      </c>
      <c r="S306">
        <v>0.5</v>
      </c>
      <c r="T306">
        <v>0.3</v>
      </c>
      <c r="U306">
        <v>1.3</v>
      </c>
      <c r="V306">
        <v>0.5</v>
      </c>
      <c r="W306">
        <v>2.2999999999999998</v>
      </c>
      <c r="X306">
        <v>6</v>
      </c>
      <c r="Y306">
        <v>0</v>
      </c>
      <c r="Z306">
        <v>2.4</v>
      </c>
      <c r="AA306">
        <v>24</v>
      </c>
      <c r="AB306">
        <v>0.28299999999999997</v>
      </c>
    </row>
    <row r="307" spans="1:28" x14ac:dyDescent="0.35">
      <c r="A307" s="1" t="s">
        <v>18</v>
      </c>
      <c r="B307" s="1" t="s">
        <v>598</v>
      </c>
      <c r="C307" s="1" t="s">
        <v>23</v>
      </c>
      <c r="D307" s="1" t="s">
        <v>20</v>
      </c>
      <c r="E307" s="4">
        <v>0.7</v>
      </c>
      <c r="F307">
        <v>28</v>
      </c>
      <c r="G307">
        <v>76</v>
      </c>
      <c r="H307">
        <v>15</v>
      </c>
      <c r="I307">
        <v>3.7</v>
      </c>
      <c r="J307">
        <v>0.51400000000000001</v>
      </c>
      <c r="K307">
        <v>0.1</v>
      </c>
      <c r="L307">
        <v>0.4</v>
      </c>
      <c r="M307">
        <v>3.6</v>
      </c>
      <c r="N307">
        <v>0.51600000000000001</v>
      </c>
      <c r="O307">
        <v>0.51800000000000002</v>
      </c>
      <c r="P307">
        <v>1.3</v>
      </c>
      <c r="Q307">
        <v>0.56599999999999995</v>
      </c>
      <c r="R307">
        <v>6.1</v>
      </c>
      <c r="S307">
        <v>1.6</v>
      </c>
      <c r="T307">
        <v>0.6</v>
      </c>
      <c r="U307">
        <v>0.5</v>
      </c>
      <c r="V307">
        <v>0.5</v>
      </c>
      <c r="W307">
        <v>2</v>
      </c>
      <c r="X307">
        <v>4.5</v>
      </c>
      <c r="Y307">
        <v>9</v>
      </c>
      <c r="Z307">
        <v>0.3</v>
      </c>
      <c r="AA307">
        <v>17</v>
      </c>
      <c r="AB307">
        <v>0.182</v>
      </c>
    </row>
    <row r="308" spans="1:28" x14ac:dyDescent="0.35">
      <c r="A308" s="1" t="s">
        <v>18</v>
      </c>
      <c r="B308" s="1" t="s">
        <v>597</v>
      </c>
      <c r="C308" s="1" t="s">
        <v>23</v>
      </c>
      <c r="D308" s="1" t="s">
        <v>28</v>
      </c>
      <c r="E308" s="4">
        <v>1.8</v>
      </c>
      <c r="F308">
        <v>29</v>
      </c>
      <c r="G308">
        <v>73</v>
      </c>
      <c r="H308">
        <v>18.600000000000001</v>
      </c>
      <c r="I308">
        <v>3.8</v>
      </c>
      <c r="J308">
        <v>0.66800000000000004</v>
      </c>
      <c r="K308">
        <v>0</v>
      </c>
      <c r="L308">
        <v>0</v>
      </c>
      <c r="M308">
        <v>3.8</v>
      </c>
      <c r="N308">
        <v>0.67500000000000004</v>
      </c>
      <c r="O308">
        <v>0.66800000000000004</v>
      </c>
      <c r="P308">
        <v>1.3</v>
      </c>
      <c r="Q308">
        <v>0.69099999999999995</v>
      </c>
      <c r="R308">
        <v>5.3</v>
      </c>
      <c r="S308">
        <v>1.6</v>
      </c>
      <c r="T308">
        <v>0.5</v>
      </c>
      <c r="U308">
        <v>1</v>
      </c>
      <c r="V308">
        <v>0.4</v>
      </c>
      <c r="W308">
        <v>1.6</v>
      </c>
      <c r="X308">
        <v>6</v>
      </c>
      <c r="Y308">
        <v>7</v>
      </c>
      <c r="Z308">
        <v>3.3</v>
      </c>
      <c r="AA308">
        <v>19.600000000000001</v>
      </c>
      <c r="AB308">
        <v>0.246</v>
      </c>
    </row>
    <row r="309" spans="1:28" x14ac:dyDescent="0.35">
      <c r="A309" s="1" t="s">
        <v>2</v>
      </c>
      <c r="B309" s="1" t="s">
        <v>598</v>
      </c>
      <c r="C309" s="1" t="s">
        <v>33</v>
      </c>
      <c r="D309" s="1" t="s">
        <v>28</v>
      </c>
      <c r="E309" s="4">
        <v>0.2</v>
      </c>
      <c r="F309">
        <v>26</v>
      </c>
      <c r="G309">
        <v>56</v>
      </c>
      <c r="H309">
        <v>24.4</v>
      </c>
      <c r="I309">
        <v>9.3000000000000007</v>
      </c>
      <c r="J309">
        <v>0.39200000000000002</v>
      </c>
      <c r="K309">
        <v>5.5</v>
      </c>
      <c r="L309">
        <v>0.35899999999999999</v>
      </c>
      <c r="M309">
        <v>3.8</v>
      </c>
      <c r="N309">
        <v>0.439</v>
      </c>
      <c r="O309">
        <v>0.498</v>
      </c>
      <c r="P309">
        <v>1.3</v>
      </c>
      <c r="Q309">
        <v>0.81100000000000005</v>
      </c>
      <c r="R309">
        <v>2.4</v>
      </c>
      <c r="S309">
        <v>4.5999999999999996</v>
      </c>
      <c r="T309">
        <v>1.3</v>
      </c>
      <c r="U309">
        <v>0.3</v>
      </c>
      <c r="V309">
        <v>1.5</v>
      </c>
      <c r="W309">
        <v>1.6</v>
      </c>
      <c r="X309">
        <v>10.3</v>
      </c>
      <c r="Y309">
        <v>3</v>
      </c>
      <c r="Z309">
        <v>-1.4</v>
      </c>
      <c r="AA309">
        <v>13.4</v>
      </c>
      <c r="AB309">
        <v>4.2999999999999997E-2</v>
      </c>
    </row>
    <row r="310" spans="1:28" x14ac:dyDescent="0.35">
      <c r="A310" s="1" t="s">
        <v>26</v>
      </c>
      <c r="B310" s="1" t="s">
        <v>597</v>
      </c>
      <c r="C310" s="1" t="s">
        <v>23</v>
      </c>
      <c r="D310" s="1" t="s">
        <v>20</v>
      </c>
      <c r="E310" s="4">
        <v>-0.7</v>
      </c>
      <c r="F310">
        <v>23</v>
      </c>
      <c r="G310">
        <v>63</v>
      </c>
      <c r="H310">
        <v>25</v>
      </c>
      <c r="I310">
        <v>8.1999999999999993</v>
      </c>
      <c r="J310">
        <v>0.39700000000000002</v>
      </c>
      <c r="K310">
        <v>4.3</v>
      </c>
      <c r="L310">
        <v>0.35299999999999998</v>
      </c>
      <c r="M310">
        <v>3.9</v>
      </c>
      <c r="N310">
        <v>0.44700000000000001</v>
      </c>
      <c r="O310">
        <v>0.49</v>
      </c>
      <c r="P310">
        <v>1.3</v>
      </c>
      <c r="Q310">
        <v>0.72299999999999998</v>
      </c>
      <c r="R310">
        <v>3.8</v>
      </c>
      <c r="S310">
        <v>2</v>
      </c>
      <c r="T310">
        <v>0.8</v>
      </c>
      <c r="U310">
        <v>0.5</v>
      </c>
      <c r="V310">
        <v>1.4</v>
      </c>
      <c r="W310">
        <v>1.4</v>
      </c>
      <c r="X310">
        <v>9</v>
      </c>
      <c r="Y310">
        <v>4</v>
      </c>
      <c r="Z310">
        <v>-3.7</v>
      </c>
      <c r="AA310">
        <v>9</v>
      </c>
      <c r="AB310">
        <v>1.2E-2</v>
      </c>
    </row>
    <row r="311" spans="1:28" x14ac:dyDescent="0.35">
      <c r="A311" s="1" t="s">
        <v>2</v>
      </c>
      <c r="B311" s="1" t="s">
        <v>35</v>
      </c>
      <c r="C311" s="1" t="s">
        <v>23</v>
      </c>
      <c r="D311" s="1" t="s">
        <v>20</v>
      </c>
      <c r="E311" s="4">
        <v>-1</v>
      </c>
      <c r="F311">
        <v>20</v>
      </c>
      <c r="G311">
        <v>29</v>
      </c>
      <c r="H311">
        <v>22</v>
      </c>
      <c r="I311">
        <v>7.3</v>
      </c>
      <c r="J311">
        <v>0.38500000000000001</v>
      </c>
      <c r="K311">
        <v>3.1</v>
      </c>
      <c r="L311">
        <v>0.26700000000000002</v>
      </c>
      <c r="M311">
        <v>4.2</v>
      </c>
      <c r="N311">
        <v>0.47199999999999998</v>
      </c>
      <c r="O311">
        <v>0.441</v>
      </c>
      <c r="P311">
        <v>1.3</v>
      </c>
      <c r="Q311">
        <v>0.86499999999999999</v>
      </c>
      <c r="R311">
        <v>2</v>
      </c>
      <c r="S311">
        <v>2.6</v>
      </c>
      <c r="T311">
        <v>0.4</v>
      </c>
      <c r="U311">
        <v>0.1</v>
      </c>
      <c r="V311">
        <v>1.2</v>
      </c>
      <c r="W311">
        <v>1.7</v>
      </c>
      <c r="X311">
        <v>7.6</v>
      </c>
      <c r="Y311">
        <v>0</v>
      </c>
      <c r="Z311">
        <v>-8.1</v>
      </c>
      <c r="AA311">
        <v>7.1</v>
      </c>
      <c r="AB311">
        <v>-3.2000000000000001E-2</v>
      </c>
    </row>
    <row r="312" spans="1:28" x14ac:dyDescent="0.35">
      <c r="A312" s="1" t="s">
        <v>26</v>
      </c>
      <c r="B312" s="1" t="s">
        <v>597</v>
      </c>
      <c r="C312" s="1" t="s">
        <v>23</v>
      </c>
      <c r="D312" s="1" t="s">
        <v>50</v>
      </c>
      <c r="E312" s="4">
        <v>0</v>
      </c>
      <c r="F312">
        <v>23</v>
      </c>
      <c r="G312">
        <v>63</v>
      </c>
      <c r="H312">
        <v>20.399999999999999</v>
      </c>
      <c r="I312">
        <v>5.7</v>
      </c>
      <c r="J312">
        <v>0.438</v>
      </c>
      <c r="K312">
        <v>1.1000000000000001</v>
      </c>
      <c r="L312">
        <v>0.24299999999999999</v>
      </c>
      <c r="M312">
        <v>4.5</v>
      </c>
      <c r="N312">
        <v>0.48599999999999999</v>
      </c>
      <c r="O312">
        <v>0.46200000000000002</v>
      </c>
      <c r="P312">
        <v>1.3</v>
      </c>
      <c r="Q312">
        <v>0.73199999999999998</v>
      </c>
      <c r="R312">
        <v>4.9000000000000004</v>
      </c>
      <c r="S312">
        <v>2.2999999999999998</v>
      </c>
      <c r="T312">
        <v>0.9</v>
      </c>
      <c r="U312">
        <v>0.5</v>
      </c>
      <c r="V312">
        <v>1.1000000000000001</v>
      </c>
      <c r="W312">
        <v>2.2000000000000002</v>
      </c>
      <c r="X312">
        <v>6.2</v>
      </c>
      <c r="Y312">
        <v>0</v>
      </c>
      <c r="Z312">
        <v>-1.9</v>
      </c>
      <c r="AA312">
        <v>11.9</v>
      </c>
      <c r="AB312">
        <v>7.0999999999999994E-2</v>
      </c>
    </row>
    <row r="313" spans="1:28" x14ac:dyDescent="0.35">
      <c r="A313" s="1" t="s">
        <v>2</v>
      </c>
      <c r="B313" s="1" t="s">
        <v>597</v>
      </c>
      <c r="C313" s="1" t="s">
        <v>23</v>
      </c>
      <c r="D313" s="1" t="s">
        <v>28</v>
      </c>
      <c r="E313" s="4">
        <v>-0.3</v>
      </c>
      <c r="F313">
        <v>25</v>
      </c>
      <c r="G313">
        <v>7</v>
      </c>
      <c r="H313">
        <v>21.6</v>
      </c>
      <c r="I313">
        <v>7.4</v>
      </c>
      <c r="J313">
        <v>0.32700000000000001</v>
      </c>
      <c r="K313">
        <v>6.3</v>
      </c>
      <c r="L313">
        <v>0.29499999999999998</v>
      </c>
      <c r="M313">
        <v>1.1000000000000001</v>
      </c>
      <c r="N313">
        <v>0.5</v>
      </c>
      <c r="O313">
        <v>0.45200000000000001</v>
      </c>
      <c r="P313">
        <v>1.4</v>
      </c>
      <c r="Q313">
        <v>0.8</v>
      </c>
      <c r="R313">
        <v>1.3</v>
      </c>
      <c r="S313">
        <v>1.7</v>
      </c>
      <c r="T313">
        <v>0.4</v>
      </c>
      <c r="U313">
        <v>0.1</v>
      </c>
      <c r="V313">
        <v>1.1000000000000001</v>
      </c>
      <c r="W313">
        <v>2.4</v>
      </c>
      <c r="X313">
        <v>7.9</v>
      </c>
      <c r="Y313">
        <v>0</v>
      </c>
      <c r="Z313">
        <v>-8.8000000000000007</v>
      </c>
      <c r="AA313">
        <v>5.6</v>
      </c>
      <c r="AB313">
        <v>-2.1000000000000001E-2</v>
      </c>
    </row>
    <row r="314" spans="1:28" x14ac:dyDescent="0.35">
      <c r="A314" s="1" t="s">
        <v>26</v>
      </c>
      <c r="B314" s="1" t="s">
        <v>598</v>
      </c>
      <c r="C314" s="1" t="s">
        <v>23</v>
      </c>
      <c r="D314" s="1" t="s">
        <v>28</v>
      </c>
      <c r="E314" s="4">
        <v>-0.2</v>
      </c>
      <c r="F314">
        <v>25</v>
      </c>
      <c r="G314">
        <v>37</v>
      </c>
      <c r="H314">
        <v>13.6</v>
      </c>
      <c r="I314">
        <v>4.3</v>
      </c>
      <c r="J314">
        <v>0.43</v>
      </c>
      <c r="K314">
        <v>2.2000000000000002</v>
      </c>
      <c r="L314">
        <v>0.32500000000000001</v>
      </c>
      <c r="M314">
        <v>2.1</v>
      </c>
      <c r="N314">
        <v>0.53800000000000003</v>
      </c>
      <c r="O314">
        <v>0.51300000000000001</v>
      </c>
      <c r="P314">
        <v>1.4</v>
      </c>
      <c r="Q314">
        <v>0.68</v>
      </c>
      <c r="R314">
        <v>2.2999999999999998</v>
      </c>
      <c r="S314">
        <v>0.6</v>
      </c>
      <c r="T314">
        <v>0.6</v>
      </c>
      <c r="U314">
        <v>0.2</v>
      </c>
      <c r="V314">
        <v>0.6</v>
      </c>
      <c r="W314">
        <v>1.2</v>
      </c>
      <c r="X314">
        <v>5.3</v>
      </c>
      <c r="Y314">
        <v>2</v>
      </c>
      <c r="Z314">
        <v>-3.4</v>
      </c>
      <c r="AA314">
        <v>11.4</v>
      </c>
      <c r="AB314">
        <v>3.5999999999999997E-2</v>
      </c>
    </row>
    <row r="315" spans="1:28" x14ac:dyDescent="0.35">
      <c r="A315" s="1" t="s">
        <v>2</v>
      </c>
      <c r="B315" s="1" t="s">
        <v>597</v>
      </c>
      <c r="C315" s="1" t="s">
        <v>19</v>
      </c>
      <c r="D315" s="1" t="s">
        <v>20</v>
      </c>
      <c r="E315" s="4">
        <v>-0.9</v>
      </c>
      <c r="F315">
        <v>21</v>
      </c>
      <c r="G315">
        <v>68</v>
      </c>
      <c r="H315">
        <v>26.5</v>
      </c>
      <c r="I315">
        <v>8</v>
      </c>
      <c r="J315">
        <v>0.372</v>
      </c>
      <c r="K315">
        <v>5.2</v>
      </c>
      <c r="L315">
        <v>0.32200000000000001</v>
      </c>
      <c r="M315">
        <v>2.8</v>
      </c>
      <c r="N315">
        <v>0.46400000000000002</v>
      </c>
      <c r="O315">
        <v>0.47599999999999998</v>
      </c>
      <c r="P315">
        <v>1.4</v>
      </c>
      <c r="Q315">
        <v>0.753</v>
      </c>
      <c r="R315">
        <v>4.2</v>
      </c>
      <c r="S315">
        <v>2.5</v>
      </c>
      <c r="T315">
        <v>1</v>
      </c>
      <c r="U315">
        <v>0.7</v>
      </c>
      <c r="V315">
        <v>1.4</v>
      </c>
      <c r="W315">
        <v>3</v>
      </c>
      <c r="X315">
        <v>8.6999999999999993</v>
      </c>
      <c r="Y315">
        <v>0</v>
      </c>
      <c r="Z315">
        <v>-4.0999999999999996</v>
      </c>
      <c r="AA315">
        <v>8.8000000000000007</v>
      </c>
      <c r="AB315">
        <v>3.0000000000000001E-3</v>
      </c>
    </row>
    <row r="316" spans="1:28" x14ac:dyDescent="0.35">
      <c r="A316" s="1" t="s">
        <v>2</v>
      </c>
      <c r="B316" s="1" t="s">
        <v>597</v>
      </c>
      <c r="C316" s="1" t="s">
        <v>23</v>
      </c>
      <c r="D316" s="1" t="s">
        <v>28</v>
      </c>
      <c r="E316" s="4">
        <v>0.2</v>
      </c>
      <c r="F316">
        <v>26</v>
      </c>
      <c r="G316">
        <v>28</v>
      </c>
      <c r="H316">
        <v>13.6</v>
      </c>
      <c r="I316">
        <v>4.4000000000000004</v>
      </c>
      <c r="J316">
        <v>0.47499999999999998</v>
      </c>
      <c r="K316">
        <v>1.4</v>
      </c>
      <c r="L316">
        <v>0.375</v>
      </c>
      <c r="M316">
        <v>2.9</v>
      </c>
      <c r="N316">
        <v>0.52400000000000002</v>
      </c>
      <c r="O316">
        <v>0.53700000000000003</v>
      </c>
      <c r="P316">
        <v>1.4</v>
      </c>
      <c r="Q316">
        <v>0.77500000000000002</v>
      </c>
      <c r="R316">
        <v>1.6</v>
      </c>
      <c r="S316">
        <v>1.9</v>
      </c>
      <c r="T316">
        <v>0.8</v>
      </c>
      <c r="U316">
        <v>0.2</v>
      </c>
      <c r="V316">
        <v>0.6</v>
      </c>
      <c r="W316">
        <v>1.5</v>
      </c>
      <c r="X316">
        <v>5.8</v>
      </c>
      <c r="Y316">
        <v>2</v>
      </c>
      <c r="Z316">
        <v>-0.3</v>
      </c>
      <c r="AA316">
        <v>14.7</v>
      </c>
      <c r="AB316">
        <v>0.126</v>
      </c>
    </row>
    <row r="317" spans="1:28" x14ac:dyDescent="0.35">
      <c r="A317" s="1" t="s">
        <v>18</v>
      </c>
      <c r="B317" s="1" t="s">
        <v>597</v>
      </c>
      <c r="C317" s="1" t="s">
        <v>23</v>
      </c>
      <c r="D317" s="1" t="s">
        <v>20</v>
      </c>
      <c r="E317" s="4">
        <v>0.7</v>
      </c>
      <c r="F317">
        <v>24</v>
      </c>
      <c r="G317">
        <v>64</v>
      </c>
      <c r="H317">
        <v>15</v>
      </c>
      <c r="I317">
        <v>6.4</v>
      </c>
      <c r="J317">
        <v>0.46600000000000003</v>
      </c>
      <c r="K317">
        <v>3.5</v>
      </c>
      <c r="L317">
        <v>0.32400000000000001</v>
      </c>
      <c r="M317">
        <v>2.9</v>
      </c>
      <c r="N317">
        <v>0.63400000000000001</v>
      </c>
      <c r="O317">
        <v>0.55400000000000005</v>
      </c>
      <c r="P317">
        <v>1.4</v>
      </c>
      <c r="Q317">
        <v>0.80900000000000005</v>
      </c>
      <c r="R317">
        <v>5.6</v>
      </c>
      <c r="S317">
        <v>1</v>
      </c>
      <c r="T317">
        <v>0.3</v>
      </c>
      <c r="U317">
        <v>0.7</v>
      </c>
      <c r="V317">
        <v>0.6</v>
      </c>
      <c r="W317">
        <v>1.5</v>
      </c>
      <c r="X317">
        <v>8.1999999999999993</v>
      </c>
      <c r="Y317">
        <v>4</v>
      </c>
      <c r="Z317">
        <v>0.9</v>
      </c>
      <c r="AA317">
        <v>18.7</v>
      </c>
      <c r="AB317">
        <v>0.14599999999999999</v>
      </c>
    </row>
    <row r="318" spans="1:28" x14ac:dyDescent="0.35">
      <c r="A318" s="1" t="s">
        <v>2</v>
      </c>
      <c r="B318" s="1" t="s">
        <v>598</v>
      </c>
      <c r="C318" s="1" t="s">
        <v>19</v>
      </c>
      <c r="D318" s="1" t="s">
        <v>20</v>
      </c>
      <c r="E318" s="4">
        <v>0.8</v>
      </c>
      <c r="F318">
        <v>26</v>
      </c>
      <c r="G318">
        <v>82</v>
      </c>
      <c r="H318">
        <v>25.3</v>
      </c>
      <c r="I318">
        <v>7.5</v>
      </c>
      <c r="J318">
        <v>0.438</v>
      </c>
      <c r="K318">
        <v>4.5</v>
      </c>
      <c r="L318">
        <v>0.38100000000000001</v>
      </c>
      <c r="M318">
        <v>3</v>
      </c>
      <c r="N318">
        <v>0.52400000000000002</v>
      </c>
      <c r="O318">
        <v>0.55300000000000005</v>
      </c>
      <c r="P318">
        <v>1.4</v>
      </c>
      <c r="Q318">
        <v>0.78</v>
      </c>
      <c r="R318">
        <v>3.2</v>
      </c>
      <c r="S318">
        <v>2.7</v>
      </c>
      <c r="T318">
        <v>0.6</v>
      </c>
      <c r="U318">
        <v>0.4</v>
      </c>
      <c r="V318">
        <v>1.2</v>
      </c>
      <c r="W318">
        <v>1.7</v>
      </c>
      <c r="X318">
        <v>9.4</v>
      </c>
      <c r="Y318">
        <v>5</v>
      </c>
      <c r="Z318">
        <v>-0.4</v>
      </c>
      <c r="AA318">
        <v>11.6</v>
      </c>
      <c r="AB318">
        <v>9.9000000000000005E-2</v>
      </c>
    </row>
    <row r="319" spans="1:28" x14ac:dyDescent="0.35">
      <c r="A319" s="1" t="s">
        <v>2</v>
      </c>
      <c r="B319" s="1" t="s">
        <v>598</v>
      </c>
      <c r="C319" s="1" t="s">
        <v>33</v>
      </c>
      <c r="D319" s="1" t="s">
        <v>20</v>
      </c>
      <c r="E319" s="4">
        <v>-0.9</v>
      </c>
      <c r="F319">
        <v>22</v>
      </c>
      <c r="G319">
        <v>65</v>
      </c>
      <c r="H319">
        <v>21.3</v>
      </c>
      <c r="I319">
        <v>7.5</v>
      </c>
      <c r="J319">
        <v>0.432</v>
      </c>
      <c r="K319">
        <v>4.0999999999999996</v>
      </c>
      <c r="L319">
        <v>0.34899999999999998</v>
      </c>
      <c r="M319">
        <v>3.3</v>
      </c>
      <c r="N319">
        <v>0.53500000000000003</v>
      </c>
      <c r="O319">
        <v>0.52900000000000003</v>
      </c>
      <c r="P319">
        <v>1.4</v>
      </c>
      <c r="Q319">
        <v>0.82199999999999995</v>
      </c>
      <c r="R319">
        <v>2.2000000000000002</v>
      </c>
      <c r="S319">
        <v>1.3</v>
      </c>
      <c r="T319">
        <v>0.6</v>
      </c>
      <c r="U319">
        <v>0.2</v>
      </c>
      <c r="V319">
        <v>0.9</v>
      </c>
      <c r="W319">
        <v>2.2999999999999998</v>
      </c>
      <c r="X319">
        <v>9</v>
      </c>
      <c r="Y319">
        <v>1</v>
      </c>
      <c r="Z319">
        <v>-4.5</v>
      </c>
      <c r="AA319">
        <v>9.5</v>
      </c>
      <c r="AB319">
        <v>4.2999999999999997E-2</v>
      </c>
    </row>
    <row r="320" spans="1:28" x14ac:dyDescent="0.35">
      <c r="A320" s="1" t="s">
        <v>2</v>
      </c>
      <c r="B320" s="1" t="s">
        <v>35</v>
      </c>
      <c r="C320" s="1" t="s">
        <v>23</v>
      </c>
      <c r="D320" s="1" t="s">
        <v>20</v>
      </c>
      <c r="E320" s="4">
        <v>-0.4</v>
      </c>
      <c r="F320">
        <v>21</v>
      </c>
      <c r="G320">
        <v>15</v>
      </c>
      <c r="H320">
        <v>21</v>
      </c>
      <c r="I320">
        <v>6.5</v>
      </c>
      <c r="J320">
        <v>0.378</v>
      </c>
      <c r="K320">
        <v>3.1</v>
      </c>
      <c r="L320">
        <v>0.30399999999999999</v>
      </c>
      <c r="M320">
        <v>3.5</v>
      </c>
      <c r="N320">
        <v>0.442</v>
      </c>
      <c r="O320">
        <v>0.44900000000000001</v>
      </c>
      <c r="P320">
        <v>1.4</v>
      </c>
      <c r="Q320">
        <v>0.85699999999999998</v>
      </c>
      <c r="R320">
        <v>1.8</v>
      </c>
      <c r="S320">
        <v>2.5</v>
      </c>
      <c r="T320">
        <v>0.3</v>
      </c>
      <c r="U320">
        <v>0.5</v>
      </c>
      <c r="V320">
        <v>1.2</v>
      </c>
      <c r="W320">
        <v>1.7</v>
      </c>
      <c r="X320">
        <v>7.1</v>
      </c>
      <c r="Y320">
        <v>1</v>
      </c>
      <c r="Z320">
        <v>-6.9</v>
      </c>
      <c r="AA320">
        <v>7.9</v>
      </c>
      <c r="AB320">
        <v>-1.4999999999999999E-2</v>
      </c>
    </row>
    <row r="321" spans="1:28" x14ac:dyDescent="0.35">
      <c r="A321" s="1" t="s">
        <v>26</v>
      </c>
      <c r="B321" s="1" t="s">
        <v>597</v>
      </c>
      <c r="C321" s="1" t="s">
        <v>33</v>
      </c>
      <c r="D321" s="1" t="s">
        <v>20</v>
      </c>
      <c r="E321" s="4">
        <v>-0.2</v>
      </c>
      <c r="F321">
        <v>20</v>
      </c>
      <c r="G321">
        <v>80</v>
      </c>
      <c r="H321">
        <v>18.899999999999999</v>
      </c>
      <c r="I321">
        <v>6.9</v>
      </c>
      <c r="J321">
        <v>0.45400000000000001</v>
      </c>
      <c r="K321">
        <v>3.3</v>
      </c>
      <c r="L321">
        <v>0.36099999999999999</v>
      </c>
      <c r="M321">
        <v>3.6</v>
      </c>
      <c r="N321">
        <v>0.54</v>
      </c>
      <c r="O321">
        <v>0.54100000000000004</v>
      </c>
      <c r="P321">
        <v>1.4</v>
      </c>
      <c r="Q321">
        <v>0.81499999999999995</v>
      </c>
      <c r="R321">
        <v>3.5</v>
      </c>
      <c r="S321">
        <v>1</v>
      </c>
      <c r="T321">
        <v>0.4</v>
      </c>
      <c r="U321">
        <v>0.9</v>
      </c>
      <c r="V321">
        <v>0.9</v>
      </c>
      <c r="W321">
        <v>1.6</v>
      </c>
      <c r="X321">
        <v>8.6</v>
      </c>
      <c r="Y321">
        <v>0</v>
      </c>
      <c r="Z321">
        <v>-2.5</v>
      </c>
      <c r="AA321">
        <v>12.5</v>
      </c>
      <c r="AB321">
        <v>0.06</v>
      </c>
    </row>
    <row r="322" spans="1:28" x14ac:dyDescent="0.35">
      <c r="A322" s="1" t="s">
        <v>26</v>
      </c>
      <c r="B322" s="1" t="s">
        <v>598</v>
      </c>
      <c r="C322" s="1" t="s">
        <v>23</v>
      </c>
      <c r="D322" s="1" t="s">
        <v>50</v>
      </c>
      <c r="E322" s="4">
        <v>-0.4</v>
      </c>
      <c r="F322">
        <v>20</v>
      </c>
      <c r="G322">
        <v>29</v>
      </c>
      <c r="H322">
        <v>15.8</v>
      </c>
      <c r="I322">
        <v>6.9</v>
      </c>
      <c r="J322">
        <v>0.372</v>
      </c>
      <c r="K322">
        <v>3.3</v>
      </c>
      <c r="L322">
        <v>0.33700000000000002</v>
      </c>
      <c r="M322">
        <v>3.6</v>
      </c>
      <c r="N322">
        <v>0.40400000000000003</v>
      </c>
      <c r="O322">
        <v>0.45200000000000001</v>
      </c>
      <c r="P322">
        <v>1.4</v>
      </c>
      <c r="Q322">
        <v>0.72499999999999998</v>
      </c>
      <c r="R322">
        <v>3.2</v>
      </c>
      <c r="S322">
        <v>1</v>
      </c>
      <c r="T322">
        <v>0.4</v>
      </c>
      <c r="U322">
        <v>0.2</v>
      </c>
      <c r="V322">
        <v>1.1000000000000001</v>
      </c>
      <c r="W322">
        <v>1</v>
      </c>
      <c r="X322">
        <v>7.2</v>
      </c>
      <c r="Y322">
        <v>1</v>
      </c>
      <c r="Z322">
        <v>-5.3</v>
      </c>
      <c r="AA322">
        <v>9.3000000000000007</v>
      </c>
      <c r="AB322">
        <v>8.9999999999999993E-3</v>
      </c>
    </row>
    <row r="323" spans="1:28" x14ac:dyDescent="0.35">
      <c r="A323" s="1" t="s">
        <v>26</v>
      </c>
      <c r="B323" s="1" t="s">
        <v>597</v>
      </c>
      <c r="C323" s="1" t="s">
        <v>23</v>
      </c>
      <c r="D323" s="1" t="s">
        <v>20</v>
      </c>
      <c r="E323" s="4">
        <v>1.4</v>
      </c>
      <c r="F323">
        <v>26</v>
      </c>
      <c r="G323">
        <v>79</v>
      </c>
      <c r="H323">
        <v>19.600000000000001</v>
      </c>
      <c r="I323">
        <v>7.6</v>
      </c>
      <c r="J323">
        <v>0.52900000000000003</v>
      </c>
      <c r="K323">
        <v>3.8</v>
      </c>
      <c r="L323">
        <v>0.36499999999999999</v>
      </c>
      <c r="M323">
        <v>3.8</v>
      </c>
      <c r="N323">
        <v>0.69499999999999995</v>
      </c>
      <c r="O323">
        <v>0.621</v>
      </c>
      <c r="P323">
        <v>1.4</v>
      </c>
      <c r="Q323">
        <v>0.78100000000000003</v>
      </c>
      <c r="R323">
        <v>4</v>
      </c>
      <c r="S323">
        <v>1.6</v>
      </c>
      <c r="T323">
        <v>0.6</v>
      </c>
      <c r="U323">
        <v>0.4</v>
      </c>
      <c r="V323">
        <v>0.9</v>
      </c>
      <c r="W323">
        <v>1.4</v>
      </c>
      <c r="X323">
        <v>10.5</v>
      </c>
      <c r="Y323">
        <v>4</v>
      </c>
      <c r="Z323">
        <v>1.7</v>
      </c>
      <c r="AA323">
        <v>17.399999999999999</v>
      </c>
      <c r="AB323">
        <v>0.13500000000000001</v>
      </c>
    </row>
    <row r="324" spans="1:28" x14ac:dyDescent="0.35">
      <c r="A324" s="1" t="s">
        <v>26</v>
      </c>
      <c r="B324" s="1" t="s">
        <v>597</v>
      </c>
      <c r="C324" s="1" t="s">
        <v>23</v>
      </c>
      <c r="D324" s="1" t="s">
        <v>20</v>
      </c>
      <c r="E324" s="4">
        <v>-0.7</v>
      </c>
      <c r="F324">
        <v>25</v>
      </c>
      <c r="G324">
        <v>61</v>
      </c>
      <c r="H324">
        <v>26.3</v>
      </c>
      <c r="I324">
        <v>9.3000000000000007</v>
      </c>
      <c r="J324">
        <v>0.45100000000000001</v>
      </c>
      <c r="K324">
        <v>5.4</v>
      </c>
      <c r="L324">
        <v>0.36399999999999999</v>
      </c>
      <c r="M324">
        <v>3.9</v>
      </c>
      <c r="N324">
        <v>0.57399999999999995</v>
      </c>
      <c r="O324">
        <v>0.55800000000000005</v>
      </c>
      <c r="P324">
        <v>1.4</v>
      </c>
      <c r="Q324">
        <v>0.85199999999999998</v>
      </c>
      <c r="R324">
        <v>3</v>
      </c>
      <c r="S324">
        <v>1.7</v>
      </c>
      <c r="T324">
        <v>0.4</v>
      </c>
      <c r="U324">
        <v>0.2</v>
      </c>
      <c r="V324">
        <v>1</v>
      </c>
      <c r="W324">
        <v>1.6</v>
      </c>
      <c r="X324">
        <v>11.6</v>
      </c>
      <c r="Y324">
        <v>3</v>
      </c>
      <c r="Z324">
        <v>-3.7</v>
      </c>
      <c r="AA324">
        <v>11</v>
      </c>
      <c r="AB324">
        <v>3.2000000000000001E-2</v>
      </c>
    </row>
    <row r="325" spans="1:28" x14ac:dyDescent="0.35">
      <c r="A325" s="1" t="s">
        <v>26</v>
      </c>
      <c r="B325" s="1" t="s">
        <v>598</v>
      </c>
      <c r="C325" s="1" t="s">
        <v>23</v>
      </c>
      <c r="D325" s="1" t="s">
        <v>20</v>
      </c>
      <c r="E325" s="4">
        <v>0.5</v>
      </c>
      <c r="F325">
        <v>20</v>
      </c>
      <c r="G325">
        <v>51</v>
      </c>
      <c r="H325">
        <v>16.2</v>
      </c>
      <c r="I325">
        <v>7.9</v>
      </c>
      <c r="J325">
        <v>0.44400000000000001</v>
      </c>
      <c r="K325">
        <v>3.6</v>
      </c>
      <c r="L325">
        <v>0.35499999999999998</v>
      </c>
      <c r="M325">
        <v>4.3</v>
      </c>
      <c r="N325">
        <v>0.51800000000000002</v>
      </c>
      <c r="O325">
        <v>0.52500000000000002</v>
      </c>
      <c r="P325">
        <v>1.4</v>
      </c>
      <c r="Q325">
        <v>0.75</v>
      </c>
      <c r="R325">
        <v>3</v>
      </c>
      <c r="S325">
        <v>1</v>
      </c>
      <c r="T325">
        <v>0.6</v>
      </c>
      <c r="U325">
        <v>0.3</v>
      </c>
      <c r="V325">
        <v>0.9</v>
      </c>
      <c r="W325">
        <v>0.9</v>
      </c>
      <c r="X325">
        <v>9.4</v>
      </c>
      <c r="Y325">
        <v>1</v>
      </c>
      <c r="Z325">
        <v>0.3</v>
      </c>
      <c r="AA325">
        <v>15.5</v>
      </c>
      <c r="AB325">
        <v>0.106</v>
      </c>
    </row>
    <row r="326" spans="1:28" x14ac:dyDescent="0.35">
      <c r="A326" s="1" t="s">
        <v>2</v>
      </c>
      <c r="B326" s="1" t="s">
        <v>597</v>
      </c>
      <c r="C326" s="1" t="s">
        <v>23</v>
      </c>
      <c r="D326" s="1" t="s">
        <v>50</v>
      </c>
      <c r="E326" s="4">
        <v>-0.7</v>
      </c>
      <c r="F326">
        <v>22</v>
      </c>
      <c r="G326">
        <v>36</v>
      </c>
      <c r="H326">
        <v>23.4</v>
      </c>
      <c r="I326">
        <v>8.4</v>
      </c>
      <c r="J326">
        <v>0.34599999999999997</v>
      </c>
      <c r="K326">
        <v>3.6</v>
      </c>
      <c r="L326">
        <v>0.254</v>
      </c>
      <c r="M326">
        <v>4.8</v>
      </c>
      <c r="N326">
        <v>0.41499999999999998</v>
      </c>
      <c r="O326">
        <v>0.4</v>
      </c>
      <c r="P326">
        <v>1.4</v>
      </c>
      <c r="Q326">
        <v>0.82</v>
      </c>
      <c r="R326">
        <v>3</v>
      </c>
      <c r="S326">
        <v>3.1</v>
      </c>
      <c r="T326">
        <v>0.9</v>
      </c>
      <c r="U326">
        <v>0.2</v>
      </c>
      <c r="V326">
        <v>1.6</v>
      </c>
      <c r="W326">
        <v>1.6</v>
      </c>
      <c r="X326">
        <v>7.8</v>
      </c>
      <c r="Y326">
        <v>0</v>
      </c>
      <c r="Z326">
        <v>-5.4</v>
      </c>
      <c r="AA326">
        <v>8.3000000000000007</v>
      </c>
      <c r="AB326">
        <v>-2.5000000000000001E-2</v>
      </c>
    </row>
    <row r="327" spans="1:28" x14ac:dyDescent="0.35">
      <c r="A327" s="1" t="s">
        <v>26</v>
      </c>
      <c r="B327" s="1" t="s">
        <v>598</v>
      </c>
      <c r="C327" s="1" t="s">
        <v>19</v>
      </c>
      <c r="D327" s="1" t="s">
        <v>20</v>
      </c>
      <c r="E327" s="4">
        <v>2.2000000000000002</v>
      </c>
      <c r="F327">
        <v>24</v>
      </c>
      <c r="G327">
        <v>65</v>
      </c>
      <c r="H327">
        <v>25.5</v>
      </c>
      <c r="I327">
        <v>10</v>
      </c>
      <c r="J327">
        <v>0.48299999999999998</v>
      </c>
      <c r="K327">
        <v>5</v>
      </c>
      <c r="L327">
        <v>0.36799999999999999</v>
      </c>
      <c r="M327">
        <v>5</v>
      </c>
      <c r="N327">
        <v>0.59899999999999998</v>
      </c>
      <c r="O327">
        <v>0.57599999999999996</v>
      </c>
      <c r="P327">
        <v>1.4</v>
      </c>
      <c r="Q327">
        <v>0.69099999999999995</v>
      </c>
      <c r="R327">
        <v>6.4</v>
      </c>
      <c r="S327">
        <v>2.9</v>
      </c>
      <c r="T327">
        <v>0.8</v>
      </c>
      <c r="U327">
        <v>0.4</v>
      </c>
      <c r="V327">
        <v>1.1000000000000001</v>
      </c>
      <c r="W327">
        <v>1.2</v>
      </c>
      <c r="X327">
        <v>12.5</v>
      </c>
      <c r="Y327">
        <v>3</v>
      </c>
      <c r="Z327">
        <v>3.2</v>
      </c>
      <c r="AA327">
        <v>16.8</v>
      </c>
      <c r="AB327">
        <v>0.14399999999999999</v>
      </c>
    </row>
    <row r="328" spans="1:28" x14ac:dyDescent="0.35">
      <c r="A328" s="1" t="s">
        <v>26</v>
      </c>
      <c r="B328" s="1" t="s">
        <v>598</v>
      </c>
      <c r="C328" s="1" t="s">
        <v>19</v>
      </c>
      <c r="D328" s="1" t="s">
        <v>20</v>
      </c>
      <c r="E328" s="4">
        <v>0.9</v>
      </c>
      <c r="F328">
        <v>28</v>
      </c>
      <c r="G328">
        <v>64</v>
      </c>
      <c r="H328">
        <v>18.899999999999999</v>
      </c>
      <c r="I328">
        <v>5.9</v>
      </c>
      <c r="J328">
        <v>0.621</v>
      </c>
      <c r="K328">
        <v>0.3</v>
      </c>
      <c r="L328">
        <v>5.8999999999999997E-2</v>
      </c>
      <c r="M328">
        <v>5.7</v>
      </c>
      <c r="N328">
        <v>0.64700000000000002</v>
      </c>
      <c r="O328">
        <v>0.622</v>
      </c>
      <c r="P328">
        <v>1.4</v>
      </c>
      <c r="Q328">
        <v>0.70099999999999996</v>
      </c>
      <c r="R328">
        <v>5.0999999999999996</v>
      </c>
      <c r="S328">
        <v>1</v>
      </c>
      <c r="T328">
        <v>0.8</v>
      </c>
      <c r="U328">
        <v>0.6</v>
      </c>
      <c r="V328">
        <v>0.6</v>
      </c>
      <c r="W328">
        <v>2.2999999999999998</v>
      </c>
      <c r="X328">
        <v>8.3000000000000007</v>
      </c>
      <c r="Y328">
        <v>5</v>
      </c>
      <c r="Z328">
        <v>0.8</v>
      </c>
      <c r="AA328">
        <v>17.600000000000001</v>
      </c>
      <c r="AB328">
        <v>0.17399999999999999</v>
      </c>
    </row>
    <row r="329" spans="1:28" x14ac:dyDescent="0.35">
      <c r="A329" s="1" t="s">
        <v>2</v>
      </c>
      <c r="B329" s="1" t="s">
        <v>598</v>
      </c>
      <c r="C329" s="1" t="s">
        <v>23</v>
      </c>
      <c r="D329" s="1" t="s">
        <v>50</v>
      </c>
      <c r="E329" s="4">
        <v>-0.2</v>
      </c>
      <c r="F329">
        <v>25</v>
      </c>
      <c r="G329">
        <v>8</v>
      </c>
      <c r="H329">
        <v>21</v>
      </c>
      <c r="I329">
        <v>9.1</v>
      </c>
      <c r="J329">
        <v>0.35599999999999998</v>
      </c>
      <c r="K329">
        <v>3.4</v>
      </c>
      <c r="L329">
        <v>0.29599999999999999</v>
      </c>
      <c r="M329">
        <v>5.8</v>
      </c>
      <c r="N329">
        <v>0.39100000000000001</v>
      </c>
      <c r="O329">
        <v>0.41099999999999998</v>
      </c>
      <c r="P329">
        <v>1.4</v>
      </c>
      <c r="Q329">
        <v>0.63600000000000001</v>
      </c>
      <c r="R329">
        <v>2.5</v>
      </c>
      <c r="S329">
        <v>2.2999999999999998</v>
      </c>
      <c r="T329">
        <v>0.1</v>
      </c>
      <c r="U329">
        <v>0.5</v>
      </c>
      <c r="V329">
        <v>1</v>
      </c>
      <c r="W329">
        <v>1.1000000000000001</v>
      </c>
      <c r="X329">
        <v>8.4</v>
      </c>
      <c r="Y329">
        <v>5</v>
      </c>
      <c r="Z329">
        <v>-5.7</v>
      </c>
      <c r="AA329">
        <v>7.5</v>
      </c>
      <c r="AB329">
        <v>-6.9000000000000006E-2</v>
      </c>
    </row>
    <row r="330" spans="1:28" x14ac:dyDescent="0.35">
      <c r="A330" s="1" t="s">
        <v>26</v>
      </c>
      <c r="B330" s="1" t="s">
        <v>597</v>
      </c>
      <c r="C330" s="1" t="s">
        <v>23</v>
      </c>
      <c r="D330" s="1" t="s">
        <v>20</v>
      </c>
      <c r="E330" s="4">
        <v>1.2</v>
      </c>
      <c r="F330">
        <v>28</v>
      </c>
      <c r="G330">
        <v>82</v>
      </c>
      <c r="H330">
        <v>37</v>
      </c>
      <c r="I330">
        <v>14.4</v>
      </c>
      <c r="J330">
        <v>0.5</v>
      </c>
      <c r="K330">
        <v>5.6</v>
      </c>
      <c r="L330">
        <v>0.35399999999999998</v>
      </c>
      <c r="M330">
        <v>8.8000000000000007</v>
      </c>
      <c r="N330">
        <v>0.59399999999999997</v>
      </c>
      <c r="O330">
        <v>0.56999999999999995</v>
      </c>
      <c r="P330">
        <v>1.4</v>
      </c>
      <c r="Q330">
        <v>0.81399999999999995</v>
      </c>
      <c r="R330">
        <v>3.2</v>
      </c>
      <c r="S330">
        <v>3.7</v>
      </c>
      <c r="T330">
        <v>0.9</v>
      </c>
      <c r="U330">
        <v>0.5</v>
      </c>
      <c r="V330">
        <v>1.6</v>
      </c>
      <c r="W330">
        <v>1.5</v>
      </c>
      <c r="X330">
        <v>17.600000000000001</v>
      </c>
      <c r="Y330">
        <v>6</v>
      </c>
      <c r="Z330">
        <v>-0.5</v>
      </c>
      <c r="AA330">
        <v>14</v>
      </c>
      <c r="AB330">
        <v>0.09</v>
      </c>
    </row>
    <row r="331" spans="1:28" x14ac:dyDescent="0.35">
      <c r="A331" s="1" t="s">
        <v>2</v>
      </c>
      <c r="B331" s="1" t="s">
        <v>597</v>
      </c>
      <c r="C331" s="1" t="s">
        <v>23</v>
      </c>
      <c r="D331" s="1" t="s">
        <v>20</v>
      </c>
      <c r="E331" s="4">
        <v>0</v>
      </c>
      <c r="F331">
        <v>26</v>
      </c>
      <c r="G331">
        <v>4</v>
      </c>
      <c r="H331">
        <v>11</v>
      </c>
      <c r="I331">
        <v>3.3</v>
      </c>
      <c r="J331">
        <v>0.38500000000000001</v>
      </c>
      <c r="K331">
        <v>1</v>
      </c>
      <c r="L331">
        <v>0.25</v>
      </c>
      <c r="M331">
        <v>2.2999999999999998</v>
      </c>
      <c r="N331">
        <v>0.44400000000000001</v>
      </c>
      <c r="O331">
        <v>0.42299999999999999</v>
      </c>
      <c r="P331">
        <v>1.5</v>
      </c>
      <c r="Q331">
        <v>0.83299999999999996</v>
      </c>
      <c r="R331">
        <v>1.8</v>
      </c>
      <c r="S331">
        <v>1.8</v>
      </c>
      <c r="T331">
        <v>0.8</v>
      </c>
      <c r="U331">
        <v>0</v>
      </c>
      <c r="V331">
        <v>1</v>
      </c>
      <c r="W331">
        <v>1</v>
      </c>
      <c r="X331">
        <v>4</v>
      </c>
      <c r="Y331">
        <v>4</v>
      </c>
      <c r="Z331">
        <v>-2.8</v>
      </c>
      <c r="AA331">
        <v>12.4</v>
      </c>
      <c r="AB331">
        <v>4.2999999999999997E-2</v>
      </c>
    </row>
    <row r="332" spans="1:28" x14ac:dyDescent="0.35">
      <c r="A332" s="1" t="s">
        <v>26</v>
      </c>
      <c r="B332" s="1" t="s">
        <v>598</v>
      </c>
      <c r="C332" s="1" t="s">
        <v>19</v>
      </c>
      <c r="D332" s="1" t="s">
        <v>20</v>
      </c>
      <c r="E332" s="4">
        <v>0</v>
      </c>
      <c r="F332">
        <v>22</v>
      </c>
      <c r="G332">
        <v>52</v>
      </c>
      <c r="H332">
        <v>11.2</v>
      </c>
      <c r="I332">
        <v>3.3</v>
      </c>
      <c r="J332">
        <v>0.40200000000000002</v>
      </c>
      <c r="K332">
        <v>1</v>
      </c>
      <c r="L332">
        <v>0.23499999999999999</v>
      </c>
      <c r="M332">
        <v>2.4</v>
      </c>
      <c r="N332">
        <v>0.47199999999999998</v>
      </c>
      <c r="O332">
        <v>0.437</v>
      </c>
      <c r="P332">
        <v>1.5</v>
      </c>
      <c r="Q332">
        <v>0.64500000000000002</v>
      </c>
      <c r="R332">
        <v>2.4</v>
      </c>
      <c r="S332">
        <v>0.8</v>
      </c>
      <c r="T332">
        <v>0.5</v>
      </c>
      <c r="U332">
        <v>0.1</v>
      </c>
      <c r="V332">
        <v>0.3</v>
      </c>
      <c r="W332">
        <v>0.5</v>
      </c>
      <c r="X332">
        <v>3.9</v>
      </c>
      <c r="Y332">
        <v>1</v>
      </c>
      <c r="Z332">
        <v>-2.1</v>
      </c>
      <c r="AA332">
        <v>12.6</v>
      </c>
      <c r="AB332">
        <v>7.1999999999999995E-2</v>
      </c>
    </row>
    <row r="333" spans="1:28" x14ac:dyDescent="0.35">
      <c r="A333" s="1" t="s">
        <v>26</v>
      </c>
      <c r="B333" s="1" t="s">
        <v>597</v>
      </c>
      <c r="C333" s="1" t="s">
        <v>23</v>
      </c>
      <c r="D333" s="1" t="s">
        <v>20</v>
      </c>
      <c r="E333" s="4">
        <v>0.7</v>
      </c>
      <c r="F333">
        <v>27</v>
      </c>
      <c r="G333">
        <v>71</v>
      </c>
      <c r="H333">
        <v>15.4</v>
      </c>
      <c r="I333">
        <v>4.5999999999999996</v>
      </c>
      <c r="J333">
        <v>0.41399999999999998</v>
      </c>
      <c r="K333">
        <v>2.1</v>
      </c>
      <c r="L333">
        <v>0.25800000000000001</v>
      </c>
      <c r="M333">
        <v>2.4</v>
      </c>
      <c r="N333">
        <v>0.54900000000000004</v>
      </c>
      <c r="O333">
        <v>0.47399999999999998</v>
      </c>
      <c r="P333">
        <v>1.5</v>
      </c>
      <c r="Q333">
        <v>0.68200000000000005</v>
      </c>
      <c r="R333">
        <v>4.4000000000000004</v>
      </c>
      <c r="S333">
        <v>0.6</v>
      </c>
      <c r="T333">
        <v>0.9</v>
      </c>
      <c r="U333">
        <v>1.1000000000000001</v>
      </c>
      <c r="V333">
        <v>0.5</v>
      </c>
      <c r="W333">
        <v>1.3</v>
      </c>
      <c r="X333">
        <v>5.4</v>
      </c>
      <c r="Y333">
        <v>7</v>
      </c>
      <c r="Z333">
        <v>0.7</v>
      </c>
      <c r="AA333">
        <v>16.600000000000001</v>
      </c>
      <c r="AB333">
        <v>0.14799999999999999</v>
      </c>
    </row>
    <row r="334" spans="1:28" x14ac:dyDescent="0.35">
      <c r="A334" s="1" t="s">
        <v>18</v>
      </c>
      <c r="B334" s="1" t="s">
        <v>35</v>
      </c>
      <c r="C334" s="1" t="s">
        <v>23</v>
      </c>
      <c r="D334" s="1" t="s">
        <v>28</v>
      </c>
      <c r="E334" s="4">
        <v>-0.3</v>
      </c>
      <c r="F334">
        <v>24</v>
      </c>
      <c r="G334">
        <v>26</v>
      </c>
      <c r="H334">
        <v>16.600000000000001</v>
      </c>
      <c r="I334">
        <v>3.8</v>
      </c>
      <c r="J334">
        <v>0.46899999999999997</v>
      </c>
      <c r="K334">
        <v>0.6</v>
      </c>
      <c r="L334">
        <v>0.125</v>
      </c>
      <c r="M334">
        <v>3.2</v>
      </c>
      <c r="N334">
        <v>0.53700000000000003</v>
      </c>
      <c r="O334">
        <v>0.48</v>
      </c>
      <c r="P334">
        <v>1.5</v>
      </c>
      <c r="Q334">
        <v>0.76300000000000001</v>
      </c>
      <c r="R334">
        <v>4.7</v>
      </c>
      <c r="S334">
        <v>1.1000000000000001</v>
      </c>
      <c r="T334">
        <v>0.3</v>
      </c>
      <c r="U334">
        <v>0.4</v>
      </c>
      <c r="V334">
        <v>0.9</v>
      </c>
      <c r="W334">
        <v>2</v>
      </c>
      <c r="X334">
        <v>4.7</v>
      </c>
      <c r="Y334">
        <v>1</v>
      </c>
      <c r="Z334">
        <v>-5</v>
      </c>
      <c r="AA334">
        <v>11.3</v>
      </c>
      <c r="AB334">
        <v>7.4999999999999997E-2</v>
      </c>
    </row>
    <row r="335" spans="1:28" x14ac:dyDescent="0.35">
      <c r="A335" s="1" t="s">
        <v>26</v>
      </c>
      <c r="B335" s="1" t="s">
        <v>597</v>
      </c>
      <c r="C335" s="1" t="s">
        <v>23</v>
      </c>
      <c r="D335" s="1" t="s">
        <v>20</v>
      </c>
      <c r="E335" s="4">
        <v>-0.3</v>
      </c>
      <c r="F335">
        <v>19</v>
      </c>
      <c r="G335">
        <v>81</v>
      </c>
      <c r="H335">
        <v>15.6</v>
      </c>
      <c r="I335">
        <v>5.0999999999999996</v>
      </c>
      <c r="J335">
        <v>0.47399999999999998</v>
      </c>
      <c r="K335">
        <v>1.9</v>
      </c>
      <c r="L335">
        <v>0.23799999999999999</v>
      </c>
      <c r="M335">
        <v>3.3</v>
      </c>
      <c r="N335">
        <v>0.60799999999999998</v>
      </c>
      <c r="O335">
        <v>0.51700000000000002</v>
      </c>
      <c r="P335">
        <v>1.5</v>
      </c>
      <c r="Q335">
        <v>0.754</v>
      </c>
      <c r="R335">
        <v>2.7</v>
      </c>
      <c r="S335">
        <v>1</v>
      </c>
      <c r="T335">
        <v>0.6</v>
      </c>
      <c r="U335">
        <v>0.2</v>
      </c>
      <c r="V335">
        <v>0.9</v>
      </c>
      <c r="W335">
        <v>1.7</v>
      </c>
      <c r="X335">
        <v>6.4</v>
      </c>
      <c r="Y335">
        <v>0</v>
      </c>
      <c r="Z335">
        <v>-3</v>
      </c>
      <c r="AA335">
        <v>11.1</v>
      </c>
      <c r="AB335">
        <v>6.7000000000000004E-2</v>
      </c>
    </row>
    <row r="336" spans="1:28" x14ac:dyDescent="0.35">
      <c r="A336" s="1" t="s">
        <v>2</v>
      </c>
      <c r="B336" s="1" t="s">
        <v>598</v>
      </c>
      <c r="C336" s="1" t="s">
        <v>23</v>
      </c>
      <c r="D336" s="1" t="s">
        <v>50</v>
      </c>
      <c r="E336" s="4">
        <v>-0.6</v>
      </c>
      <c r="F336">
        <v>22</v>
      </c>
      <c r="G336">
        <v>57</v>
      </c>
      <c r="H336">
        <v>15.9</v>
      </c>
      <c r="I336">
        <v>7.3</v>
      </c>
      <c r="J336">
        <v>0.435</v>
      </c>
      <c r="K336">
        <v>3.5</v>
      </c>
      <c r="L336">
        <v>0.38600000000000001</v>
      </c>
      <c r="M336">
        <v>3.8</v>
      </c>
      <c r="N336">
        <v>0.47899999999999998</v>
      </c>
      <c r="O336">
        <v>0.52700000000000002</v>
      </c>
      <c r="P336">
        <v>1.5</v>
      </c>
      <c r="Q336">
        <v>0.69799999999999995</v>
      </c>
      <c r="R336">
        <v>1.6</v>
      </c>
      <c r="S336">
        <v>1.4</v>
      </c>
      <c r="T336">
        <v>0.5</v>
      </c>
      <c r="U336">
        <v>0.1</v>
      </c>
      <c r="V336">
        <v>1.4</v>
      </c>
      <c r="W336">
        <v>1.6</v>
      </c>
      <c r="X336">
        <v>8.6999999999999993</v>
      </c>
      <c r="Y336">
        <v>2</v>
      </c>
      <c r="Z336">
        <v>-4.7</v>
      </c>
      <c r="AA336">
        <v>10.4</v>
      </c>
      <c r="AB336">
        <v>-1.6E-2</v>
      </c>
    </row>
    <row r="337" spans="1:28" x14ac:dyDescent="0.35">
      <c r="A337" s="1" t="s">
        <v>2</v>
      </c>
      <c r="B337" s="1" t="s">
        <v>35</v>
      </c>
      <c r="C337" s="1" t="s">
        <v>23</v>
      </c>
      <c r="D337" s="1" t="s">
        <v>50</v>
      </c>
      <c r="E337" s="4">
        <v>0.8</v>
      </c>
      <c r="F337">
        <v>25</v>
      </c>
      <c r="G337">
        <v>46</v>
      </c>
      <c r="H337">
        <v>19.7</v>
      </c>
      <c r="I337">
        <v>5.2</v>
      </c>
      <c r="J337">
        <v>0.53800000000000003</v>
      </c>
      <c r="K337">
        <v>1</v>
      </c>
      <c r="L337">
        <v>0.39600000000000002</v>
      </c>
      <c r="M337">
        <v>4.0999999999999996</v>
      </c>
      <c r="N337">
        <v>0.57399999999999995</v>
      </c>
      <c r="O337">
        <v>0.57799999999999996</v>
      </c>
      <c r="P337">
        <v>1.5</v>
      </c>
      <c r="Q337">
        <v>0.82099999999999995</v>
      </c>
      <c r="R337">
        <v>2.5</v>
      </c>
      <c r="S337">
        <v>4.2</v>
      </c>
      <c r="T337">
        <v>0.8</v>
      </c>
      <c r="U337">
        <v>0.2</v>
      </c>
      <c r="V337">
        <v>0.8</v>
      </c>
      <c r="W337">
        <v>1.2</v>
      </c>
      <c r="X337">
        <v>7.2</v>
      </c>
      <c r="Y337">
        <v>4</v>
      </c>
      <c r="Z337">
        <v>1.5</v>
      </c>
      <c r="AA337">
        <v>16.3</v>
      </c>
      <c r="AB337">
        <v>0.155</v>
      </c>
    </row>
    <row r="338" spans="1:28" x14ac:dyDescent="0.35">
      <c r="A338" s="1" t="s">
        <v>2</v>
      </c>
      <c r="B338" s="1" t="s">
        <v>597</v>
      </c>
      <c r="C338" s="1" t="s">
        <v>23</v>
      </c>
      <c r="D338" s="1" t="s">
        <v>20</v>
      </c>
      <c r="E338" s="4">
        <v>0</v>
      </c>
      <c r="F338">
        <v>26</v>
      </c>
      <c r="G338">
        <v>20</v>
      </c>
      <c r="H338">
        <v>23.9</v>
      </c>
      <c r="I338">
        <v>10.6</v>
      </c>
      <c r="J338">
        <v>0.42</v>
      </c>
      <c r="K338">
        <v>6.4</v>
      </c>
      <c r="L338">
        <v>0.35399999999999998</v>
      </c>
      <c r="M338">
        <v>4.3</v>
      </c>
      <c r="N338">
        <v>0.51800000000000002</v>
      </c>
      <c r="O338">
        <v>0.52600000000000002</v>
      </c>
      <c r="P338">
        <v>1.5</v>
      </c>
      <c r="Q338">
        <v>0.8</v>
      </c>
      <c r="R338">
        <v>3.2</v>
      </c>
      <c r="S338">
        <v>2.5</v>
      </c>
      <c r="T338">
        <v>0.5</v>
      </c>
      <c r="U338">
        <v>0.3</v>
      </c>
      <c r="V338">
        <v>1.3</v>
      </c>
      <c r="W338">
        <v>1.4</v>
      </c>
      <c r="X338">
        <v>12.4</v>
      </c>
      <c r="Y338">
        <v>6</v>
      </c>
      <c r="Z338">
        <v>-2.4</v>
      </c>
      <c r="AA338">
        <v>13.1</v>
      </c>
      <c r="AB338">
        <v>3.3000000000000002E-2</v>
      </c>
    </row>
    <row r="339" spans="1:28" x14ac:dyDescent="0.35">
      <c r="A339" s="1" t="s">
        <v>2</v>
      </c>
      <c r="B339" s="1" t="s">
        <v>35</v>
      </c>
      <c r="C339" s="1" t="s">
        <v>23</v>
      </c>
      <c r="D339" s="1" t="s">
        <v>50</v>
      </c>
      <c r="E339" s="4">
        <v>0.3</v>
      </c>
      <c r="F339">
        <v>24</v>
      </c>
      <c r="G339">
        <v>60</v>
      </c>
      <c r="H339">
        <v>17.399999999999999</v>
      </c>
      <c r="I339">
        <v>7.6</v>
      </c>
      <c r="J339">
        <v>0.44800000000000001</v>
      </c>
      <c r="K339">
        <v>2.8</v>
      </c>
      <c r="L339">
        <v>0.35499999999999998</v>
      </c>
      <c r="M339">
        <v>4.7</v>
      </c>
      <c r="N339">
        <v>0.504</v>
      </c>
      <c r="O339">
        <v>0.51400000000000001</v>
      </c>
      <c r="P339">
        <v>1.5</v>
      </c>
      <c r="Q339">
        <v>0.82399999999999995</v>
      </c>
      <c r="R339">
        <v>1.8</v>
      </c>
      <c r="S339">
        <v>3.7</v>
      </c>
      <c r="T339">
        <v>0.7</v>
      </c>
      <c r="U339">
        <v>0.2</v>
      </c>
      <c r="V339">
        <v>1.3</v>
      </c>
      <c r="W339">
        <v>1.6</v>
      </c>
      <c r="X339">
        <v>9</v>
      </c>
      <c r="Y339">
        <v>3</v>
      </c>
      <c r="Z339">
        <v>-1</v>
      </c>
      <c r="AA339">
        <v>15.6</v>
      </c>
      <c r="AB339">
        <v>6.3E-2</v>
      </c>
    </row>
    <row r="340" spans="1:28" x14ac:dyDescent="0.35">
      <c r="A340" s="1" t="s">
        <v>26</v>
      </c>
      <c r="B340" s="1" t="s">
        <v>598</v>
      </c>
      <c r="C340" s="1" t="s">
        <v>23</v>
      </c>
      <c r="D340" s="1" t="s">
        <v>28</v>
      </c>
      <c r="E340" s="4">
        <v>0.8</v>
      </c>
      <c r="F340">
        <v>27</v>
      </c>
      <c r="G340">
        <v>77</v>
      </c>
      <c r="H340">
        <v>24.3</v>
      </c>
      <c r="I340">
        <v>7.6</v>
      </c>
      <c r="J340">
        <v>0.52600000000000002</v>
      </c>
      <c r="K340">
        <v>2.8</v>
      </c>
      <c r="L340">
        <v>0.35599999999999998</v>
      </c>
      <c r="M340">
        <v>4.8</v>
      </c>
      <c r="N340">
        <v>0.627</v>
      </c>
      <c r="O340">
        <v>0.59299999999999997</v>
      </c>
      <c r="P340">
        <v>1.5</v>
      </c>
      <c r="Q340">
        <v>0.70299999999999996</v>
      </c>
      <c r="R340">
        <v>3.4</v>
      </c>
      <c r="S340">
        <v>0.8</v>
      </c>
      <c r="T340">
        <v>1</v>
      </c>
      <c r="U340">
        <v>0.4</v>
      </c>
      <c r="V340">
        <v>0.9</v>
      </c>
      <c r="W340">
        <v>2</v>
      </c>
      <c r="X340">
        <v>10.1</v>
      </c>
      <c r="Y340">
        <v>8</v>
      </c>
      <c r="Z340">
        <v>-0.3</v>
      </c>
      <c r="AA340">
        <v>13.5</v>
      </c>
      <c r="AB340">
        <v>0.12</v>
      </c>
    </row>
    <row r="341" spans="1:28" x14ac:dyDescent="0.35">
      <c r="A341" s="1" t="s">
        <v>2</v>
      </c>
      <c r="B341" s="1" t="s">
        <v>598</v>
      </c>
      <c r="C341" s="1" t="s">
        <v>23</v>
      </c>
      <c r="D341" s="1" t="s">
        <v>20</v>
      </c>
      <c r="E341" s="4">
        <v>1.2</v>
      </c>
      <c r="F341">
        <v>21</v>
      </c>
      <c r="G341">
        <v>64</v>
      </c>
      <c r="H341">
        <v>26.8</v>
      </c>
      <c r="I341">
        <v>9.8000000000000007</v>
      </c>
      <c r="J341">
        <v>0.44500000000000001</v>
      </c>
      <c r="K341">
        <v>4.8</v>
      </c>
      <c r="L341">
        <v>0.372</v>
      </c>
      <c r="M341">
        <v>5</v>
      </c>
      <c r="N341">
        <v>0.51600000000000001</v>
      </c>
      <c r="O341">
        <v>0.53700000000000003</v>
      </c>
      <c r="P341">
        <v>1.5</v>
      </c>
      <c r="Q341">
        <v>0.75800000000000001</v>
      </c>
      <c r="R341">
        <v>5.0999999999999996</v>
      </c>
      <c r="S341">
        <v>3.4</v>
      </c>
      <c r="T341">
        <v>1.1000000000000001</v>
      </c>
      <c r="U341">
        <v>0.2</v>
      </c>
      <c r="V341">
        <v>1.2</v>
      </c>
      <c r="W341">
        <v>1.5</v>
      </c>
      <c r="X341">
        <v>11.7</v>
      </c>
      <c r="Y341">
        <v>1</v>
      </c>
      <c r="Z341">
        <v>0.7</v>
      </c>
      <c r="AA341">
        <v>14.4</v>
      </c>
      <c r="AB341">
        <v>0.11700000000000001</v>
      </c>
    </row>
    <row r="342" spans="1:28" x14ac:dyDescent="0.35">
      <c r="A342" s="1" t="s">
        <v>18</v>
      </c>
      <c r="B342" s="1" t="s">
        <v>597</v>
      </c>
      <c r="C342" s="1" t="s">
        <v>23</v>
      </c>
      <c r="D342" s="1" t="s">
        <v>20</v>
      </c>
      <c r="E342" s="4">
        <v>0.7</v>
      </c>
      <c r="F342">
        <v>23</v>
      </c>
      <c r="G342">
        <v>50</v>
      </c>
      <c r="H342">
        <v>18.2</v>
      </c>
      <c r="I342">
        <v>6.3</v>
      </c>
      <c r="J342">
        <v>0.52100000000000002</v>
      </c>
      <c r="K342">
        <v>0.9</v>
      </c>
      <c r="L342">
        <v>0.24399999999999999</v>
      </c>
      <c r="M342">
        <v>5.4</v>
      </c>
      <c r="N342">
        <v>0.56599999999999995</v>
      </c>
      <c r="O342">
        <v>0.53800000000000003</v>
      </c>
      <c r="P342">
        <v>1.5</v>
      </c>
      <c r="Q342">
        <v>0.75700000000000001</v>
      </c>
      <c r="R342">
        <v>6.6</v>
      </c>
      <c r="S342">
        <v>1.8</v>
      </c>
      <c r="T342">
        <v>0.8</v>
      </c>
      <c r="U342">
        <v>0.8</v>
      </c>
      <c r="V342">
        <v>1.3</v>
      </c>
      <c r="W342">
        <v>2.2999999999999998</v>
      </c>
      <c r="X342">
        <v>7.9</v>
      </c>
      <c r="Y342">
        <v>3</v>
      </c>
      <c r="Z342">
        <v>0.9</v>
      </c>
      <c r="AA342">
        <v>19.7</v>
      </c>
      <c r="AB342">
        <v>0.14099999999999999</v>
      </c>
    </row>
    <row r="343" spans="1:28" x14ac:dyDescent="0.35">
      <c r="A343" s="1" t="s">
        <v>26</v>
      </c>
      <c r="B343" s="1" t="s">
        <v>597</v>
      </c>
      <c r="C343" s="1" t="s">
        <v>23</v>
      </c>
      <c r="D343" s="1" t="s">
        <v>20</v>
      </c>
      <c r="E343" s="4">
        <v>0.7</v>
      </c>
      <c r="F343">
        <v>29</v>
      </c>
      <c r="G343">
        <v>49</v>
      </c>
      <c r="H343">
        <v>25.4</v>
      </c>
      <c r="I343">
        <v>12.1</v>
      </c>
      <c r="J343">
        <v>0.46600000000000003</v>
      </c>
      <c r="K343">
        <v>3.6</v>
      </c>
      <c r="L343">
        <v>0.36499999999999999</v>
      </c>
      <c r="M343">
        <v>8.5</v>
      </c>
      <c r="N343">
        <v>0.50800000000000001</v>
      </c>
      <c r="O343">
        <v>0.52</v>
      </c>
      <c r="P343">
        <v>1.5</v>
      </c>
      <c r="Q343">
        <v>0.83599999999999997</v>
      </c>
      <c r="R343">
        <v>8.4</v>
      </c>
      <c r="S343">
        <v>2.1</v>
      </c>
      <c r="T343">
        <v>0.7</v>
      </c>
      <c r="U343">
        <v>0.5</v>
      </c>
      <c r="V343">
        <v>1.2</v>
      </c>
      <c r="W343">
        <v>1.9</v>
      </c>
      <c r="X343">
        <v>13.9</v>
      </c>
      <c r="Y343">
        <v>9</v>
      </c>
      <c r="Z343">
        <v>0.2</v>
      </c>
      <c r="AA343">
        <v>17.7</v>
      </c>
      <c r="AB343">
        <v>0.106</v>
      </c>
    </row>
    <row r="344" spans="1:28" x14ac:dyDescent="0.35">
      <c r="A344" s="1" t="s">
        <v>18</v>
      </c>
      <c r="B344" s="1" t="s">
        <v>598</v>
      </c>
      <c r="C344" s="1" t="s">
        <v>19</v>
      </c>
      <c r="D344" s="1" t="s">
        <v>20</v>
      </c>
      <c r="E344" s="4">
        <v>0.4</v>
      </c>
      <c r="F344">
        <v>26</v>
      </c>
      <c r="G344">
        <v>40</v>
      </c>
      <c r="H344">
        <v>30.2</v>
      </c>
      <c r="I344">
        <v>11.7</v>
      </c>
      <c r="J344">
        <v>0.56599999999999995</v>
      </c>
      <c r="K344">
        <v>0.8</v>
      </c>
      <c r="L344">
        <v>0.188</v>
      </c>
      <c r="M344">
        <v>10.9</v>
      </c>
      <c r="N344">
        <v>0.59399999999999997</v>
      </c>
      <c r="O344">
        <v>0.57299999999999995</v>
      </c>
      <c r="P344">
        <v>1.5</v>
      </c>
      <c r="Q344">
        <v>0.66700000000000004</v>
      </c>
      <c r="R344">
        <v>10.199999999999999</v>
      </c>
      <c r="S344">
        <v>1.6</v>
      </c>
      <c r="T344">
        <v>0.8</v>
      </c>
      <c r="U344">
        <v>1</v>
      </c>
      <c r="V344">
        <v>1.7</v>
      </c>
      <c r="W344">
        <v>2.2000000000000002</v>
      </c>
      <c r="X344">
        <v>14.4</v>
      </c>
      <c r="Y344">
        <v>6</v>
      </c>
      <c r="Z344">
        <v>-0.7</v>
      </c>
      <c r="AA344">
        <v>17.7</v>
      </c>
      <c r="AB344">
        <v>0.113</v>
      </c>
    </row>
    <row r="345" spans="1:28" x14ac:dyDescent="0.35">
      <c r="A345" s="1" t="s">
        <v>26</v>
      </c>
      <c r="B345" s="1" t="s">
        <v>597</v>
      </c>
      <c r="C345" s="1" t="s">
        <v>19</v>
      </c>
      <c r="D345" s="1" t="s">
        <v>20</v>
      </c>
      <c r="E345" s="4">
        <v>-1</v>
      </c>
      <c r="F345">
        <v>19</v>
      </c>
      <c r="G345">
        <v>60</v>
      </c>
      <c r="H345">
        <v>20.7</v>
      </c>
      <c r="I345">
        <v>5.8</v>
      </c>
      <c r="J345">
        <v>0.33</v>
      </c>
      <c r="K345">
        <v>3.4</v>
      </c>
      <c r="L345">
        <v>0.28299999999999997</v>
      </c>
      <c r="M345">
        <v>2.2999999999999998</v>
      </c>
      <c r="N345">
        <v>0.4</v>
      </c>
      <c r="O345">
        <v>0.41399999999999998</v>
      </c>
      <c r="P345">
        <v>1.6</v>
      </c>
      <c r="Q345">
        <v>0.71299999999999997</v>
      </c>
      <c r="R345">
        <v>4.7</v>
      </c>
      <c r="S345">
        <v>1.2</v>
      </c>
      <c r="T345">
        <v>0.5</v>
      </c>
      <c r="U345">
        <v>0.2</v>
      </c>
      <c r="V345">
        <v>1</v>
      </c>
      <c r="W345">
        <v>1.4</v>
      </c>
      <c r="X345">
        <v>5.9</v>
      </c>
      <c r="Y345">
        <v>0</v>
      </c>
      <c r="Z345">
        <v>-5.2</v>
      </c>
      <c r="AA345">
        <v>7.7</v>
      </c>
      <c r="AB345">
        <v>2E-3</v>
      </c>
    </row>
    <row r="346" spans="1:28" x14ac:dyDescent="0.35">
      <c r="A346" s="1" t="s">
        <v>18</v>
      </c>
      <c r="B346" s="1" t="s">
        <v>598</v>
      </c>
      <c r="C346" s="1" t="s">
        <v>19</v>
      </c>
      <c r="D346" s="1" t="s">
        <v>20</v>
      </c>
      <c r="E346" s="4">
        <v>0.5</v>
      </c>
      <c r="F346">
        <v>31</v>
      </c>
      <c r="G346">
        <v>58</v>
      </c>
      <c r="H346">
        <v>13.7</v>
      </c>
      <c r="I346">
        <v>2.9</v>
      </c>
      <c r="J346">
        <v>0.54500000000000004</v>
      </c>
      <c r="K346">
        <v>0</v>
      </c>
      <c r="L346">
        <v>0</v>
      </c>
      <c r="M346">
        <v>2.8</v>
      </c>
      <c r="N346">
        <v>0.55200000000000005</v>
      </c>
      <c r="O346">
        <v>0.54500000000000004</v>
      </c>
      <c r="P346">
        <v>1.6</v>
      </c>
      <c r="Q346">
        <v>0.46200000000000002</v>
      </c>
      <c r="R346">
        <v>5.6</v>
      </c>
      <c r="S346">
        <v>1.1000000000000001</v>
      </c>
      <c r="T346">
        <v>0.4</v>
      </c>
      <c r="U346">
        <v>0.5</v>
      </c>
      <c r="V346">
        <v>0.9</v>
      </c>
      <c r="W346">
        <v>1</v>
      </c>
      <c r="X346">
        <v>3.9</v>
      </c>
      <c r="Y346">
        <v>11</v>
      </c>
      <c r="Z346">
        <v>0.3</v>
      </c>
      <c r="AA346">
        <v>16.600000000000001</v>
      </c>
      <c r="AB346">
        <v>0.13700000000000001</v>
      </c>
    </row>
    <row r="347" spans="1:28" x14ac:dyDescent="0.35">
      <c r="A347" s="1" t="s">
        <v>18</v>
      </c>
      <c r="B347" s="1" t="s">
        <v>597</v>
      </c>
      <c r="C347" s="1" t="s">
        <v>19</v>
      </c>
      <c r="D347" s="1" t="s">
        <v>50</v>
      </c>
      <c r="E347" s="4">
        <v>0</v>
      </c>
      <c r="F347">
        <v>23</v>
      </c>
      <c r="G347">
        <v>71</v>
      </c>
      <c r="H347">
        <v>17.5</v>
      </c>
      <c r="I347">
        <v>3.9</v>
      </c>
      <c r="J347">
        <v>0.59599999999999997</v>
      </c>
      <c r="K347">
        <v>0.1</v>
      </c>
      <c r="L347">
        <v>0</v>
      </c>
      <c r="M347">
        <v>3.9</v>
      </c>
      <c r="N347">
        <v>0.60899999999999999</v>
      </c>
      <c r="O347">
        <v>0.59599999999999997</v>
      </c>
      <c r="P347">
        <v>1.6</v>
      </c>
      <c r="Q347">
        <v>0.59499999999999997</v>
      </c>
      <c r="R347">
        <v>6.2</v>
      </c>
      <c r="S347">
        <v>0.8</v>
      </c>
      <c r="T347">
        <v>0.6</v>
      </c>
      <c r="U347">
        <v>0.6</v>
      </c>
      <c r="V347">
        <v>0.9</v>
      </c>
      <c r="W347">
        <v>1.5</v>
      </c>
      <c r="X347">
        <v>5.7</v>
      </c>
      <c r="Y347">
        <v>2</v>
      </c>
      <c r="Z347">
        <v>-1.9</v>
      </c>
      <c r="AA347">
        <v>16.5</v>
      </c>
      <c r="AB347">
        <v>0.125</v>
      </c>
    </row>
    <row r="348" spans="1:28" x14ac:dyDescent="0.35">
      <c r="A348" s="1" t="s">
        <v>2</v>
      </c>
      <c r="B348" s="1" t="s">
        <v>597</v>
      </c>
      <c r="C348" s="1" t="s">
        <v>23</v>
      </c>
      <c r="D348" s="1" t="s">
        <v>20</v>
      </c>
      <c r="E348" s="4">
        <v>-0.3</v>
      </c>
      <c r="F348">
        <v>20</v>
      </c>
      <c r="G348">
        <v>52</v>
      </c>
      <c r="H348">
        <v>21.2</v>
      </c>
      <c r="I348">
        <v>7.6</v>
      </c>
      <c r="J348">
        <v>0.40500000000000003</v>
      </c>
      <c r="K348">
        <v>3.6</v>
      </c>
      <c r="L348">
        <v>0.34899999999999998</v>
      </c>
      <c r="M348">
        <v>4</v>
      </c>
      <c r="N348">
        <v>0.45400000000000001</v>
      </c>
      <c r="O348">
        <v>0.48699999999999999</v>
      </c>
      <c r="P348">
        <v>1.6</v>
      </c>
      <c r="Q348">
        <v>0.79500000000000004</v>
      </c>
      <c r="R348">
        <v>3.1</v>
      </c>
      <c r="S348">
        <v>1.6</v>
      </c>
      <c r="T348">
        <v>0.8</v>
      </c>
      <c r="U348">
        <v>0.2</v>
      </c>
      <c r="V348">
        <v>1</v>
      </c>
      <c r="W348">
        <v>1.8</v>
      </c>
      <c r="X348">
        <v>8.6</v>
      </c>
      <c r="Y348">
        <v>0</v>
      </c>
      <c r="Z348">
        <v>-3</v>
      </c>
      <c r="AA348">
        <v>10.8</v>
      </c>
      <c r="AB348">
        <v>5.1999999999999998E-2</v>
      </c>
    </row>
    <row r="349" spans="1:28" x14ac:dyDescent="0.35">
      <c r="A349" s="1" t="s">
        <v>2</v>
      </c>
      <c r="B349" s="1" t="s">
        <v>598</v>
      </c>
      <c r="C349" s="1" t="s">
        <v>19</v>
      </c>
      <c r="D349" s="1" t="s">
        <v>20</v>
      </c>
      <c r="E349" s="4">
        <v>0</v>
      </c>
      <c r="F349">
        <v>29</v>
      </c>
      <c r="G349">
        <v>20</v>
      </c>
      <c r="H349">
        <v>18.600000000000001</v>
      </c>
      <c r="I349">
        <v>6.7</v>
      </c>
      <c r="J349">
        <v>0.47799999999999998</v>
      </c>
      <c r="K349">
        <v>2.7</v>
      </c>
      <c r="L349">
        <v>0.434</v>
      </c>
      <c r="M349">
        <v>4.0999999999999996</v>
      </c>
      <c r="N349">
        <v>0.50600000000000001</v>
      </c>
      <c r="O349">
        <v>0.56299999999999994</v>
      </c>
      <c r="P349">
        <v>1.6</v>
      </c>
      <c r="Q349">
        <v>0.74199999999999999</v>
      </c>
      <c r="R349">
        <v>1.7</v>
      </c>
      <c r="S349">
        <v>2.8</v>
      </c>
      <c r="T349">
        <v>0.6</v>
      </c>
      <c r="U349">
        <v>0.2</v>
      </c>
      <c r="V349">
        <v>1.1000000000000001</v>
      </c>
      <c r="W349">
        <v>1.7</v>
      </c>
      <c r="X349">
        <v>8.6999999999999993</v>
      </c>
      <c r="Y349">
        <v>8</v>
      </c>
      <c r="Z349">
        <v>-2.2999999999999998</v>
      </c>
      <c r="AA349">
        <v>13.6</v>
      </c>
      <c r="AB349">
        <v>8.3000000000000004E-2</v>
      </c>
    </row>
    <row r="350" spans="1:28" x14ac:dyDescent="0.35">
      <c r="A350" s="1" t="s">
        <v>18</v>
      </c>
      <c r="B350" s="1" t="s">
        <v>598</v>
      </c>
      <c r="C350" s="1" t="s">
        <v>23</v>
      </c>
      <c r="D350" s="1" t="s">
        <v>20</v>
      </c>
      <c r="E350" s="4">
        <v>0.6</v>
      </c>
      <c r="F350">
        <v>20</v>
      </c>
      <c r="G350">
        <v>67</v>
      </c>
      <c r="H350">
        <v>19.8</v>
      </c>
      <c r="I350">
        <v>5</v>
      </c>
      <c r="J350">
        <v>0.53900000000000003</v>
      </c>
      <c r="K350">
        <v>0.7</v>
      </c>
      <c r="L350">
        <v>0.28599999999999998</v>
      </c>
      <c r="M350">
        <v>4.3</v>
      </c>
      <c r="N350">
        <v>0.58199999999999996</v>
      </c>
      <c r="O350">
        <v>0.56000000000000005</v>
      </c>
      <c r="P350">
        <v>1.6</v>
      </c>
      <c r="Q350">
        <v>0.59599999999999997</v>
      </c>
      <c r="R350">
        <v>7.9</v>
      </c>
      <c r="S350">
        <v>1.1000000000000001</v>
      </c>
      <c r="T350">
        <v>0.5</v>
      </c>
      <c r="U350">
        <v>1.6</v>
      </c>
      <c r="V350">
        <v>1.1000000000000001</v>
      </c>
      <c r="W350">
        <v>2.8</v>
      </c>
      <c r="X350">
        <v>6.5</v>
      </c>
      <c r="Y350">
        <v>0</v>
      </c>
      <c r="Z350">
        <v>-0.3</v>
      </c>
      <c r="AA350">
        <v>17.399999999999999</v>
      </c>
      <c r="AB350">
        <v>0.14399999999999999</v>
      </c>
    </row>
    <row r="351" spans="1:28" x14ac:dyDescent="0.35">
      <c r="A351" s="1" t="s">
        <v>26</v>
      </c>
      <c r="B351" s="1" t="s">
        <v>598</v>
      </c>
      <c r="C351" s="1" t="s">
        <v>19</v>
      </c>
      <c r="D351" s="1" t="s">
        <v>50</v>
      </c>
      <c r="E351" s="4">
        <v>1.2</v>
      </c>
      <c r="F351">
        <v>24</v>
      </c>
      <c r="G351">
        <v>78</v>
      </c>
      <c r="H351">
        <v>32.700000000000003</v>
      </c>
      <c r="I351">
        <v>9.1999999999999993</v>
      </c>
      <c r="J351">
        <v>0.45800000000000002</v>
      </c>
      <c r="K351">
        <v>4.5999999999999996</v>
      </c>
      <c r="L351">
        <v>0.375</v>
      </c>
      <c r="M351">
        <v>4.5999999999999996</v>
      </c>
      <c r="N351">
        <v>0.54200000000000004</v>
      </c>
      <c r="O351">
        <v>0.55200000000000005</v>
      </c>
      <c r="P351">
        <v>1.6</v>
      </c>
      <c r="Q351">
        <v>0.72199999999999998</v>
      </c>
      <c r="R351">
        <v>5.8</v>
      </c>
      <c r="S351">
        <v>2.2000000000000002</v>
      </c>
      <c r="T351">
        <v>1.5</v>
      </c>
      <c r="U351">
        <v>0.6</v>
      </c>
      <c r="V351">
        <v>1.4</v>
      </c>
      <c r="W351">
        <v>2.9</v>
      </c>
      <c r="X351">
        <v>11.3</v>
      </c>
      <c r="Y351">
        <v>1</v>
      </c>
      <c r="Z351">
        <v>-0.1</v>
      </c>
      <c r="AA351">
        <v>12.5</v>
      </c>
      <c r="AB351">
        <v>9.7000000000000003E-2</v>
      </c>
    </row>
    <row r="352" spans="1:28" x14ac:dyDescent="0.35">
      <c r="A352" s="1" t="s">
        <v>18</v>
      </c>
      <c r="B352" s="1" t="s">
        <v>598</v>
      </c>
      <c r="C352" s="1" t="s">
        <v>23</v>
      </c>
      <c r="D352" s="1" t="s">
        <v>50</v>
      </c>
      <c r="E352" s="4">
        <v>0.8</v>
      </c>
      <c r="F352">
        <v>24</v>
      </c>
      <c r="G352">
        <v>62</v>
      </c>
      <c r="H352">
        <v>15.6</v>
      </c>
      <c r="I352">
        <v>4.9000000000000004</v>
      </c>
      <c r="J352">
        <v>0.57599999999999996</v>
      </c>
      <c r="K352">
        <v>0</v>
      </c>
      <c r="L352">
        <v>0</v>
      </c>
      <c r="M352">
        <v>4.8</v>
      </c>
      <c r="N352">
        <v>0.58199999999999996</v>
      </c>
      <c r="O352">
        <v>0.57599999999999996</v>
      </c>
      <c r="P352">
        <v>1.6</v>
      </c>
      <c r="Q352">
        <v>0.57799999999999996</v>
      </c>
      <c r="R352">
        <v>5</v>
      </c>
      <c r="S352">
        <v>1.7</v>
      </c>
      <c r="T352">
        <v>0.4</v>
      </c>
      <c r="U352">
        <v>0.6</v>
      </c>
      <c r="V352">
        <v>0.7</v>
      </c>
      <c r="W352">
        <v>1.2</v>
      </c>
      <c r="X352">
        <v>6.6</v>
      </c>
      <c r="Y352">
        <v>1</v>
      </c>
      <c r="Z352">
        <v>1.2</v>
      </c>
      <c r="AA352">
        <v>18.5</v>
      </c>
      <c r="AB352">
        <v>0.16700000000000001</v>
      </c>
    </row>
    <row r="353" spans="1:28" x14ac:dyDescent="0.35">
      <c r="A353" s="1" t="s">
        <v>18</v>
      </c>
      <c r="B353" s="1" t="s">
        <v>35</v>
      </c>
      <c r="C353" s="1" t="s">
        <v>23</v>
      </c>
      <c r="D353" s="1" t="s">
        <v>28</v>
      </c>
      <c r="E353" s="4">
        <v>-0.3</v>
      </c>
      <c r="F353">
        <v>24</v>
      </c>
      <c r="G353">
        <v>44</v>
      </c>
      <c r="H353">
        <v>17.5</v>
      </c>
      <c r="I353">
        <v>5.9</v>
      </c>
      <c r="J353">
        <v>0.44400000000000001</v>
      </c>
      <c r="K353">
        <v>1.2</v>
      </c>
      <c r="L353">
        <v>0.32700000000000001</v>
      </c>
      <c r="M353">
        <v>4.8</v>
      </c>
      <c r="N353">
        <v>0.47399999999999998</v>
      </c>
      <c r="O353">
        <v>0.47699999999999998</v>
      </c>
      <c r="P353">
        <v>1.6</v>
      </c>
      <c r="Q353">
        <v>0.77100000000000002</v>
      </c>
      <c r="R353">
        <v>5</v>
      </c>
      <c r="S353">
        <v>1.8</v>
      </c>
      <c r="T353">
        <v>0.4</v>
      </c>
      <c r="U353">
        <v>0.4</v>
      </c>
      <c r="V353">
        <v>1.1000000000000001</v>
      </c>
      <c r="W353">
        <v>2.2999999999999998</v>
      </c>
      <c r="X353">
        <v>6.9</v>
      </c>
      <c r="Y353">
        <v>2</v>
      </c>
      <c r="Z353">
        <v>-3.4</v>
      </c>
      <c r="AA353">
        <v>12.9</v>
      </c>
      <c r="AB353">
        <v>7.1999999999999995E-2</v>
      </c>
    </row>
    <row r="354" spans="1:28" x14ac:dyDescent="0.35">
      <c r="A354" s="1" t="s">
        <v>2</v>
      </c>
      <c r="B354" s="1" t="s">
        <v>35</v>
      </c>
      <c r="C354" s="1" t="s">
        <v>23</v>
      </c>
      <c r="D354" s="1" t="s">
        <v>50</v>
      </c>
      <c r="E354" s="4">
        <v>-0.4</v>
      </c>
      <c r="F354">
        <v>28</v>
      </c>
      <c r="G354">
        <v>41</v>
      </c>
      <c r="H354">
        <v>22.5</v>
      </c>
      <c r="I354">
        <v>7.5</v>
      </c>
      <c r="J354">
        <v>0.42099999999999999</v>
      </c>
      <c r="K354">
        <v>2</v>
      </c>
      <c r="L354">
        <v>0.33300000000000002</v>
      </c>
      <c r="M354">
        <v>5.6</v>
      </c>
      <c r="N354">
        <v>0.45200000000000001</v>
      </c>
      <c r="O354">
        <v>0.46400000000000002</v>
      </c>
      <c r="P354">
        <v>1.6</v>
      </c>
      <c r="Q354">
        <v>0.81499999999999995</v>
      </c>
      <c r="R354">
        <v>4</v>
      </c>
      <c r="S354">
        <v>2</v>
      </c>
      <c r="T354">
        <v>0.8</v>
      </c>
      <c r="U354">
        <v>0.2</v>
      </c>
      <c r="V354">
        <v>1</v>
      </c>
      <c r="W354">
        <v>1.7</v>
      </c>
      <c r="X354">
        <v>8.3000000000000007</v>
      </c>
      <c r="Y354">
        <v>6</v>
      </c>
      <c r="Z354">
        <v>-3.8</v>
      </c>
      <c r="AA354">
        <v>10.9</v>
      </c>
      <c r="AB354">
        <v>3.5000000000000003E-2</v>
      </c>
    </row>
    <row r="355" spans="1:28" x14ac:dyDescent="0.35">
      <c r="A355" s="1" t="s">
        <v>26</v>
      </c>
      <c r="B355" s="1" t="s">
        <v>598</v>
      </c>
      <c r="C355" s="1" t="s">
        <v>19</v>
      </c>
      <c r="D355" s="1" t="s">
        <v>50</v>
      </c>
      <c r="E355" s="4">
        <v>0.4</v>
      </c>
      <c r="F355">
        <v>29</v>
      </c>
      <c r="G355">
        <v>75</v>
      </c>
      <c r="H355">
        <v>31.8</v>
      </c>
      <c r="I355">
        <v>11.9</v>
      </c>
      <c r="J355">
        <v>0.42899999999999999</v>
      </c>
      <c r="K355">
        <v>6.3</v>
      </c>
      <c r="L355">
        <v>0.39700000000000002</v>
      </c>
      <c r="M355">
        <v>5.7</v>
      </c>
      <c r="N355">
        <v>0.46500000000000002</v>
      </c>
      <c r="O355">
        <v>0.53300000000000003</v>
      </c>
      <c r="P355">
        <v>1.6</v>
      </c>
      <c r="Q355">
        <v>0.81799999999999995</v>
      </c>
      <c r="R355">
        <v>3.7</v>
      </c>
      <c r="S355">
        <v>1.7</v>
      </c>
      <c r="T355">
        <v>0.8</v>
      </c>
      <c r="U355">
        <v>0.2</v>
      </c>
      <c r="V355">
        <v>1</v>
      </c>
      <c r="W355">
        <v>3.2</v>
      </c>
      <c r="X355">
        <v>14</v>
      </c>
      <c r="Y355">
        <v>7</v>
      </c>
      <c r="Z355">
        <v>-1.4</v>
      </c>
      <c r="AA355">
        <v>11</v>
      </c>
      <c r="AB355">
        <v>0.10299999999999999</v>
      </c>
    </row>
    <row r="356" spans="1:28" x14ac:dyDescent="0.35">
      <c r="A356" s="1" t="s">
        <v>26</v>
      </c>
      <c r="B356" s="1" t="s">
        <v>598</v>
      </c>
      <c r="C356" s="1" t="s">
        <v>23</v>
      </c>
      <c r="D356" s="1" t="s">
        <v>20</v>
      </c>
      <c r="E356" s="4">
        <v>1.4</v>
      </c>
      <c r="F356">
        <v>24</v>
      </c>
      <c r="G356">
        <v>82</v>
      </c>
      <c r="H356">
        <v>31.9</v>
      </c>
      <c r="I356">
        <v>10.199999999999999</v>
      </c>
      <c r="J356">
        <v>0.47699999999999998</v>
      </c>
      <c r="K356">
        <v>3.7</v>
      </c>
      <c r="L356">
        <v>0.33</v>
      </c>
      <c r="M356">
        <v>6.5</v>
      </c>
      <c r="N356">
        <v>0.56100000000000005</v>
      </c>
      <c r="O356">
        <v>0.53700000000000003</v>
      </c>
      <c r="P356">
        <v>1.6</v>
      </c>
      <c r="Q356">
        <v>0.81299999999999994</v>
      </c>
      <c r="R356">
        <v>5.7</v>
      </c>
      <c r="S356">
        <v>2</v>
      </c>
      <c r="T356">
        <v>1.3</v>
      </c>
      <c r="U356">
        <v>0.9</v>
      </c>
      <c r="V356">
        <v>1.2</v>
      </c>
      <c r="W356">
        <v>2.7</v>
      </c>
      <c r="X356">
        <v>12.2</v>
      </c>
      <c r="Y356">
        <v>4</v>
      </c>
      <c r="Z356">
        <v>0</v>
      </c>
      <c r="AA356">
        <v>13.3</v>
      </c>
      <c r="AB356">
        <v>0.115</v>
      </c>
    </row>
    <row r="357" spans="1:28" x14ac:dyDescent="0.35">
      <c r="A357" s="1" t="s">
        <v>2</v>
      </c>
      <c r="B357" s="1" t="s">
        <v>597</v>
      </c>
      <c r="C357" s="1" t="s">
        <v>23</v>
      </c>
      <c r="D357" s="1" t="s">
        <v>20</v>
      </c>
      <c r="E357" s="4">
        <v>0</v>
      </c>
      <c r="F357">
        <v>23</v>
      </c>
      <c r="G357">
        <v>13</v>
      </c>
      <c r="H357">
        <v>24.5</v>
      </c>
      <c r="I357">
        <v>12.4</v>
      </c>
      <c r="J357">
        <v>0.435</v>
      </c>
      <c r="K357">
        <v>4.5999999999999996</v>
      </c>
      <c r="L357">
        <v>0.4</v>
      </c>
      <c r="M357">
        <v>7.8</v>
      </c>
      <c r="N357">
        <v>0.45500000000000002</v>
      </c>
      <c r="O357">
        <v>0.50900000000000001</v>
      </c>
      <c r="P357">
        <v>1.6</v>
      </c>
      <c r="Q357">
        <v>0.90500000000000003</v>
      </c>
      <c r="R357">
        <v>2.9</v>
      </c>
      <c r="S357">
        <v>3</v>
      </c>
      <c r="T357">
        <v>0.5</v>
      </c>
      <c r="U357">
        <v>0.3</v>
      </c>
      <c r="V357">
        <v>1.9</v>
      </c>
      <c r="W357">
        <v>1.8</v>
      </c>
      <c r="X357">
        <v>14.1</v>
      </c>
      <c r="Y357">
        <v>3</v>
      </c>
      <c r="Z357">
        <v>-2.4</v>
      </c>
      <c r="AA357">
        <v>13.3</v>
      </c>
      <c r="AB357">
        <v>1.9E-2</v>
      </c>
    </row>
    <row r="358" spans="1:28" x14ac:dyDescent="0.35">
      <c r="A358" s="1" t="s">
        <v>2</v>
      </c>
      <c r="B358" s="1" t="s">
        <v>597</v>
      </c>
      <c r="C358" s="1" t="s">
        <v>23</v>
      </c>
      <c r="D358" s="1" t="s">
        <v>28</v>
      </c>
      <c r="E358" s="4">
        <v>0.1</v>
      </c>
      <c r="F358">
        <v>28</v>
      </c>
      <c r="G358">
        <v>47</v>
      </c>
      <c r="H358">
        <v>17.7</v>
      </c>
      <c r="I358">
        <v>5.5</v>
      </c>
      <c r="J358">
        <v>0.39700000000000002</v>
      </c>
      <c r="K358">
        <v>4.5999999999999996</v>
      </c>
      <c r="L358">
        <v>0.39</v>
      </c>
      <c r="M358">
        <v>0.8</v>
      </c>
      <c r="N358">
        <v>0.436</v>
      </c>
      <c r="O358">
        <v>0.56200000000000006</v>
      </c>
      <c r="P358">
        <v>1.7</v>
      </c>
      <c r="Q358">
        <v>0.82099999999999995</v>
      </c>
      <c r="R358">
        <v>1.9</v>
      </c>
      <c r="S358">
        <v>1.3</v>
      </c>
      <c r="T358">
        <v>0.6</v>
      </c>
      <c r="U358">
        <v>0.3</v>
      </c>
      <c r="V358">
        <v>0.7</v>
      </c>
      <c r="W358">
        <v>1.7</v>
      </c>
      <c r="X358">
        <v>7.5</v>
      </c>
      <c r="Y358">
        <v>5</v>
      </c>
      <c r="Z358">
        <v>-1.6</v>
      </c>
      <c r="AA358">
        <v>11.2</v>
      </c>
      <c r="AB358">
        <v>8.6999999999999994E-2</v>
      </c>
    </row>
    <row r="359" spans="1:28" x14ac:dyDescent="0.35">
      <c r="A359" s="1" t="s">
        <v>26</v>
      </c>
      <c r="B359" s="1" t="s">
        <v>597</v>
      </c>
      <c r="C359" s="1" t="s">
        <v>23</v>
      </c>
      <c r="D359" s="1" t="s">
        <v>20</v>
      </c>
      <c r="E359" s="4">
        <v>-0.5</v>
      </c>
      <c r="F359">
        <v>20</v>
      </c>
      <c r="G359">
        <v>46</v>
      </c>
      <c r="H359">
        <v>22.7</v>
      </c>
      <c r="I359">
        <v>8.1</v>
      </c>
      <c r="J359">
        <v>0.35799999999999998</v>
      </c>
      <c r="K359">
        <v>5.7</v>
      </c>
      <c r="L359">
        <v>0.33300000000000002</v>
      </c>
      <c r="M359">
        <v>2.4</v>
      </c>
      <c r="N359">
        <v>0.41399999999999998</v>
      </c>
      <c r="O359">
        <v>0.47399999999999998</v>
      </c>
      <c r="P359">
        <v>1.7</v>
      </c>
      <c r="Q359">
        <v>0.83799999999999997</v>
      </c>
      <c r="R359">
        <v>3.9</v>
      </c>
      <c r="S359">
        <v>0.9</v>
      </c>
      <c r="T359">
        <v>0.5</v>
      </c>
      <c r="U359">
        <v>0.5</v>
      </c>
      <c r="V359">
        <v>1</v>
      </c>
      <c r="W359">
        <v>2.2999999999999998</v>
      </c>
      <c r="X359">
        <v>9.1</v>
      </c>
      <c r="Y359">
        <v>1</v>
      </c>
      <c r="Z359">
        <v>-4.0999999999999996</v>
      </c>
      <c r="AA359">
        <v>9.1999999999999993</v>
      </c>
      <c r="AB359">
        <v>2.3E-2</v>
      </c>
    </row>
    <row r="360" spans="1:28" x14ac:dyDescent="0.35">
      <c r="A360" s="1" t="s">
        <v>18</v>
      </c>
      <c r="B360" s="1" t="s">
        <v>598</v>
      </c>
      <c r="C360" s="1" t="s">
        <v>23</v>
      </c>
      <c r="D360" s="1" t="s">
        <v>20</v>
      </c>
      <c r="E360" s="4">
        <v>0.5</v>
      </c>
      <c r="F360">
        <v>34</v>
      </c>
      <c r="G360">
        <v>74</v>
      </c>
      <c r="H360">
        <v>17.600000000000001</v>
      </c>
      <c r="I360">
        <v>2.7</v>
      </c>
      <c r="J360">
        <v>0.61899999999999999</v>
      </c>
      <c r="K360">
        <v>0.1</v>
      </c>
      <c r="L360">
        <v>0</v>
      </c>
      <c r="M360">
        <v>2.7</v>
      </c>
      <c r="N360">
        <v>0.63100000000000001</v>
      </c>
      <c r="O360">
        <v>0.61899999999999999</v>
      </c>
      <c r="P360">
        <v>1.7</v>
      </c>
      <c r="Q360">
        <v>0.64800000000000002</v>
      </c>
      <c r="R360">
        <v>6.1</v>
      </c>
      <c r="S360">
        <v>1.8</v>
      </c>
      <c r="T360">
        <v>0.4</v>
      </c>
      <c r="U360">
        <v>0.6</v>
      </c>
      <c r="V360">
        <v>0.8</v>
      </c>
      <c r="W360">
        <v>2.1</v>
      </c>
      <c r="X360">
        <v>4.5</v>
      </c>
      <c r="Y360">
        <v>11</v>
      </c>
      <c r="Z360">
        <v>-0.6</v>
      </c>
      <c r="AA360">
        <v>14.8</v>
      </c>
      <c r="AB360">
        <v>0.13600000000000001</v>
      </c>
    </row>
    <row r="361" spans="1:28" x14ac:dyDescent="0.35">
      <c r="A361" s="1" t="s">
        <v>2</v>
      </c>
      <c r="B361" s="1" t="s">
        <v>597</v>
      </c>
      <c r="C361" s="1" t="s">
        <v>23</v>
      </c>
      <c r="D361" s="1" t="s">
        <v>50</v>
      </c>
      <c r="E361" s="4">
        <v>-0.1</v>
      </c>
      <c r="F361">
        <v>24</v>
      </c>
      <c r="G361">
        <v>58</v>
      </c>
      <c r="H361">
        <v>12.5</v>
      </c>
      <c r="I361">
        <v>5</v>
      </c>
      <c r="J361">
        <v>0.45700000000000002</v>
      </c>
      <c r="K361">
        <v>2.1</v>
      </c>
      <c r="L361">
        <v>0.33600000000000002</v>
      </c>
      <c r="M361">
        <v>2.9</v>
      </c>
      <c r="N361">
        <v>0.54400000000000004</v>
      </c>
      <c r="O361">
        <v>0.52700000000000002</v>
      </c>
      <c r="P361">
        <v>1.7</v>
      </c>
      <c r="Q361">
        <v>0.73499999999999999</v>
      </c>
      <c r="R361">
        <v>1.7</v>
      </c>
      <c r="S361">
        <v>1.4</v>
      </c>
      <c r="T361">
        <v>0.4</v>
      </c>
      <c r="U361">
        <v>0.2</v>
      </c>
      <c r="V361">
        <v>0.7</v>
      </c>
      <c r="W361">
        <v>1</v>
      </c>
      <c r="X361">
        <v>6.5</v>
      </c>
      <c r="Y361">
        <v>5</v>
      </c>
      <c r="Z361">
        <v>-2.4</v>
      </c>
      <c r="AA361">
        <v>13.8</v>
      </c>
      <c r="AB361">
        <v>7.4999999999999997E-2</v>
      </c>
    </row>
    <row r="362" spans="1:28" x14ac:dyDescent="0.35">
      <c r="A362" s="1" t="s">
        <v>26</v>
      </c>
      <c r="B362" s="1" t="s">
        <v>35</v>
      </c>
      <c r="C362" s="1" t="s">
        <v>23</v>
      </c>
      <c r="D362" s="1" t="s">
        <v>20</v>
      </c>
      <c r="E362" s="4">
        <v>0.8</v>
      </c>
      <c r="F362">
        <v>23</v>
      </c>
      <c r="G362">
        <v>66</v>
      </c>
      <c r="H362">
        <v>20.399999999999999</v>
      </c>
      <c r="I362">
        <v>5.0999999999999996</v>
      </c>
      <c r="J362">
        <v>0.47499999999999998</v>
      </c>
      <c r="K362">
        <v>2.2000000000000002</v>
      </c>
      <c r="L362">
        <v>0.42299999999999999</v>
      </c>
      <c r="M362">
        <v>3</v>
      </c>
      <c r="N362">
        <v>0.51300000000000001</v>
      </c>
      <c r="O362">
        <v>0.56399999999999995</v>
      </c>
      <c r="P362">
        <v>1.7</v>
      </c>
      <c r="Q362">
        <v>0.67800000000000005</v>
      </c>
      <c r="R362">
        <v>3.9</v>
      </c>
      <c r="S362">
        <v>2.4</v>
      </c>
      <c r="T362">
        <v>0.9</v>
      </c>
      <c r="U362">
        <v>0.3</v>
      </c>
      <c r="V362">
        <v>1.3</v>
      </c>
      <c r="W362">
        <v>2</v>
      </c>
      <c r="X362">
        <v>6.9</v>
      </c>
      <c r="Y362">
        <v>2</v>
      </c>
      <c r="Z362">
        <v>0.2</v>
      </c>
      <c r="AA362">
        <v>12.6</v>
      </c>
      <c r="AB362">
        <v>0.104</v>
      </c>
    </row>
    <row r="363" spans="1:28" x14ac:dyDescent="0.35">
      <c r="A363" s="1" t="s">
        <v>18</v>
      </c>
      <c r="B363" s="1" t="s">
        <v>597</v>
      </c>
      <c r="C363" s="1" t="s">
        <v>19</v>
      </c>
      <c r="D363" s="1" t="s">
        <v>50</v>
      </c>
      <c r="E363" s="4">
        <v>-0.2</v>
      </c>
      <c r="F363">
        <v>21</v>
      </c>
      <c r="G363">
        <v>58</v>
      </c>
      <c r="H363">
        <v>15.6</v>
      </c>
      <c r="I363">
        <v>3.3</v>
      </c>
      <c r="J363">
        <v>0.70299999999999996</v>
      </c>
      <c r="K363">
        <v>0</v>
      </c>
      <c r="L363">
        <v>0</v>
      </c>
      <c r="M363">
        <v>3.3</v>
      </c>
      <c r="N363">
        <v>0.70699999999999996</v>
      </c>
      <c r="O363">
        <v>0.70299999999999996</v>
      </c>
      <c r="P363">
        <v>1.7</v>
      </c>
      <c r="Q363">
        <v>0.67</v>
      </c>
      <c r="R363">
        <v>4.2</v>
      </c>
      <c r="S363">
        <v>0.5</v>
      </c>
      <c r="T363">
        <v>0.4</v>
      </c>
      <c r="U363">
        <v>1.2</v>
      </c>
      <c r="V363">
        <v>1.1000000000000001</v>
      </c>
      <c r="W363">
        <v>2.2000000000000002</v>
      </c>
      <c r="X363">
        <v>5.8</v>
      </c>
      <c r="Y363">
        <v>0</v>
      </c>
      <c r="Z363">
        <v>-2.7</v>
      </c>
      <c r="AA363">
        <v>16.5</v>
      </c>
      <c r="AB363">
        <v>0.121</v>
      </c>
    </row>
    <row r="364" spans="1:28" x14ac:dyDescent="0.35">
      <c r="A364" s="1" t="s">
        <v>26</v>
      </c>
      <c r="B364" s="1" t="s">
        <v>597</v>
      </c>
      <c r="C364" s="1" t="s">
        <v>19</v>
      </c>
      <c r="D364" s="1" t="s">
        <v>28</v>
      </c>
      <c r="E364" s="4">
        <v>0.9</v>
      </c>
      <c r="F364">
        <v>32</v>
      </c>
      <c r="G364">
        <v>50</v>
      </c>
      <c r="H364">
        <v>17.2</v>
      </c>
      <c r="I364">
        <v>7.4</v>
      </c>
      <c r="J364">
        <v>0.49199999999999999</v>
      </c>
      <c r="K364">
        <v>3.9</v>
      </c>
      <c r="L364">
        <v>0.36299999999999999</v>
      </c>
      <c r="M364">
        <v>3.5</v>
      </c>
      <c r="N364">
        <v>0.63300000000000001</v>
      </c>
      <c r="O364">
        <v>0.58599999999999997</v>
      </c>
      <c r="P364">
        <v>1.7</v>
      </c>
      <c r="Q364">
        <v>0.78200000000000003</v>
      </c>
      <c r="R364">
        <v>4.5</v>
      </c>
      <c r="S364">
        <v>0.7</v>
      </c>
      <c r="T364">
        <v>0.5</v>
      </c>
      <c r="U364">
        <v>0.5</v>
      </c>
      <c r="V364">
        <v>0.6</v>
      </c>
      <c r="W364">
        <v>1.4</v>
      </c>
      <c r="X364">
        <v>10</v>
      </c>
      <c r="Y364">
        <v>7</v>
      </c>
      <c r="Z364">
        <v>2.2999999999999998</v>
      </c>
      <c r="AA364">
        <v>18.7</v>
      </c>
      <c r="AB364">
        <v>0.14799999999999999</v>
      </c>
    </row>
    <row r="365" spans="1:28" x14ac:dyDescent="0.35">
      <c r="A365" s="1" t="s">
        <v>2</v>
      </c>
      <c r="B365" s="1" t="s">
        <v>597</v>
      </c>
      <c r="C365" s="1" t="s">
        <v>23</v>
      </c>
      <c r="D365" s="1" t="s">
        <v>50</v>
      </c>
      <c r="E365" s="4">
        <v>-0.1</v>
      </c>
      <c r="F365">
        <v>24</v>
      </c>
      <c r="G365">
        <v>20</v>
      </c>
      <c r="H365">
        <v>13.3</v>
      </c>
      <c r="I365">
        <v>5.3</v>
      </c>
      <c r="J365">
        <v>0.39</v>
      </c>
      <c r="K365">
        <v>1.7</v>
      </c>
      <c r="L365">
        <v>0.39400000000000002</v>
      </c>
      <c r="M365">
        <v>3.6</v>
      </c>
      <c r="N365">
        <v>0.38900000000000001</v>
      </c>
      <c r="O365">
        <v>0.45200000000000001</v>
      </c>
      <c r="P365">
        <v>1.7</v>
      </c>
      <c r="Q365">
        <v>0.73499999999999999</v>
      </c>
      <c r="R365">
        <v>1.6</v>
      </c>
      <c r="S365">
        <v>1.4</v>
      </c>
      <c r="T365">
        <v>0.6</v>
      </c>
      <c r="U365">
        <v>0</v>
      </c>
      <c r="V365">
        <v>0.9</v>
      </c>
      <c r="W365">
        <v>1.1000000000000001</v>
      </c>
      <c r="X365">
        <v>6</v>
      </c>
      <c r="Y365">
        <v>1</v>
      </c>
      <c r="Z365">
        <v>-4</v>
      </c>
      <c r="AA365">
        <v>10.9</v>
      </c>
      <c r="AB365">
        <v>0.01</v>
      </c>
    </row>
    <row r="366" spans="1:28" x14ac:dyDescent="0.35">
      <c r="A366" s="1" t="s">
        <v>2</v>
      </c>
      <c r="B366" s="1" t="s">
        <v>598</v>
      </c>
      <c r="C366" s="1" t="s">
        <v>23</v>
      </c>
      <c r="D366" s="1" t="s">
        <v>50</v>
      </c>
      <c r="E366" s="4">
        <v>-0.1</v>
      </c>
      <c r="F366">
        <v>21</v>
      </c>
      <c r="G366">
        <v>79</v>
      </c>
      <c r="H366">
        <v>25.9</v>
      </c>
      <c r="I366">
        <v>8.6</v>
      </c>
      <c r="J366">
        <v>0.42499999999999999</v>
      </c>
      <c r="K366">
        <v>5</v>
      </c>
      <c r="L366">
        <v>0.35199999999999998</v>
      </c>
      <c r="M366">
        <v>3.6</v>
      </c>
      <c r="N366">
        <v>0.52500000000000002</v>
      </c>
      <c r="O366">
        <v>0.52700000000000002</v>
      </c>
      <c r="P366">
        <v>1.7</v>
      </c>
      <c r="Q366">
        <v>0.82199999999999995</v>
      </c>
      <c r="R366">
        <v>3.4</v>
      </c>
      <c r="S366">
        <v>1.7</v>
      </c>
      <c r="T366">
        <v>0.6</v>
      </c>
      <c r="U366">
        <v>0.1</v>
      </c>
      <c r="V366">
        <v>0.9</v>
      </c>
      <c r="W366">
        <v>1.8</v>
      </c>
      <c r="X366">
        <v>10.4</v>
      </c>
      <c r="Y366">
        <v>0</v>
      </c>
      <c r="Z366">
        <v>-2.2000000000000002</v>
      </c>
      <c r="AA366">
        <v>10.5</v>
      </c>
      <c r="AB366">
        <v>8.3000000000000004E-2</v>
      </c>
    </row>
    <row r="367" spans="1:28" x14ac:dyDescent="0.35">
      <c r="A367" s="1" t="s">
        <v>2</v>
      </c>
      <c r="B367" s="1" t="s">
        <v>597</v>
      </c>
      <c r="C367" s="1" t="s">
        <v>23</v>
      </c>
      <c r="D367" s="1" t="s">
        <v>20</v>
      </c>
      <c r="E367" s="4">
        <v>1.6</v>
      </c>
      <c r="F367">
        <v>28</v>
      </c>
      <c r="G367">
        <v>82</v>
      </c>
      <c r="H367">
        <v>27.8</v>
      </c>
      <c r="I367">
        <v>13.1</v>
      </c>
      <c r="J367">
        <v>0.43</v>
      </c>
      <c r="K367">
        <v>9.3000000000000007</v>
      </c>
      <c r="L367">
        <v>0.41599999999999998</v>
      </c>
      <c r="M367">
        <v>3.7</v>
      </c>
      <c r="N367">
        <v>0.46600000000000003</v>
      </c>
      <c r="O367">
        <v>0.57899999999999996</v>
      </c>
      <c r="P367">
        <v>1.7</v>
      </c>
      <c r="Q367">
        <v>0.67900000000000005</v>
      </c>
      <c r="R367">
        <v>2.6</v>
      </c>
      <c r="S367">
        <v>1.7</v>
      </c>
      <c r="T367">
        <v>0.9</v>
      </c>
      <c r="U367">
        <v>0.1</v>
      </c>
      <c r="V367">
        <v>1</v>
      </c>
      <c r="W367">
        <v>1.5</v>
      </c>
      <c r="X367">
        <v>16.3</v>
      </c>
      <c r="Y367">
        <v>8</v>
      </c>
      <c r="Z367">
        <v>0.8</v>
      </c>
      <c r="AA367">
        <v>14.4</v>
      </c>
      <c r="AB367">
        <v>0.1</v>
      </c>
    </row>
    <row r="368" spans="1:28" x14ac:dyDescent="0.35">
      <c r="A368" s="1" t="s">
        <v>2</v>
      </c>
      <c r="B368" s="1" t="s">
        <v>597</v>
      </c>
      <c r="C368" s="1" t="s">
        <v>23</v>
      </c>
      <c r="D368" s="1" t="s">
        <v>20</v>
      </c>
      <c r="E368" s="4">
        <v>0.7</v>
      </c>
      <c r="F368">
        <v>24</v>
      </c>
      <c r="G368">
        <v>67</v>
      </c>
      <c r="H368">
        <v>18.399999999999999</v>
      </c>
      <c r="I368">
        <v>8.1</v>
      </c>
      <c r="J368">
        <v>0.42399999999999999</v>
      </c>
      <c r="K368">
        <v>3.3</v>
      </c>
      <c r="L368">
        <v>0.35299999999999998</v>
      </c>
      <c r="M368">
        <v>4.9000000000000004</v>
      </c>
      <c r="N368">
        <v>0.47099999999999997</v>
      </c>
      <c r="O368">
        <v>0.49399999999999999</v>
      </c>
      <c r="P368">
        <v>1.7</v>
      </c>
      <c r="Q368">
        <v>0.82299999999999995</v>
      </c>
      <c r="R368">
        <v>3</v>
      </c>
      <c r="S368">
        <v>2.9</v>
      </c>
      <c r="T368">
        <v>0.7</v>
      </c>
      <c r="U368">
        <v>0.5</v>
      </c>
      <c r="V368">
        <v>1.5</v>
      </c>
      <c r="W368">
        <v>2.2999999999999998</v>
      </c>
      <c r="X368">
        <v>9.4</v>
      </c>
      <c r="Y368">
        <v>4</v>
      </c>
      <c r="Z368">
        <v>0.1</v>
      </c>
      <c r="AA368">
        <v>14.2</v>
      </c>
      <c r="AB368">
        <v>7.8E-2</v>
      </c>
    </row>
    <row r="369" spans="1:28" x14ac:dyDescent="0.35">
      <c r="A369" s="1" t="s">
        <v>18</v>
      </c>
      <c r="B369" s="1" t="s">
        <v>597</v>
      </c>
      <c r="C369" s="1" t="s">
        <v>23</v>
      </c>
      <c r="D369" s="1" t="s">
        <v>20</v>
      </c>
      <c r="E369" s="4">
        <v>1.8</v>
      </c>
      <c r="F369">
        <v>36</v>
      </c>
      <c r="G369">
        <v>80</v>
      </c>
      <c r="H369">
        <v>31.8</v>
      </c>
      <c r="I369">
        <v>9.6999999999999993</v>
      </c>
      <c r="J369">
        <v>0.50900000000000001</v>
      </c>
      <c r="K369">
        <v>4.7</v>
      </c>
      <c r="L369">
        <v>0.373</v>
      </c>
      <c r="M369">
        <v>5</v>
      </c>
      <c r="N369">
        <v>0.63600000000000001</v>
      </c>
      <c r="O369">
        <v>0.59899999999999998</v>
      </c>
      <c r="P369">
        <v>1.7</v>
      </c>
      <c r="Q369">
        <v>0.82599999999999996</v>
      </c>
      <c r="R369">
        <v>5</v>
      </c>
      <c r="S369">
        <v>1.8</v>
      </c>
      <c r="T369">
        <v>0.6</v>
      </c>
      <c r="U369">
        <v>1.9</v>
      </c>
      <c r="V369">
        <v>1.1000000000000001</v>
      </c>
      <c r="W369">
        <v>2.1</v>
      </c>
      <c r="X369">
        <v>13</v>
      </c>
      <c r="Y369">
        <v>16</v>
      </c>
      <c r="Z369">
        <v>0.8</v>
      </c>
      <c r="AA369">
        <v>14.8</v>
      </c>
      <c r="AB369">
        <v>0.124</v>
      </c>
    </row>
    <row r="370" spans="1:28" x14ac:dyDescent="0.35">
      <c r="A370" s="1" t="s">
        <v>2</v>
      </c>
      <c r="B370" s="1" t="s">
        <v>597</v>
      </c>
      <c r="C370" s="1" t="s">
        <v>23</v>
      </c>
      <c r="D370" s="1" t="s">
        <v>20</v>
      </c>
      <c r="E370" s="4">
        <v>-0.7</v>
      </c>
      <c r="F370">
        <v>30</v>
      </c>
      <c r="G370">
        <v>64</v>
      </c>
      <c r="H370">
        <v>25.9</v>
      </c>
      <c r="I370">
        <v>9.9</v>
      </c>
      <c r="J370">
        <v>0.39100000000000001</v>
      </c>
      <c r="K370">
        <v>4.8</v>
      </c>
      <c r="L370">
        <v>0.29499999999999998</v>
      </c>
      <c r="M370">
        <v>5.0999999999999996</v>
      </c>
      <c r="N370">
        <v>0.48</v>
      </c>
      <c r="O370">
        <v>0.46200000000000002</v>
      </c>
      <c r="P370">
        <v>1.7</v>
      </c>
      <c r="Q370">
        <v>0.85199999999999998</v>
      </c>
      <c r="R370">
        <v>3.7</v>
      </c>
      <c r="S370">
        <v>2.6</v>
      </c>
      <c r="T370">
        <v>0.6</v>
      </c>
      <c r="U370">
        <v>0.2</v>
      </c>
      <c r="V370">
        <v>1.2</v>
      </c>
      <c r="W370">
        <v>1.1000000000000001</v>
      </c>
      <c r="X370">
        <v>10.6</v>
      </c>
      <c r="Y370">
        <v>9</v>
      </c>
      <c r="Z370">
        <v>-3.7</v>
      </c>
      <c r="AA370">
        <v>10.5</v>
      </c>
      <c r="AB370">
        <v>2.9000000000000001E-2</v>
      </c>
    </row>
    <row r="371" spans="1:28" x14ac:dyDescent="0.35">
      <c r="A371" s="1" t="s">
        <v>2</v>
      </c>
      <c r="B371" s="1" t="s">
        <v>597</v>
      </c>
      <c r="C371" s="1" t="s">
        <v>23</v>
      </c>
      <c r="D371" s="1" t="s">
        <v>50</v>
      </c>
      <c r="E371" s="4">
        <v>0.1</v>
      </c>
      <c r="F371">
        <v>25</v>
      </c>
      <c r="G371">
        <v>46</v>
      </c>
      <c r="H371">
        <v>30.3</v>
      </c>
      <c r="I371">
        <v>9.8000000000000007</v>
      </c>
      <c r="J371">
        <v>0.49199999999999999</v>
      </c>
      <c r="K371">
        <v>4.0999999999999996</v>
      </c>
      <c r="L371">
        <v>0.32800000000000001</v>
      </c>
      <c r="M371">
        <v>5.7</v>
      </c>
      <c r="N371">
        <v>0.61199999999999999</v>
      </c>
      <c r="O371">
        <v>0.56100000000000005</v>
      </c>
      <c r="P371">
        <v>1.7</v>
      </c>
      <c r="Q371">
        <v>0.78500000000000003</v>
      </c>
      <c r="R371">
        <v>3.5</v>
      </c>
      <c r="S371">
        <v>4.5</v>
      </c>
      <c r="T371">
        <v>0.9</v>
      </c>
      <c r="U371">
        <v>0.4</v>
      </c>
      <c r="V371">
        <v>1.5</v>
      </c>
      <c r="W371">
        <v>2.2999999999999998</v>
      </c>
      <c r="X371">
        <v>12.3</v>
      </c>
      <c r="Y371">
        <v>3</v>
      </c>
      <c r="Z371">
        <v>-1.6</v>
      </c>
      <c r="AA371">
        <v>12.8</v>
      </c>
      <c r="AB371">
        <v>8.6999999999999994E-2</v>
      </c>
    </row>
    <row r="372" spans="1:28" x14ac:dyDescent="0.35">
      <c r="A372" s="1" t="s">
        <v>2</v>
      </c>
      <c r="B372" s="1" t="s">
        <v>598</v>
      </c>
      <c r="C372" s="1" t="s">
        <v>23</v>
      </c>
      <c r="D372" s="1" t="s">
        <v>20</v>
      </c>
      <c r="E372" s="4">
        <v>0.7</v>
      </c>
      <c r="F372">
        <v>29</v>
      </c>
      <c r="G372">
        <v>64</v>
      </c>
      <c r="H372">
        <v>24.1</v>
      </c>
      <c r="I372">
        <v>7.6</v>
      </c>
      <c r="J372">
        <v>0.44800000000000001</v>
      </c>
      <c r="K372">
        <v>5.5</v>
      </c>
      <c r="L372">
        <v>0.42599999999999999</v>
      </c>
      <c r="M372">
        <v>2.2000000000000002</v>
      </c>
      <c r="N372">
        <v>0.504</v>
      </c>
      <c r="O372">
        <v>0.6</v>
      </c>
      <c r="P372">
        <v>1.8</v>
      </c>
      <c r="Q372">
        <v>0.81599999999999995</v>
      </c>
      <c r="R372">
        <v>3</v>
      </c>
      <c r="S372">
        <v>2.1</v>
      </c>
      <c r="T372">
        <v>0.8</v>
      </c>
      <c r="U372">
        <v>0.3</v>
      </c>
      <c r="V372">
        <v>1.2</v>
      </c>
      <c r="W372">
        <v>1.5</v>
      </c>
      <c r="X372">
        <v>10.6</v>
      </c>
      <c r="Y372">
        <v>6</v>
      </c>
      <c r="Z372">
        <v>-0.3</v>
      </c>
      <c r="AA372">
        <v>13.7</v>
      </c>
      <c r="AB372">
        <v>7.9000000000000001E-2</v>
      </c>
    </row>
    <row r="373" spans="1:28" x14ac:dyDescent="0.35">
      <c r="A373" s="1" t="s">
        <v>2</v>
      </c>
      <c r="B373" s="1" t="s">
        <v>597</v>
      </c>
      <c r="C373" s="1" t="s">
        <v>23</v>
      </c>
      <c r="D373" s="1" t="s">
        <v>20</v>
      </c>
      <c r="E373" s="4">
        <v>-0.1</v>
      </c>
      <c r="F373">
        <v>21</v>
      </c>
      <c r="G373">
        <v>10</v>
      </c>
      <c r="H373">
        <v>12.4</v>
      </c>
      <c r="I373">
        <v>4.7</v>
      </c>
      <c r="J373">
        <v>0.38300000000000001</v>
      </c>
      <c r="K373">
        <v>1.9</v>
      </c>
      <c r="L373">
        <v>0.21099999999999999</v>
      </c>
      <c r="M373">
        <v>2.8</v>
      </c>
      <c r="N373">
        <v>0.5</v>
      </c>
      <c r="O373">
        <v>0.42599999999999999</v>
      </c>
      <c r="P373">
        <v>1.8</v>
      </c>
      <c r="Q373">
        <v>0.72199999999999998</v>
      </c>
      <c r="R373">
        <v>2.1</v>
      </c>
      <c r="S373">
        <v>1.7</v>
      </c>
      <c r="T373">
        <v>0.3</v>
      </c>
      <c r="U373">
        <v>0.2</v>
      </c>
      <c r="V373">
        <v>0.8</v>
      </c>
      <c r="W373">
        <v>0.9</v>
      </c>
      <c r="X373">
        <v>5.3</v>
      </c>
      <c r="Y373">
        <v>1</v>
      </c>
      <c r="Z373">
        <v>-4</v>
      </c>
      <c r="AA373">
        <v>10.5</v>
      </c>
      <c r="AB373">
        <v>1.7999999999999999E-2</v>
      </c>
    </row>
    <row r="374" spans="1:28" x14ac:dyDescent="0.35">
      <c r="A374" s="1" t="s">
        <v>2</v>
      </c>
      <c r="B374" s="1" t="s">
        <v>598</v>
      </c>
      <c r="C374" s="1" t="s">
        <v>23</v>
      </c>
      <c r="D374" s="1" t="s">
        <v>20</v>
      </c>
      <c r="E374" s="4">
        <v>0.5</v>
      </c>
      <c r="F374">
        <v>22</v>
      </c>
      <c r="G374">
        <v>74</v>
      </c>
      <c r="H374">
        <v>22.3</v>
      </c>
      <c r="I374">
        <v>7.7</v>
      </c>
      <c r="J374">
        <v>0.433</v>
      </c>
      <c r="K374">
        <v>4.5999999999999996</v>
      </c>
      <c r="L374">
        <v>0.374</v>
      </c>
      <c r="M374">
        <v>3.1</v>
      </c>
      <c r="N374">
        <v>0.51900000000000002</v>
      </c>
      <c r="O374">
        <v>0.54400000000000004</v>
      </c>
      <c r="P374">
        <v>1.8</v>
      </c>
      <c r="Q374">
        <v>0.79700000000000004</v>
      </c>
      <c r="R374">
        <v>2.6</v>
      </c>
      <c r="S374">
        <v>1.3</v>
      </c>
      <c r="T374">
        <v>0.8</v>
      </c>
      <c r="U374">
        <v>0.4</v>
      </c>
      <c r="V374">
        <v>0.7</v>
      </c>
      <c r="W374">
        <v>1.6</v>
      </c>
      <c r="X374">
        <v>9.8000000000000007</v>
      </c>
      <c r="Y374">
        <v>3</v>
      </c>
      <c r="Z374">
        <v>-0.9</v>
      </c>
      <c r="AA374">
        <v>12.4</v>
      </c>
      <c r="AB374">
        <v>0.10199999999999999</v>
      </c>
    </row>
    <row r="375" spans="1:28" x14ac:dyDescent="0.35">
      <c r="A375" s="1" t="s">
        <v>2</v>
      </c>
      <c r="B375" s="1" t="s">
        <v>35</v>
      </c>
      <c r="C375" s="1" t="s">
        <v>23</v>
      </c>
      <c r="D375" s="1" t="s">
        <v>28</v>
      </c>
      <c r="E375" s="4">
        <v>0.1</v>
      </c>
      <c r="F375">
        <v>25</v>
      </c>
      <c r="G375">
        <v>14</v>
      </c>
      <c r="H375">
        <v>16.2</v>
      </c>
      <c r="I375">
        <v>6.2</v>
      </c>
      <c r="J375">
        <v>0.48299999999999998</v>
      </c>
      <c r="K375">
        <v>2.8</v>
      </c>
      <c r="L375">
        <v>0.308</v>
      </c>
      <c r="M375">
        <v>3.4</v>
      </c>
      <c r="N375">
        <v>0.625</v>
      </c>
      <c r="O375">
        <v>0.55200000000000005</v>
      </c>
      <c r="P375">
        <v>1.8</v>
      </c>
      <c r="Q375">
        <v>0.88</v>
      </c>
      <c r="R375">
        <v>3</v>
      </c>
      <c r="S375">
        <v>1.1000000000000001</v>
      </c>
      <c r="T375">
        <v>0.7</v>
      </c>
      <c r="U375">
        <v>0.1</v>
      </c>
      <c r="V375">
        <v>0.6</v>
      </c>
      <c r="W375">
        <v>1.4</v>
      </c>
      <c r="X375">
        <v>8.4</v>
      </c>
      <c r="Y375">
        <v>2</v>
      </c>
      <c r="Z375">
        <v>-0.5</v>
      </c>
      <c r="AA375">
        <v>16.399999999999999</v>
      </c>
      <c r="AB375">
        <v>0.13100000000000001</v>
      </c>
    </row>
    <row r="376" spans="1:28" x14ac:dyDescent="0.35">
      <c r="A376" s="1" t="s">
        <v>2</v>
      </c>
      <c r="B376" s="1" t="s">
        <v>598</v>
      </c>
      <c r="C376" s="1" t="s">
        <v>23</v>
      </c>
      <c r="D376" s="1" t="s">
        <v>28</v>
      </c>
      <c r="E376" s="4">
        <v>0.1</v>
      </c>
      <c r="F376">
        <v>27</v>
      </c>
      <c r="G376">
        <v>72</v>
      </c>
      <c r="H376">
        <v>24.3</v>
      </c>
      <c r="I376">
        <v>7.1</v>
      </c>
      <c r="J376">
        <v>0.47099999999999997</v>
      </c>
      <c r="K376">
        <v>3.4</v>
      </c>
      <c r="L376">
        <v>0.40899999999999997</v>
      </c>
      <c r="M376">
        <v>3.7</v>
      </c>
      <c r="N376">
        <v>0.52900000000000003</v>
      </c>
      <c r="O376">
        <v>0.56999999999999995</v>
      </c>
      <c r="P376">
        <v>1.8</v>
      </c>
      <c r="Q376">
        <v>0.89100000000000001</v>
      </c>
      <c r="R376">
        <v>2.2000000000000002</v>
      </c>
      <c r="S376">
        <v>1.1000000000000001</v>
      </c>
      <c r="T376">
        <v>0.6</v>
      </c>
      <c r="U376">
        <v>0.1</v>
      </c>
      <c r="V376">
        <v>0.6</v>
      </c>
      <c r="W376">
        <v>1.7</v>
      </c>
      <c r="X376">
        <v>9.6999999999999993</v>
      </c>
      <c r="Y376">
        <v>5</v>
      </c>
      <c r="Z376">
        <v>-1.7</v>
      </c>
      <c r="AA376">
        <v>11.2</v>
      </c>
      <c r="AB376">
        <v>0.111</v>
      </c>
    </row>
    <row r="377" spans="1:28" x14ac:dyDescent="0.35">
      <c r="A377" s="1" t="s">
        <v>18</v>
      </c>
      <c r="B377" s="1" t="s">
        <v>598</v>
      </c>
      <c r="C377" s="1" t="s">
        <v>23</v>
      </c>
      <c r="D377" s="1" t="s">
        <v>20</v>
      </c>
      <c r="E377" s="4">
        <v>0.5</v>
      </c>
      <c r="F377">
        <v>24</v>
      </c>
      <c r="G377">
        <v>56</v>
      </c>
      <c r="H377">
        <v>19.5</v>
      </c>
      <c r="I377">
        <v>4</v>
      </c>
      <c r="J377">
        <v>0.72199999999999998</v>
      </c>
      <c r="K377">
        <v>0.1</v>
      </c>
      <c r="L377">
        <v>0</v>
      </c>
      <c r="M377">
        <v>3.9</v>
      </c>
      <c r="N377">
        <v>0.73199999999999998</v>
      </c>
      <c r="O377">
        <v>0.72199999999999998</v>
      </c>
      <c r="P377">
        <v>1.8</v>
      </c>
      <c r="Q377">
        <v>0.622</v>
      </c>
      <c r="R377">
        <v>4.8</v>
      </c>
      <c r="S377">
        <v>1</v>
      </c>
      <c r="T377">
        <v>0.6</v>
      </c>
      <c r="U377">
        <v>0.9</v>
      </c>
      <c r="V377">
        <v>0.8</v>
      </c>
      <c r="W377">
        <v>2.4</v>
      </c>
      <c r="X377">
        <v>6.8</v>
      </c>
      <c r="Y377">
        <v>5</v>
      </c>
      <c r="Z377">
        <v>-0.3</v>
      </c>
      <c r="AA377">
        <v>15.8</v>
      </c>
      <c r="AB377">
        <v>0.16200000000000001</v>
      </c>
    </row>
    <row r="378" spans="1:28" x14ac:dyDescent="0.35">
      <c r="A378" s="1" t="s">
        <v>2</v>
      </c>
      <c r="B378" s="1" t="s">
        <v>598</v>
      </c>
      <c r="C378" s="1" t="s">
        <v>23</v>
      </c>
      <c r="D378" s="1" t="s">
        <v>20</v>
      </c>
      <c r="E378" s="4">
        <v>-1.2</v>
      </c>
      <c r="F378">
        <v>22</v>
      </c>
      <c r="G378">
        <v>56</v>
      </c>
      <c r="H378">
        <v>23.6</v>
      </c>
      <c r="I378">
        <v>9.9</v>
      </c>
      <c r="J378">
        <v>0.372</v>
      </c>
      <c r="K378">
        <v>5.9</v>
      </c>
      <c r="L378">
        <v>0.33100000000000002</v>
      </c>
      <c r="M378">
        <v>4</v>
      </c>
      <c r="N378">
        <v>0.433</v>
      </c>
      <c r="O378">
        <v>0.47099999999999997</v>
      </c>
      <c r="P378">
        <v>1.8</v>
      </c>
      <c r="Q378">
        <v>0.81599999999999995</v>
      </c>
      <c r="R378">
        <v>2.8</v>
      </c>
      <c r="S378">
        <v>1.2</v>
      </c>
      <c r="T378">
        <v>0.5</v>
      </c>
      <c r="U378">
        <v>0.4</v>
      </c>
      <c r="V378">
        <v>1</v>
      </c>
      <c r="W378">
        <v>0.9</v>
      </c>
      <c r="X378">
        <v>10.8</v>
      </c>
      <c r="Y378">
        <v>1</v>
      </c>
      <c r="Z378">
        <v>-5.4</v>
      </c>
      <c r="AA378">
        <v>9.6</v>
      </c>
      <c r="AB378">
        <v>-0.02</v>
      </c>
    </row>
    <row r="379" spans="1:28" x14ac:dyDescent="0.35">
      <c r="A379" s="1" t="s">
        <v>26</v>
      </c>
      <c r="B379" s="1" t="s">
        <v>597</v>
      </c>
      <c r="C379" s="1" t="s">
        <v>23</v>
      </c>
      <c r="D379" s="1" t="s">
        <v>20</v>
      </c>
      <c r="E379" s="4">
        <v>0.4</v>
      </c>
      <c r="F379">
        <v>25</v>
      </c>
      <c r="G379">
        <v>45</v>
      </c>
      <c r="H379">
        <v>24.9</v>
      </c>
      <c r="I379">
        <v>8.4</v>
      </c>
      <c r="J379">
        <v>0.50700000000000001</v>
      </c>
      <c r="K379">
        <v>4.3</v>
      </c>
      <c r="L379">
        <v>0.43099999999999999</v>
      </c>
      <c r="M379">
        <v>4.0999999999999996</v>
      </c>
      <c r="N379">
        <v>0.58699999999999997</v>
      </c>
      <c r="O379">
        <v>0.61699999999999999</v>
      </c>
      <c r="P379">
        <v>1.8</v>
      </c>
      <c r="Q379">
        <v>0.91300000000000003</v>
      </c>
      <c r="R379">
        <v>4</v>
      </c>
      <c r="S379">
        <v>1.2</v>
      </c>
      <c r="T379">
        <v>0.8</v>
      </c>
      <c r="U379">
        <v>0.4</v>
      </c>
      <c r="V379">
        <v>0.8</v>
      </c>
      <c r="W379">
        <v>2.5</v>
      </c>
      <c r="X379">
        <v>12</v>
      </c>
      <c r="Y379">
        <v>4</v>
      </c>
      <c r="Z379">
        <v>-0.5</v>
      </c>
      <c r="AA379">
        <v>14.6</v>
      </c>
      <c r="AB379">
        <v>0.126</v>
      </c>
    </row>
    <row r="380" spans="1:28" x14ac:dyDescent="0.35">
      <c r="A380" s="1" t="s">
        <v>2</v>
      </c>
      <c r="B380" s="1" t="s">
        <v>597</v>
      </c>
      <c r="C380" s="1" t="s">
        <v>23</v>
      </c>
      <c r="D380" s="1" t="s">
        <v>20</v>
      </c>
      <c r="E380" s="4">
        <v>-0.6</v>
      </c>
      <c r="F380">
        <v>22</v>
      </c>
      <c r="G380">
        <v>79</v>
      </c>
      <c r="H380">
        <v>24.4</v>
      </c>
      <c r="I380">
        <v>9.9</v>
      </c>
      <c r="J380">
        <v>0.38900000000000001</v>
      </c>
      <c r="K380">
        <v>5.0999999999999996</v>
      </c>
      <c r="L380">
        <v>0.314</v>
      </c>
      <c r="M380">
        <v>4.8</v>
      </c>
      <c r="N380">
        <v>0.46800000000000003</v>
      </c>
      <c r="O380">
        <v>0.47</v>
      </c>
      <c r="P380">
        <v>1.8</v>
      </c>
      <c r="Q380">
        <v>0.77</v>
      </c>
      <c r="R380">
        <v>3.8</v>
      </c>
      <c r="S380">
        <v>2.2000000000000002</v>
      </c>
      <c r="T380">
        <v>1</v>
      </c>
      <c r="U380">
        <v>0.4</v>
      </c>
      <c r="V380">
        <v>1.5</v>
      </c>
      <c r="W380">
        <v>2.6</v>
      </c>
      <c r="X380">
        <v>10.6</v>
      </c>
      <c r="Y380">
        <v>3</v>
      </c>
      <c r="Z380">
        <v>-3.3</v>
      </c>
      <c r="AA380">
        <v>10.4</v>
      </c>
      <c r="AB380">
        <v>1.4E-2</v>
      </c>
    </row>
    <row r="381" spans="1:28" x14ac:dyDescent="0.35">
      <c r="A381" s="1" t="s">
        <v>18</v>
      </c>
      <c r="B381" s="1" t="s">
        <v>598</v>
      </c>
      <c r="C381" s="1" t="s">
        <v>23</v>
      </c>
      <c r="D381" s="1" t="s">
        <v>28</v>
      </c>
      <c r="E381" s="4">
        <v>2</v>
      </c>
      <c r="F381">
        <v>25</v>
      </c>
      <c r="G381">
        <v>80</v>
      </c>
      <c r="H381">
        <v>27.5</v>
      </c>
      <c r="I381">
        <v>11.5</v>
      </c>
      <c r="J381">
        <v>0.46200000000000002</v>
      </c>
      <c r="K381">
        <v>5.8</v>
      </c>
      <c r="L381">
        <v>0.379</v>
      </c>
      <c r="M381">
        <v>5.8</v>
      </c>
      <c r="N381">
        <v>0.54400000000000004</v>
      </c>
      <c r="O381">
        <v>0.55600000000000005</v>
      </c>
      <c r="P381">
        <v>1.8</v>
      </c>
      <c r="Q381">
        <v>0.77600000000000002</v>
      </c>
      <c r="R381">
        <v>6</v>
      </c>
      <c r="S381">
        <v>2.2999999999999998</v>
      </c>
      <c r="T381">
        <v>0.7</v>
      </c>
      <c r="U381">
        <v>0.9</v>
      </c>
      <c r="V381">
        <v>1.4</v>
      </c>
      <c r="W381">
        <v>2.4</v>
      </c>
      <c r="X381">
        <v>14.2</v>
      </c>
      <c r="Y381">
        <v>5</v>
      </c>
      <c r="Z381">
        <v>1.6</v>
      </c>
      <c r="AA381">
        <v>15.8</v>
      </c>
      <c r="AB381">
        <v>0.125</v>
      </c>
    </row>
    <row r="382" spans="1:28" x14ac:dyDescent="0.35">
      <c r="A382" s="1" t="s">
        <v>26</v>
      </c>
      <c r="B382" s="1" t="s">
        <v>598</v>
      </c>
      <c r="C382" s="1" t="s">
        <v>23</v>
      </c>
      <c r="D382" s="1" t="s">
        <v>20</v>
      </c>
      <c r="E382" s="4">
        <v>2</v>
      </c>
      <c r="F382">
        <v>23</v>
      </c>
      <c r="G382">
        <v>57</v>
      </c>
      <c r="H382">
        <v>24.9</v>
      </c>
      <c r="I382">
        <v>9.8000000000000007</v>
      </c>
      <c r="J382">
        <v>0.48699999999999999</v>
      </c>
      <c r="K382">
        <v>3.2</v>
      </c>
      <c r="L382">
        <v>0.34200000000000003</v>
      </c>
      <c r="M382">
        <v>6.6</v>
      </c>
      <c r="N382">
        <v>0.55700000000000005</v>
      </c>
      <c r="O382">
        <v>0.54300000000000004</v>
      </c>
      <c r="P382">
        <v>1.8</v>
      </c>
      <c r="Q382">
        <v>0.76</v>
      </c>
      <c r="R382">
        <v>6.4</v>
      </c>
      <c r="S382">
        <v>1.5</v>
      </c>
      <c r="T382">
        <v>1.7</v>
      </c>
      <c r="U382">
        <v>0.9</v>
      </c>
      <c r="V382">
        <v>1.1000000000000001</v>
      </c>
      <c r="W382">
        <v>2.4</v>
      </c>
      <c r="X382">
        <v>12</v>
      </c>
      <c r="Y382">
        <v>2</v>
      </c>
      <c r="Z382">
        <v>3.6</v>
      </c>
      <c r="AA382">
        <v>18.5</v>
      </c>
      <c r="AB382">
        <v>0.16900000000000001</v>
      </c>
    </row>
    <row r="383" spans="1:28" x14ac:dyDescent="0.35">
      <c r="A383" s="1" t="s">
        <v>18</v>
      </c>
      <c r="B383" s="1" t="s">
        <v>597</v>
      </c>
      <c r="C383" s="1" t="s">
        <v>19</v>
      </c>
      <c r="D383" s="1" t="s">
        <v>20</v>
      </c>
      <c r="E383" s="4">
        <v>0.3</v>
      </c>
      <c r="F383">
        <v>30</v>
      </c>
      <c r="G383">
        <v>55</v>
      </c>
      <c r="H383">
        <v>21.4</v>
      </c>
      <c r="I383">
        <v>7.1</v>
      </c>
      <c r="J383">
        <v>0.55900000000000005</v>
      </c>
      <c r="K383">
        <v>0</v>
      </c>
      <c r="L383">
        <v>0</v>
      </c>
      <c r="M383">
        <v>7.1</v>
      </c>
      <c r="N383">
        <v>0.56000000000000005</v>
      </c>
      <c r="O383">
        <v>0.55900000000000005</v>
      </c>
      <c r="P383">
        <v>1.8</v>
      </c>
      <c r="Q383">
        <v>0.53600000000000003</v>
      </c>
      <c r="R383">
        <v>8.5</v>
      </c>
      <c r="S383">
        <v>1.1000000000000001</v>
      </c>
      <c r="T383">
        <v>0.6</v>
      </c>
      <c r="U383">
        <v>1</v>
      </c>
      <c r="V383">
        <v>0.9</v>
      </c>
      <c r="W383">
        <v>1.9</v>
      </c>
      <c r="X383">
        <v>8.9</v>
      </c>
      <c r="Y383">
        <v>10</v>
      </c>
      <c r="Z383">
        <v>-1</v>
      </c>
      <c r="AA383">
        <v>17.7</v>
      </c>
      <c r="AB383">
        <v>0.13100000000000001</v>
      </c>
    </row>
    <row r="384" spans="1:28" x14ac:dyDescent="0.35">
      <c r="A384" s="1" t="s">
        <v>26</v>
      </c>
      <c r="B384" s="1" t="s">
        <v>597</v>
      </c>
      <c r="C384" s="1" t="s">
        <v>23</v>
      </c>
      <c r="D384" s="1" t="s">
        <v>28</v>
      </c>
      <c r="E384" s="4">
        <v>-0.3</v>
      </c>
      <c r="F384">
        <v>24</v>
      </c>
      <c r="G384">
        <v>9</v>
      </c>
      <c r="H384">
        <v>28.2</v>
      </c>
      <c r="I384">
        <v>11.3</v>
      </c>
      <c r="J384">
        <v>0.441</v>
      </c>
      <c r="K384">
        <v>3.9</v>
      </c>
      <c r="L384">
        <v>0.25700000000000001</v>
      </c>
      <c r="M384">
        <v>7.4</v>
      </c>
      <c r="N384">
        <v>0.53700000000000003</v>
      </c>
      <c r="O384">
        <v>0.48499999999999999</v>
      </c>
      <c r="P384">
        <v>1.8</v>
      </c>
      <c r="Q384">
        <v>0.625</v>
      </c>
      <c r="R384">
        <v>7.2</v>
      </c>
      <c r="S384">
        <v>2.2000000000000002</v>
      </c>
      <c r="T384">
        <v>0.4</v>
      </c>
      <c r="U384">
        <v>0.1</v>
      </c>
      <c r="V384">
        <v>1.7</v>
      </c>
      <c r="W384">
        <v>2.2999999999999998</v>
      </c>
      <c r="X384">
        <v>12.1</v>
      </c>
      <c r="Y384">
        <v>0</v>
      </c>
      <c r="Z384">
        <v>-6.7</v>
      </c>
      <c r="AA384">
        <v>11</v>
      </c>
      <c r="AB384">
        <v>8.9999999999999993E-3</v>
      </c>
    </row>
    <row r="385" spans="1:28" x14ac:dyDescent="0.35">
      <c r="A385" s="1" t="s">
        <v>2</v>
      </c>
      <c r="B385" s="1" t="s">
        <v>597</v>
      </c>
      <c r="C385" s="1" t="s">
        <v>19</v>
      </c>
      <c r="D385" s="1" t="s">
        <v>20</v>
      </c>
      <c r="E385" s="4">
        <v>2.2999999999999998</v>
      </c>
      <c r="F385">
        <v>21</v>
      </c>
      <c r="G385">
        <v>76</v>
      </c>
      <c r="H385">
        <v>33.799999999999997</v>
      </c>
      <c r="I385">
        <v>12.1</v>
      </c>
      <c r="J385">
        <v>0.49299999999999999</v>
      </c>
      <c r="K385">
        <v>3.1</v>
      </c>
      <c r="L385">
        <v>0.34</v>
      </c>
      <c r="M385">
        <v>9.1</v>
      </c>
      <c r="N385">
        <v>0.54500000000000004</v>
      </c>
      <c r="O385">
        <v>0.53600000000000003</v>
      </c>
      <c r="P385">
        <v>1.8</v>
      </c>
      <c r="Q385">
        <v>0.59299999999999997</v>
      </c>
      <c r="R385">
        <v>5.9</v>
      </c>
      <c r="S385">
        <v>4.4000000000000004</v>
      </c>
      <c r="T385">
        <v>3</v>
      </c>
      <c r="U385">
        <v>0.7</v>
      </c>
      <c r="V385">
        <v>2</v>
      </c>
      <c r="W385">
        <v>2.2999999999999998</v>
      </c>
      <c r="X385">
        <v>14.1</v>
      </c>
      <c r="Y385">
        <v>2</v>
      </c>
      <c r="Z385">
        <v>1.5</v>
      </c>
      <c r="AA385">
        <v>15.6</v>
      </c>
      <c r="AB385">
        <v>9.2999999999999999E-2</v>
      </c>
    </row>
    <row r="386" spans="1:28" x14ac:dyDescent="0.35">
      <c r="A386" s="1" t="s">
        <v>2</v>
      </c>
      <c r="B386" s="1" t="s">
        <v>597</v>
      </c>
      <c r="C386" s="1" t="s">
        <v>23</v>
      </c>
      <c r="D386" s="1" t="s">
        <v>20</v>
      </c>
      <c r="E386" s="4">
        <v>0</v>
      </c>
      <c r="F386">
        <v>32</v>
      </c>
      <c r="G386">
        <v>77</v>
      </c>
      <c r="H386">
        <v>28</v>
      </c>
      <c r="I386">
        <v>8.8000000000000007</v>
      </c>
      <c r="J386">
        <v>0.40600000000000003</v>
      </c>
      <c r="K386">
        <v>5.9</v>
      </c>
      <c r="L386">
        <v>0.36799999999999999</v>
      </c>
      <c r="M386">
        <v>2.9</v>
      </c>
      <c r="N386">
        <v>0.48399999999999999</v>
      </c>
      <c r="O386">
        <v>0.52900000000000003</v>
      </c>
      <c r="P386">
        <v>1.9</v>
      </c>
      <c r="Q386">
        <v>0.85499999999999998</v>
      </c>
      <c r="R386">
        <v>2.4</v>
      </c>
      <c r="S386">
        <v>1.6</v>
      </c>
      <c r="T386">
        <v>0.5</v>
      </c>
      <c r="U386">
        <v>0.1</v>
      </c>
      <c r="V386">
        <v>0.6</v>
      </c>
      <c r="W386">
        <v>1.2</v>
      </c>
      <c r="X386">
        <v>11</v>
      </c>
      <c r="Y386">
        <v>11</v>
      </c>
      <c r="Z386">
        <v>-2.1</v>
      </c>
      <c r="AA386">
        <v>9.8000000000000007</v>
      </c>
      <c r="AB386">
        <v>7.6999999999999999E-2</v>
      </c>
    </row>
    <row r="387" spans="1:28" x14ac:dyDescent="0.35">
      <c r="A387" s="1" t="s">
        <v>2</v>
      </c>
      <c r="B387" s="1" t="s">
        <v>35</v>
      </c>
      <c r="C387" s="1" t="s">
        <v>23</v>
      </c>
      <c r="D387" s="1" t="s">
        <v>50</v>
      </c>
      <c r="E387" s="4">
        <v>-0.3</v>
      </c>
      <c r="F387">
        <v>21</v>
      </c>
      <c r="G387">
        <v>78</v>
      </c>
      <c r="H387">
        <v>27.3</v>
      </c>
      <c r="I387">
        <v>7.6</v>
      </c>
      <c r="J387">
        <v>0.42699999999999999</v>
      </c>
      <c r="K387">
        <v>4</v>
      </c>
      <c r="L387">
        <v>0.36599999999999999</v>
      </c>
      <c r="M387">
        <v>3.5</v>
      </c>
      <c r="N387">
        <v>0.496</v>
      </c>
      <c r="O387">
        <v>0.52500000000000002</v>
      </c>
      <c r="P387">
        <v>1.9</v>
      </c>
      <c r="Q387">
        <v>0.85499999999999998</v>
      </c>
      <c r="R387">
        <v>3.3</v>
      </c>
      <c r="S387">
        <v>1.9</v>
      </c>
      <c r="T387">
        <v>0.8</v>
      </c>
      <c r="U387">
        <v>0.4</v>
      </c>
      <c r="V387">
        <v>1.1000000000000001</v>
      </c>
      <c r="W387">
        <v>1.5</v>
      </c>
      <c r="X387">
        <v>9.6</v>
      </c>
      <c r="Y387">
        <v>2</v>
      </c>
      <c r="Z387">
        <v>-2.5</v>
      </c>
      <c r="AA387">
        <v>10.4</v>
      </c>
      <c r="AB387">
        <v>0.06</v>
      </c>
    </row>
    <row r="388" spans="1:28" x14ac:dyDescent="0.35">
      <c r="A388" s="1" t="s">
        <v>26</v>
      </c>
      <c r="B388" s="1" t="s">
        <v>597</v>
      </c>
      <c r="C388" s="1" t="s">
        <v>19</v>
      </c>
      <c r="D388" s="1" t="s">
        <v>20</v>
      </c>
      <c r="E388" s="4">
        <v>0.7</v>
      </c>
      <c r="F388">
        <v>21</v>
      </c>
      <c r="G388">
        <v>46</v>
      </c>
      <c r="H388">
        <v>25.1</v>
      </c>
      <c r="I388">
        <v>8.1999999999999993</v>
      </c>
      <c r="J388">
        <v>0.45600000000000002</v>
      </c>
      <c r="K388">
        <v>4.5999999999999996</v>
      </c>
      <c r="L388">
        <v>0.371</v>
      </c>
      <c r="M388">
        <v>3.6</v>
      </c>
      <c r="N388">
        <v>0.56299999999999994</v>
      </c>
      <c r="O388">
        <v>0.56000000000000005</v>
      </c>
      <c r="P388">
        <v>1.9</v>
      </c>
      <c r="Q388">
        <v>0.82799999999999996</v>
      </c>
      <c r="R388">
        <v>3.9</v>
      </c>
      <c r="S388">
        <v>2.8</v>
      </c>
      <c r="T388">
        <v>0.8</v>
      </c>
      <c r="U388">
        <v>0.3</v>
      </c>
      <c r="V388">
        <v>1.3</v>
      </c>
      <c r="W388">
        <v>1.8</v>
      </c>
      <c r="X388">
        <v>10.7</v>
      </c>
      <c r="Y388">
        <v>2</v>
      </c>
      <c r="Z388">
        <v>0.3</v>
      </c>
      <c r="AA388">
        <v>13.8</v>
      </c>
      <c r="AB388">
        <v>0.104</v>
      </c>
    </row>
    <row r="389" spans="1:28" x14ac:dyDescent="0.35">
      <c r="A389" s="1" t="s">
        <v>18</v>
      </c>
      <c r="B389" s="1" t="s">
        <v>597</v>
      </c>
      <c r="C389" s="1" t="s">
        <v>19</v>
      </c>
      <c r="D389" s="1" t="s">
        <v>50</v>
      </c>
      <c r="E389" s="4">
        <v>0.2</v>
      </c>
      <c r="F389">
        <v>21</v>
      </c>
      <c r="G389">
        <v>35</v>
      </c>
      <c r="H389">
        <v>14.7</v>
      </c>
      <c r="I389">
        <v>6.9</v>
      </c>
      <c r="J389">
        <v>0.496</v>
      </c>
      <c r="K389">
        <v>2.9</v>
      </c>
      <c r="L389">
        <v>0.373</v>
      </c>
      <c r="M389">
        <v>4</v>
      </c>
      <c r="N389">
        <v>0.58599999999999997</v>
      </c>
      <c r="O389">
        <v>0.57399999999999995</v>
      </c>
      <c r="P389">
        <v>1.9</v>
      </c>
      <c r="Q389">
        <v>0.77600000000000002</v>
      </c>
      <c r="R389">
        <v>3.7</v>
      </c>
      <c r="S389">
        <v>1.1000000000000001</v>
      </c>
      <c r="T389">
        <v>0.3</v>
      </c>
      <c r="U389">
        <v>0.7</v>
      </c>
      <c r="V389">
        <v>1.2</v>
      </c>
      <c r="W389">
        <v>1.6</v>
      </c>
      <c r="X389">
        <v>9.4</v>
      </c>
      <c r="Y389">
        <v>1</v>
      </c>
      <c r="Z389">
        <v>-0.5</v>
      </c>
      <c r="AA389">
        <v>17.8</v>
      </c>
      <c r="AB389">
        <v>6.9000000000000006E-2</v>
      </c>
    </row>
    <row r="390" spans="1:28" x14ac:dyDescent="0.35">
      <c r="A390" s="1" t="s">
        <v>2</v>
      </c>
      <c r="B390" s="1" t="s">
        <v>598</v>
      </c>
      <c r="C390" s="1" t="s">
        <v>19</v>
      </c>
      <c r="D390" s="1" t="s">
        <v>50</v>
      </c>
      <c r="E390" s="4">
        <v>0.3</v>
      </c>
      <c r="F390">
        <v>25</v>
      </c>
      <c r="G390">
        <v>67</v>
      </c>
      <c r="H390">
        <v>16.7</v>
      </c>
      <c r="I390">
        <v>7.6</v>
      </c>
      <c r="J390">
        <v>0.39100000000000001</v>
      </c>
      <c r="K390">
        <v>3.3</v>
      </c>
      <c r="L390">
        <v>0.32400000000000001</v>
      </c>
      <c r="M390">
        <v>4.3</v>
      </c>
      <c r="N390">
        <v>0.442</v>
      </c>
      <c r="O390">
        <v>0.46200000000000002</v>
      </c>
      <c r="P390">
        <v>1.9</v>
      </c>
      <c r="Q390">
        <v>0.72799999999999998</v>
      </c>
      <c r="R390">
        <v>2</v>
      </c>
      <c r="S390">
        <v>2.4</v>
      </c>
      <c r="T390">
        <v>0.6</v>
      </c>
      <c r="U390">
        <v>0.5</v>
      </c>
      <c r="V390">
        <v>1.3</v>
      </c>
      <c r="W390">
        <v>0.9</v>
      </c>
      <c r="X390">
        <v>8.3000000000000007</v>
      </c>
      <c r="Y390">
        <v>3</v>
      </c>
      <c r="Z390">
        <v>-0.8</v>
      </c>
      <c r="AA390">
        <v>12.9</v>
      </c>
      <c r="AB390">
        <v>3.3000000000000002E-2</v>
      </c>
    </row>
    <row r="391" spans="1:28" x14ac:dyDescent="0.35">
      <c r="A391" s="1" t="s">
        <v>26</v>
      </c>
      <c r="B391" s="1" t="s">
        <v>597</v>
      </c>
      <c r="C391" s="1" t="s">
        <v>23</v>
      </c>
      <c r="D391" s="1" t="s">
        <v>50</v>
      </c>
      <c r="E391" s="4">
        <v>0.4</v>
      </c>
      <c r="F391">
        <v>31</v>
      </c>
      <c r="G391">
        <v>31</v>
      </c>
      <c r="H391">
        <v>17.2</v>
      </c>
      <c r="I391">
        <v>4.5</v>
      </c>
      <c r="J391">
        <v>0.64700000000000002</v>
      </c>
      <c r="K391">
        <v>0.1</v>
      </c>
      <c r="L391">
        <v>0</v>
      </c>
      <c r="M391">
        <v>4.4000000000000004</v>
      </c>
      <c r="N391">
        <v>0.66200000000000003</v>
      </c>
      <c r="O391">
        <v>0.64700000000000002</v>
      </c>
      <c r="P391">
        <v>1.9</v>
      </c>
      <c r="Q391">
        <v>0.83299999999999996</v>
      </c>
      <c r="R391">
        <v>5.7</v>
      </c>
      <c r="S391">
        <v>1.4</v>
      </c>
      <c r="T391">
        <v>0.3</v>
      </c>
      <c r="U391">
        <v>0.7</v>
      </c>
      <c r="V391">
        <v>0.7</v>
      </c>
      <c r="W391">
        <v>1.6</v>
      </c>
      <c r="X391">
        <v>7.4</v>
      </c>
      <c r="Y391">
        <v>9</v>
      </c>
      <c r="Z391">
        <v>1.1000000000000001</v>
      </c>
      <c r="AA391">
        <v>19.8</v>
      </c>
      <c r="AB391">
        <v>0.17799999999999999</v>
      </c>
    </row>
    <row r="392" spans="1:28" x14ac:dyDescent="0.35">
      <c r="A392" s="1" t="s">
        <v>18</v>
      </c>
      <c r="B392" s="1" t="s">
        <v>597</v>
      </c>
      <c r="C392" s="1" t="s">
        <v>19</v>
      </c>
      <c r="D392" s="1" t="s">
        <v>20</v>
      </c>
      <c r="E392" s="4">
        <v>1.6</v>
      </c>
      <c r="F392">
        <v>25</v>
      </c>
      <c r="G392">
        <v>70</v>
      </c>
      <c r="H392">
        <v>20.399999999999999</v>
      </c>
      <c r="I392">
        <v>4.8</v>
      </c>
      <c r="J392">
        <v>0.61099999999999999</v>
      </c>
      <c r="K392">
        <v>0.4</v>
      </c>
      <c r="L392">
        <v>0.107</v>
      </c>
      <c r="M392">
        <v>4.4000000000000004</v>
      </c>
      <c r="N392">
        <v>0.65600000000000003</v>
      </c>
      <c r="O392">
        <v>0.61499999999999999</v>
      </c>
      <c r="P392">
        <v>1.9</v>
      </c>
      <c r="Q392">
        <v>0.63900000000000001</v>
      </c>
      <c r="R392">
        <v>6.6</v>
      </c>
      <c r="S392">
        <v>2</v>
      </c>
      <c r="T392">
        <v>0.7</v>
      </c>
      <c r="U392">
        <v>1.4</v>
      </c>
      <c r="V392">
        <v>1</v>
      </c>
      <c r="W392">
        <v>2.1</v>
      </c>
      <c r="X392">
        <v>7.2</v>
      </c>
      <c r="Y392">
        <v>5</v>
      </c>
      <c r="Z392">
        <v>2.5</v>
      </c>
      <c r="AA392">
        <v>19.2</v>
      </c>
      <c r="AB392">
        <v>0.19500000000000001</v>
      </c>
    </row>
    <row r="393" spans="1:28" x14ac:dyDescent="0.35">
      <c r="A393" s="1" t="s">
        <v>26</v>
      </c>
      <c r="B393" s="1" t="s">
        <v>598</v>
      </c>
      <c r="C393" s="1" t="s">
        <v>19</v>
      </c>
      <c r="D393" s="1" t="s">
        <v>20</v>
      </c>
      <c r="E393" s="4">
        <v>0.6</v>
      </c>
      <c r="F393">
        <v>26</v>
      </c>
      <c r="G393">
        <v>59</v>
      </c>
      <c r="H393">
        <v>31.7</v>
      </c>
      <c r="I393">
        <v>9.8000000000000007</v>
      </c>
      <c r="J393">
        <v>0.50900000000000001</v>
      </c>
      <c r="K393">
        <v>4.2</v>
      </c>
      <c r="L393">
        <v>0.41299999999999998</v>
      </c>
      <c r="M393">
        <v>5.6</v>
      </c>
      <c r="N393">
        <v>0.58099999999999996</v>
      </c>
      <c r="O393">
        <v>0.59699999999999998</v>
      </c>
      <c r="P393">
        <v>1.9</v>
      </c>
      <c r="Q393">
        <v>0.77</v>
      </c>
      <c r="R393">
        <v>5</v>
      </c>
      <c r="S393">
        <v>1.4</v>
      </c>
      <c r="T393">
        <v>0.8</v>
      </c>
      <c r="U393">
        <v>0.4</v>
      </c>
      <c r="V393">
        <v>0.8</v>
      </c>
      <c r="W393">
        <v>1.8</v>
      </c>
      <c r="X393">
        <v>13.1</v>
      </c>
      <c r="Y393">
        <v>5</v>
      </c>
      <c r="Z393">
        <v>-0.7</v>
      </c>
      <c r="AA393">
        <v>13.6</v>
      </c>
      <c r="AB393">
        <v>0.11</v>
      </c>
    </row>
    <row r="394" spans="1:28" x14ac:dyDescent="0.35">
      <c r="A394" s="1" t="s">
        <v>18</v>
      </c>
      <c r="B394" s="1" t="s">
        <v>598</v>
      </c>
      <c r="C394" s="1" t="s">
        <v>19</v>
      </c>
      <c r="D394" s="1" t="s">
        <v>20</v>
      </c>
      <c r="E394" s="4">
        <v>0.7</v>
      </c>
      <c r="F394">
        <v>22</v>
      </c>
      <c r="G394">
        <v>66</v>
      </c>
      <c r="H394">
        <v>21.5</v>
      </c>
      <c r="I394">
        <v>6.6</v>
      </c>
      <c r="J394">
        <v>0.57999999999999996</v>
      </c>
      <c r="K394">
        <v>0.8</v>
      </c>
      <c r="L394">
        <v>0.34599999999999997</v>
      </c>
      <c r="M394">
        <v>5.8</v>
      </c>
      <c r="N394">
        <v>0.61199999999999999</v>
      </c>
      <c r="O394">
        <v>0.6</v>
      </c>
      <c r="P394">
        <v>1.9</v>
      </c>
      <c r="Q394">
        <v>0.70899999999999996</v>
      </c>
      <c r="R394">
        <v>8.3000000000000007</v>
      </c>
      <c r="S394">
        <v>1</v>
      </c>
      <c r="T394">
        <v>0.5</v>
      </c>
      <c r="U394">
        <v>1.3</v>
      </c>
      <c r="V394">
        <v>1.3</v>
      </c>
      <c r="W394">
        <v>2.8</v>
      </c>
      <c r="X394">
        <v>9.1999999999999993</v>
      </c>
      <c r="Y394">
        <v>0</v>
      </c>
      <c r="Z394">
        <v>-0.1</v>
      </c>
      <c r="AA394">
        <v>18.2</v>
      </c>
      <c r="AB394">
        <v>0.16500000000000001</v>
      </c>
    </row>
    <row r="395" spans="1:28" x14ac:dyDescent="0.35">
      <c r="A395" s="1" t="s">
        <v>2</v>
      </c>
      <c r="B395" s="1" t="s">
        <v>598</v>
      </c>
      <c r="C395" s="1" t="s">
        <v>23</v>
      </c>
      <c r="D395" s="1" t="s">
        <v>20</v>
      </c>
      <c r="E395" s="4">
        <v>0.4</v>
      </c>
      <c r="F395">
        <v>24</v>
      </c>
      <c r="G395">
        <v>64</v>
      </c>
      <c r="H395">
        <v>31</v>
      </c>
      <c r="I395">
        <v>13.9</v>
      </c>
      <c r="J395">
        <v>0.443</v>
      </c>
      <c r="K395">
        <v>6.7</v>
      </c>
      <c r="L395">
        <v>0.36799999999999999</v>
      </c>
      <c r="M395">
        <v>7.2</v>
      </c>
      <c r="N395">
        <v>0.51300000000000001</v>
      </c>
      <c r="O395">
        <v>0.53200000000000003</v>
      </c>
      <c r="P395">
        <v>1.9</v>
      </c>
      <c r="Q395">
        <v>0.79200000000000004</v>
      </c>
      <c r="R395">
        <v>4</v>
      </c>
      <c r="S395">
        <v>2.9</v>
      </c>
      <c r="T395">
        <v>1.3</v>
      </c>
      <c r="U395">
        <v>0.5</v>
      </c>
      <c r="V395">
        <v>1.4</v>
      </c>
      <c r="W395">
        <v>1.7</v>
      </c>
      <c r="X395">
        <v>16.3</v>
      </c>
      <c r="Y395">
        <v>4</v>
      </c>
      <c r="Z395">
        <v>-1.1000000000000001</v>
      </c>
      <c r="AA395">
        <v>14.2</v>
      </c>
      <c r="AB395">
        <v>5.3999999999999999E-2</v>
      </c>
    </row>
    <row r="396" spans="1:28" x14ac:dyDescent="0.35">
      <c r="A396" s="1" t="s">
        <v>26</v>
      </c>
      <c r="B396" s="1" t="s">
        <v>598</v>
      </c>
      <c r="C396" s="1" t="s">
        <v>23</v>
      </c>
      <c r="D396" s="1" t="s">
        <v>28</v>
      </c>
      <c r="E396" s="4">
        <v>0</v>
      </c>
      <c r="F396">
        <v>27</v>
      </c>
      <c r="G396">
        <v>3</v>
      </c>
      <c r="H396">
        <v>3.7</v>
      </c>
      <c r="I396">
        <v>1.3</v>
      </c>
      <c r="J396">
        <v>0</v>
      </c>
      <c r="K396">
        <v>0.3</v>
      </c>
      <c r="L396">
        <v>0</v>
      </c>
      <c r="M396">
        <v>1</v>
      </c>
      <c r="N396">
        <v>0</v>
      </c>
      <c r="O396">
        <v>0</v>
      </c>
      <c r="P396">
        <v>2</v>
      </c>
      <c r="Q396">
        <v>0.5</v>
      </c>
      <c r="R396">
        <v>0.7</v>
      </c>
      <c r="S396">
        <v>0</v>
      </c>
      <c r="T396">
        <v>0.7</v>
      </c>
      <c r="U396">
        <v>0</v>
      </c>
      <c r="V396">
        <v>0.3</v>
      </c>
      <c r="W396">
        <v>0</v>
      </c>
      <c r="X396">
        <v>1</v>
      </c>
      <c r="Y396">
        <v>3</v>
      </c>
      <c r="Z396">
        <v>-13.6</v>
      </c>
      <c r="AA396">
        <v>1.1000000000000001</v>
      </c>
      <c r="AB396">
        <v>-0.25900000000000001</v>
      </c>
    </row>
    <row r="397" spans="1:28" x14ac:dyDescent="0.35">
      <c r="A397" s="1" t="s">
        <v>26</v>
      </c>
      <c r="B397" s="1" t="s">
        <v>597</v>
      </c>
      <c r="C397" s="1" t="s">
        <v>23</v>
      </c>
      <c r="D397" s="1" t="s">
        <v>28</v>
      </c>
      <c r="E397" s="4">
        <v>0</v>
      </c>
      <c r="F397">
        <v>24</v>
      </c>
      <c r="G397">
        <v>1</v>
      </c>
      <c r="H397">
        <v>17</v>
      </c>
      <c r="I397">
        <v>8</v>
      </c>
      <c r="J397">
        <v>0.125</v>
      </c>
      <c r="K397">
        <v>6</v>
      </c>
      <c r="L397">
        <v>0</v>
      </c>
      <c r="M397">
        <v>2</v>
      </c>
      <c r="N397">
        <v>0.5</v>
      </c>
      <c r="O397">
        <v>0.125</v>
      </c>
      <c r="P397">
        <v>2</v>
      </c>
      <c r="Q397">
        <v>1</v>
      </c>
      <c r="R397">
        <v>7</v>
      </c>
      <c r="S397">
        <v>2</v>
      </c>
      <c r="T397">
        <v>0</v>
      </c>
      <c r="U397">
        <v>0</v>
      </c>
      <c r="V397">
        <v>0</v>
      </c>
      <c r="W397">
        <v>0</v>
      </c>
      <c r="X397">
        <v>4</v>
      </c>
      <c r="Y397">
        <v>2</v>
      </c>
      <c r="Z397">
        <v>-14.7</v>
      </c>
      <c r="AA397">
        <v>7.9</v>
      </c>
      <c r="AB397">
        <v>-0.06</v>
      </c>
    </row>
    <row r="398" spans="1:28" x14ac:dyDescent="0.35">
      <c r="A398" s="1" t="s">
        <v>18</v>
      </c>
      <c r="B398" s="1" t="s">
        <v>597</v>
      </c>
      <c r="C398" s="1" t="s">
        <v>23</v>
      </c>
      <c r="D398" s="1" t="s">
        <v>20</v>
      </c>
      <c r="E398" s="4">
        <v>0</v>
      </c>
      <c r="F398">
        <v>23</v>
      </c>
      <c r="G398">
        <v>1</v>
      </c>
      <c r="H398">
        <v>5</v>
      </c>
      <c r="I398">
        <v>4</v>
      </c>
      <c r="J398">
        <v>0.5</v>
      </c>
      <c r="K398">
        <v>1</v>
      </c>
      <c r="L398">
        <v>0</v>
      </c>
      <c r="M398">
        <v>3</v>
      </c>
      <c r="N398">
        <v>0.66700000000000004</v>
      </c>
      <c r="O398">
        <v>0.5</v>
      </c>
      <c r="P398">
        <v>2</v>
      </c>
      <c r="Q398">
        <v>1</v>
      </c>
      <c r="R398">
        <v>1</v>
      </c>
      <c r="S398">
        <v>0</v>
      </c>
      <c r="T398">
        <v>0</v>
      </c>
      <c r="U398">
        <v>0</v>
      </c>
      <c r="V398">
        <v>0</v>
      </c>
      <c r="W398">
        <v>0</v>
      </c>
      <c r="X398">
        <v>6</v>
      </c>
      <c r="Y398">
        <v>4</v>
      </c>
      <c r="Z398">
        <v>1.6</v>
      </c>
      <c r="AA398">
        <v>31.2</v>
      </c>
      <c r="AB398">
        <v>0.23699999999999999</v>
      </c>
    </row>
    <row r="399" spans="1:28" x14ac:dyDescent="0.35">
      <c r="A399" s="1" t="s">
        <v>26</v>
      </c>
      <c r="B399" s="1" t="s">
        <v>597</v>
      </c>
      <c r="C399" s="1" t="s">
        <v>23</v>
      </c>
      <c r="D399" s="1" t="s">
        <v>20</v>
      </c>
      <c r="E399" s="4">
        <v>-0.1</v>
      </c>
      <c r="F399">
        <v>23</v>
      </c>
      <c r="G399">
        <v>63</v>
      </c>
      <c r="H399">
        <v>24.5</v>
      </c>
      <c r="I399">
        <v>8.3000000000000007</v>
      </c>
      <c r="J399">
        <v>0.41199999999999998</v>
      </c>
      <c r="K399">
        <v>4.8</v>
      </c>
      <c r="L399">
        <v>0.34100000000000003</v>
      </c>
      <c r="M399">
        <v>3.5</v>
      </c>
      <c r="N399">
        <v>0.50900000000000001</v>
      </c>
      <c r="O399">
        <v>0.51100000000000001</v>
      </c>
      <c r="P399">
        <v>2</v>
      </c>
      <c r="Q399">
        <v>0.82099999999999995</v>
      </c>
      <c r="R399">
        <v>4.5999999999999996</v>
      </c>
      <c r="S399">
        <v>1.3</v>
      </c>
      <c r="T399">
        <v>1</v>
      </c>
      <c r="U399">
        <v>0.4</v>
      </c>
      <c r="V399">
        <v>1.1000000000000001</v>
      </c>
      <c r="W399">
        <v>2.4</v>
      </c>
      <c r="X399">
        <v>10</v>
      </c>
      <c r="Y399">
        <v>3</v>
      </c>
      <c r="Z399">
        <v>-2.2999999999999998</v>
      </c>
      <c r="AA399">
        <v>11.9</v>
      </c>
      <c r="AB399">
        <v>6.5000000000000002E-2</v>
      </c>
    </row>
    <row r="400" spans="1:28" x14ac:dyDescent="0.35">
      <c r="A400" s="1" t="s">
        <v>2</v>
      </c>
      <c r="B400" s="1" t="s">
        <v>597</v>
      </c>
      <c r="C400" s="1" t="s">
        <v>33</v>
      </c>
      <c r="D400" s="1" t="s">
        <v>20</v>
      </c>
      <c r="E400" s="4">
        <v>0.1</v>
      </c>
      <c r="F400">
        <v>23</v>
      </c>
      <c r="G400">
        <v>6</v>
      </c>
      <c r="H400">
        <v>27</v>
      </c>
      <c r="I400">
        <v>7.2</v>
      </c>
      <c r="J400">
        <v>0.41899999999999998</v>
      </c>
      <c r="K400">
        <v>3.5</v>
      </c>
      <c r="L400">
        <v>0.38100000000000001</v>
      </c>
      <c r="M400">
        <v>3.7</v>
      </c>
      <c r="N400">
        <v>0.45500000000000002</v>
      </c>
      <c r="O400">
        <v>0.51200000000000001</v>
      </c>
      <c r="P400">
        <v>2</v>
      </c>
      <c r="Q400">
        <v>0.83299999999999996</v>
      </c>
      <c r="R400">
        <v>3</v>
      </c>
      <c r="S400">
        <v>5.2</v>
      </c>
      <c r="T400">
        <v>0.7</v>
      </c>
      <c r="U400">
        <v>0.7</v>
      </c>
      <c r="V400">
        <v>1.5</v>
      </c>
      <c r="W400">
        <v>2.2000000000000002</v>
      </c>
      <c r="X400">
        <v>9</v>
      </c>
      <c r="Y400">
        <v>4</v>
      </c>
      <c r="Z400">
        <v>-0.6</v>
      </c>
      <c r="AA400">
        <v>12.7</v>
      </c>
      <c r="AB400">
        <v>9.5000000000000001E-2</v>
      </c>
    </row>
    <row r="401" spans="1:28" x14ac:dyDescent="0.35">
      <c r="A401" s="1" t="s">
        <v>2</v>
      </c>
      <c r="B401" s="1" t="s">
        <v>598</v>
      </c>
      <c r="C401" s="1" t="s">
        <v>23</v>
      </c>
      <c r="D401" s="1" t="s">
        <v>28</v>
      </c>
      <c r="E401" s="4">
        <v>0.4</v>
      </c>
      <c r="F401">
        <v>25</v>
      </c>
      <c r="G401">
        <v>33</v>
      </c>
      <c r="H401">
        <v>14.8</v>
      </c>
      <c r="I401">
        <v>5.7</v>
      </c>
      <c r="J401">
        <v>0.52100000000000002</v>
      </c>
      <c r="K401">
        <v>1.8</v>
      </c>
      <c r="L401">
        <v>0.4</v>
      </c>
      <c r="M401">
        <v>3.9</v>
      </c>
      <c r="N401">
        <v>0.57799999999999996</v>
      </c>
      <c r="O401">
        <v>0.58499999999999996</v>
      </c>
      <c r="P401">
        <v>2</v>
      </c>
      <c r="Q401">
        <v>0.83299999999999996</v>
      </c>
      <c r="R401">
        <v>1.8</v>
      </c>
      <c r="S401">
        <v>2.2999999999999998</v>
      </c>
      <c r="T401">
        <v>0.7</v>
      </c>
      <c r="U401">
        <v>0.2</v>
      </c>
      <c r="V401">
        <v>1.2</v>
      </c>
      <c r="W401">
        <v>1</v>
      </c>
      <c r="X401">
        <v>8.3000000000000007</v>
      </c>
      <c r="Y401">
        <v>2</v>
      </c>
      <c r="Z401">
        <v>1</v>
      </c>
      <c r="AA401">
        <v>18.3</v>
      </c>
      <c r="AB401">
        <v>0.129</v>
      </c>
    </row>
    <row r="402" spans="1:28" x14ac:dyDescent="0.35">
      <c r="A402" s="1" t="s">
        <v>26</v>
      </c>
      <c r="B402" s="1" t="s">
        <v>597</v>
      </c>
      <c r="C402" s="1" t="s">
        <v>33</v>
      </c>
      <c r="D402" s="1" t="s">
        <v>50</v>
      </c>
      <c r="E402" s="4">
        <v>0</v>
      </c>
      <c r="F402">
        <v>25</v>
      </c>
      <c r="G402">
        <v>1</v>
      </c>
      <c r="H402">
        <v>17</v>
      </c>
      <c r="I402">
        <v>7</v>
      </c>
      <c r="J402">
        <v>0.28599999999999998</v>
      </c>
      <c r="K402">
        <v>3</v>
      </c>
      <c r="L402">
        <v>0.33300000000000002</v>
      </c>
      <c r="M402">
        <v>4</v>
      </c>
      <c r="N402">
        <v>0.25</v>
      </c>
      <c r="O402">
        <v>0.35699999999999998</v>
      </c>
      <c r="P402">
        <v>2</v>
      </c>
      <c r="Q402">
        <v>0.5</v>
      </c>
      <c r="R402">
        <v>4</v>
      </c>
      <c r="S402">
        <v>5</v>
      </c>
      <c r="T402">
        <v>1</v>
      </c>
      <c r="U402">
        <v>1</v>
      </c>
      <c r="V402">
        <v>0</v>
      </c>
      <c r="W402">
        <v>3</v>
      </c>
      <c r="X402">
        <v>6</v>
      </c>
      <c r="Y402">
        <v>2</v>
      </c>
      <c r="Z402">
        <v>4.7</v>
      </c>
      <c r="AA402">
        <v>17.2</v>
      </c>
      <c r="AB402">
        <v>0.11899999999999999</v>
      </c>
    </row>
    <row r="403" spans="1:28" x14ac:dyDescent="0.35">
      <c r="A403" s="1" t="s">
        <v>18</v>
      </c>
      <c r="B403" s="1" t="s">
        <v>598</v>
      </c>
      <c r="C403" s="1" t="s">
        <v>23</v>
      </c>
      <c r="D403" s="1" t="s">
        <v>50</v>
      </c>
      <c r="E403" s="4">
        <v>0.4</v>
      </c>
      <c r="F403">
        <v>21</v>
      </c>
      <c r="G403">
        <v>72</v>
      </c>
      <c r="H403">
        <v>21.1</v>
      </c>
      <c r="I403">
        <v>7.2</v>
      </c>
      <c r="J403">
        <v>0.502</v>
      </c>
      <c r="K403">
        <v>3.1</v>
      </c>
      <c r="L403">
        <v>0.35</v>
      </c>
      <c r="M403">
        <v>4.0999999999999996</v>
      </c>
      <c r="N403">
        <v>0.61399999999999999</v>
      </c>
      <c r="O403">
        <v>0.57599999999999996</v>
      </c>
      <c r="P403">
        <v>2</v>
      </c>
      <c r="Q403">
        <v>0.65</v>
      </c>
      <c r="R403">
        <v>6.1</v>
      </c>
      <c r="S403">
        <v>1.9</v>
      </c>
      <c r="T403">
        <v>0.7</v>
      </c>
      <c r="U403">
        <v>0.3</v>
      </c>
      <c r="V403">
        <v>1.4</v>
      </c>
      <c r="W403">
        <v>2.4</v>
      </c>
      <c r="X403">
        <v>9.6</v>
      </c>
      <c r="Y403">
        <v>0</v>
      </c>
      <c r="Z403">
        <v>-1</v>
      </c>
      <c r="AA403">
        <v>14.9</v>
      </c>
      <c r="AB403">
        <v>7.8E-2</v>
      </c>
    </row>
    <row r="404" spans="1:28" x14ac:dyDescent="0.35">
      <c r="A404" s="1" t="s">
        <v>18</v>
      </c>
      <c r="B404" s="1" t="s">
        <v>597</v>
      </c>
      <c r="C404" s="1" t="s">
        <v>19</v>
      </c>
      <c r="D404" s="1" t="s">
        <v>20</v>
      </c>
      <c r="E404" s="4">
        <v>0.5</v>
      </c>
      <c r="F404">
        <v>29</v>
      </c>
      <c r="G404">
        <v>70</v>
      </c>
      <c r="H404">
        <v>27.1</v>
      </c>
      <c r="I404">
        <v>8</v>
      </c>
      <c r="J404">
        <v>0.501</v>
      </c>
      <c r="K404">
        <v>3.9</v>
      </c>
      <c r="L404">
        <v>0.38</v>
      </c>
      <c r="M404">
        <v>4.0999999999999996</v>
      </c>
      <c r="N404">
        <v>0.61599999999999999</v>
      </c>
      <c r="O404">
        <v>0.59299999999999997</v>
      </c>
      <c r="P404">
        <v>2</v>
      </c>
      <c r="Q404">
        <v>0.72499999999999998</v>
      </c>
      <c r="R404">
        <v>5.6</v>
      </c>
      <c r="S404">
        <v>2.1</v>
      </c>
      <c r="T404">
        <v>0.8</v>
      </c>
      <c r="U404">
        <v>0.3</v>
      </c>
      <c r="V404">
        <v>1.2</v>
      </c>
      <c r="W404">
        <v>2.2999999999999998</v>
      </c>
      <c r="X404">
        <v>11</v>
      </c>
      <c r="Y404">
        <v>2</v>
      </c>
      <c r="Z404">
        <v>-1</v>
      </c>
      <c r="AA404">
        <v>14.7</v>
      </c>
      <c r="AB404">
        <v>9.9000000000000005E-2</v>
      </c>
    </row>
    <row r="405" spans="1:28" x14ac:dyDescent="0.35">
      <c r="A405" s="1" t="s">
        <v>26</v>
      </c>
      <c r="B405" s="1" t="s">
        <v>598</v>
      </c>
      <c r="C405" s="1" t="s">
        <v>23</v>
      </c>
      <c r="D405" s="1" t="s">
        <v>20</v>
      </c>
      <c r="E405" s="4">
        <v>0.1</v>
      </c>
      <c r="F405">
        <v>22</v>
      </c>
      <c r="G405">
        <v>68</v>
      </c>
      <c r="H405">
        <v>24.4</v>
      </c>
      <c r="I405">
        <v>6.3</v>
      </c>
      <c r="J405">
        <v>0.47699999999999998</v>
      </c>
      <c r="K405">
        <v>2</v>
      </c>
      <c r="L405">
        <v>0.35299999999999998</v>
      </c>
      <c r="M405">
        <v>4.3</v>
      </c>
      <c r="N405">
        <v>0.53400000000000003</v>
      </c>
      <c r="O405">
        <v>0.53300000000000003</v>
      </c>
      <c r="P405">
        <v>2</v>
      </c>
      <c r="Q405">
        <v>0.69299999999999995</v>
      </c>
      <c r="R405">
        <v>3.4</v>
      </c>
      <c r="S405">
        <v>1.4</v>
      </c>
      <c r="T405">
        <v>0.7</v>
      </c>
      <c r="U405">
        <v>1.4</v>
      </c>
      <c r="V405">
        <v>0.8</v>
      </c>
      <c r="W405">
        <v>1.8</v>
      </c>
      <c r="X405">
        <v>8.1</v>
      </c>
      <c r="Y405">
        <v>2</v>
      </c>
      <c r="Z405">
        <v>-1.8</v>
      </c>
      <c r="AA405">
        <v>11.4</v>
      </c>
      <c r="AB405">
        <v>7.2999999999999995E-2</v>
      </c>
    </row>
    <row r="406" spans="1:28" x14ac:dyDescent="0.35">
      <c r="A406" s="1" t="s">
        <v>26</v>
      </c>
      <c r="B406" s="1" t="s">
        <v>598</v>
      </c>
      <c r="C406" s="1" t="s">
        <v>23</v>
      </c>
      <c r="D406" s="1" t="s">
        <v>50</v>
      </c>
      <c r="E406" s="4">
        <v>-0.3</v>
      </c>
      <c r="F406">
        <v>26</v>
      </c>
      <c r="G406">
        <v>20</v>
      </c>
      <c r="H406">
        <v>32.4</v>
      </c>
      <c r="I406">
        <v>8.6</v>
      </c>
      <c r="J406">
        <v>0.436</v>
      </c>
      <c r="K406">
        <v>3.6</v>
      </c>
      <c r="L406">
        <v>0.30599999999999999</v>
      </c>
      <c r="M406">
        <v>5</v>
      </c>
      <c r="N406">
        <v>0.53</v>
      </c>
      <c r="O406">
        <v>0.5</v>
      </c>
      <c r="P406">
        <v>2</v>
      </c>
      <c r="Q406">
        <v>0.82499999999999996</v>
      </c>
      <c r="R406">
        <v>3.9</v>
      </c>
      <c r="S406">
        <v>3.3</v>
      </c>
      <c r="T406">
        <v>1.9</v>
      </c>
      <c r="U406">
        <v>0.5</v>
      </c>
      <c r="V406">
        <v>1.8</v>
      </c>
      <c r="W406">
        <v>3.3</v>
      </c>
      <c r="X406">
        <v>10.3</v>
      </c>
      <c r="Y406">
        <v>3</v>
      </c>
      <c r="Z406">
        <v>-3.6</v>
      </c>
      <c r="AA406">
        <v>10.4</v>
      </c>
      <c r="AB406">
        <v>3.3000000000000002E-2</v>
      </c>
    </row>
    <row r="407" spans="1:28" x14ac:dyDescent="0.35">
      <c r="A407" s="1" t="s">
        <v>18</v>
      </c>
      <c r="B407" s="1" t="s">
        <v>598</v>
      </c>
      <c r="C407" s="1" t="s">
        <v>23</v>
      </c>
      <c r="D407" s="1" t="s">
        <v>20</v>
      </c>
      <c r="E407" s="4">
        <v>1.1000000000000001</v>
      </c>
      <c r="F407">
        <v>20</v>
      </c>
      <c r="G407">
        <v>36</v>
      </c>
      <c r="H407">
        <v>23.1</v>
      </c>
      <c r="I407">
        <v>5.3</v>
      </c>
      <c r="J407">
        <v>0.70199999999999996</v>
      </c>
      <c r="K407">
        <v>0</v>
      </c>
      <c r="M407">
        <v>5.3</v>
      </c>
      <c r="N407">
        <v>0.70199999999999996</v>
      </c>
      <c r="O407">
        <v>0.70199999999999996</v>
      </c>
      <c r="P407">
        <v>2</v>
      </c>
      <c r="Q407">
        <v>0.63</v>
      </c>
      <c r="R407">
        <v>7.5</v>
      </c>
      <c r="S407">
        <v>2.4</v>
      </c>
      <c r="T407">
        <v>0.6</v>
      </c>
      <c r="U407">
        <v>1.6</v>
      </c>
      <c r="V407">
        <v>1.1000000000000001</v>
      </c>
      <c r="W407">
        <v>2.8</v>
      </c>
      <c r="X407">
        <v>8.6999999999999993</v>
      </c>
      <c r="Y407">
        <v>1</v>
      </c>
      <c r="Z407">
        <v>3.3</v>
      </c>
      <c r="AA407">
        <v>20.100000000000001</v>
      </c>
      <c r="AB407">
        <v>0.19900000000000001</v>
      </c>
    </row>
    <row r="408" spans="1:28" x14ac:dyDescent="0.35">
      <c r="A408" s="1" t="s">
        <v>2</v>
      </c>
      <c r="B408" s="1" t="s">
        <v>598</v>
      </c>
      <c r="C408" s="1" t="s">
        <v>23</v>
      </c>
      <c r="D408" s="1" t="s">
        <v>50</v>
      </c>
      <c r="E408" s="4">
        <v>-0.1</v>
      </c>
      <c r="F408">
        <v>23</v>
      </c>
      <c r="G408">
        <v>42</v>
      </c>
      <c r="H408">
        <v>23.6</v>
      </c>
      <c r="I408">
        <v>9.1</v>
      </c>
      <c r="J408">
        <v>0.436</v>
      </c>
      <c r="K408">
        <v>3.3</v>
      </c>
      <c r="L408">
        <v>0.35</v>
      </c>
      <c r="M408">
        <v>5.7</v>
      </c>
      <c r="N408">
        <v>0.48499999999999999</v>
      </c>
      <c r="O408">
        <v>0.5</v>
      </c>
      <c r="P408">
        <v>2</v>
      </c>
      <c r="Q408">
        <v>0.78800000000000003</v>
      </c>
      <c r="R408">
        <v>3.2</v>
      </c>
      <c r="S408">
        <v>2.2000000000000002</v>
      </c>
      <c r="T408">
        <v>1.3</v>
      </c>
      <c r="U408">
        <v>0.2</v>
      </c>
      <c r="V408">
        <v>1.2</v>
      </c>
      <c r="W408">
        <v>1.7</v>
      </c>
      <c r="X408">
        <v>10.7</v>
      </c>
      <c r="Y408">
        <v>3</v>
      </c>
      <c r="Z408">
        <v>-2.5</v>
      </c>
      <c r="AA408">
        <v>12.7</v>
      </c>
      <c r="AB408">
        <v>3.3000000000000002E-2</v>
      </c>
    </row>
    <row r="409" spans="1:28" x14ac:dyDescent="0.35">
      <c r="A409" s="1" t="s">
        <v>26</v>
      </c>
      <c r="B409" s="1" t="s">
        <v>597</v>
      </c>
      <c r="C409" s="1" t="s">
        <v>19</v>
      </c>
      <c r="D409" s="1" t="s">
        <v>20</v>
      </c>
      <c r="E409" s="4">
        <v>-0.7</v>
      </c>
      <c r="F409">
        <v>19</v>
      </c>
      <c r="G409">
        <v>75</v>
      </c>
      <c r="H409">
        <v>24.6</v>
      </c>
      <c r="I409">
        <v>10.4</v>
      </c>
      <c r="J409">
        <v>0.45800000000000002</v>
      </c>
      <c r="K409">
        <v>4.5999999999999996</v>
      </c>
      <c r="L409">
        <v>0.35499999999999998</v>
      </c>
      <c r="M409">
        <v>5.8</v>
      </c>
      <c r="N409">
        <v>0.54</v>
      </c>
      <c r="O409">
        <v>0.53700000000000003</v>
      </c>
      <c r="P409">
        <v>2</v>
      </c>
      <c r="Q409">
        <v>0.71099999999999997</v>
      </c>
      <c r="R409">
        <v>3.6</v>
      </c>
      <c r="S409">
        <v>1.2</v>
      </c>
      <c r="T409">
        <v>0.7</v>
      </c>
      <c r="U409">
        <v>0.5</v>
      </c>
      <c r="V409">
        <v>1.2</v>
      </c>
      <c r="W409">
        <v>2</v>
      </c>
      <c r="X409">
        <v>12.6</v>
      </c>
      <c r="Y409">
        <v>0</v>
      </c>
      <c r="Z409">
        <v>-3.5</v>
      </c>
      <c r="AA409">
        <v>12.2</v>
      </c>
      <c r="AB409">
        <v>4.5999999999999999E-2</v>
      </c>
    </row>
    <row r="410" spans="1:28" x14ac:dyDescent="0.35">
      <c r="A410" s="1" t="s">
        <v>18</v>
      </c>
      <c r="B410" s="1" t="s">
        <v>35</v>
      </c>
      <c r="C410" s="1" t="s">
        <v>19</v>
      </c>
      <c r="D410" s="1" t="s">
        <v>20</v>
      </c>
      <c r="E410" s="4">
        <v>1</v>
      </c>
      <c r="F410">
        <v>32</v>
      </c>
      <c r="G410">
        <v>81</v>
      </c>
      <c r="H410">
        <v>18.8</v>
      </c>
      <c r="I410">
        <v>7.7</v>
      </c>
      <c r="J410">
        <v>0.55000000000000004</v>
      </c>
      <c r="K410">
        <v>0.5</v>
      </c>
      <c r="L410">
        <v>0.216</v>
      </c>
      <c r="M410">
        <v>7.3</v>
      </c>
      <c r="N410">
        <v>0.57099999999999995</v>
      </c>
      <c r="O410">
        <v>0.55700000000000005</v>
      </c>
      <c r="P410">
        <v>2</v>
      </c>
      <c r="Q410">
        <v>0.879</v>
      </c>
      <c r="R410">
        <v>7.7</v>
      </c>
      <c r="S410">
        <v>2</v>
      </c>
      <c r="T410">
        <v>0.5</v>
      </c>
      <c r="U410">
        <v>0.6</v>
      </c>
      <c r="V410">
        <v>1.5</v>
      </c>
      <c r="W410">
        <v>2.2000000000000002</v>
      </c>
      <c r="X410">
        <v>10.4</v>
      </c>
      <c r="Y410">
        <v>12</v>
      </c>
      <c r="Z410">
        <v>0.6</v>
      </c>
      <c r="AA410">
        <v>20.8</v>
      </c>
      <c r="AB410">
        <v>0.13700000000000001</v>
      </c>
    </row>
    <row r="411" spans="1:28" x14ac:dyDescent="0.35">
      <c r="A411" s="1" t="s">
        <v>18</v>
      </c>
      <c r="B411" s="1" t="s">
        <v>597</v>
      </c>
      <c r="C411" s="1" t="s">
        <v>19</v>
      </c>
      <c r="D411" s="1" t="s">
        <v>20</v>
      </c>
      <c r="E411" s="4">
        <v>2.7</v>
      </c>
      <c r="F411">
        <v>34</v>
      </c>
      <c r="G411">
        <v>73</v>
      </c>
      <c r="H411">
        <v>31.2</v>
      </c>
      <c r="I411">
        <v>14.2</v>
      </c>
      <c r="J411">
        <v>0.53</v>
      </c>
      <c r="K411">
        <v>4.4000000000000004</v>
      </c>
      <c r="L411">
        <v>0.40200000000000002</v>
      </c>
      <c r="M411">
        <v>9.8000000000000007</v>
      </c>
      <c r="N411">
        <v>0.58699999999999997</v>
      </c>
      <c r="O411">
        <v>0.59199999999999997</v>
      </c>
      <c r="P411">
        <v>2</v>
      </c>
      <c r="Q411">
        <v>0.80500000000000005</v>
      </c>
      <c r="R411">
        <v>10.1</v>
      </c>
      <c r="S411">
        <v>3.5</v>
      </c>
      <c r="T411">
        <v>0.8</v>
      </c>
      <c r="U411">
        <v>0.7</v>
      </c>
      <c r="V411">
        <v>1.6</v>
      </c>
      <c r="W411">
        <v>2.2000000000000002</v>
      </c>
      <c r="X411">
        <v>18.5</v>
      </c>
      <c r="Y411">
        <v>13</v>
      </c>
      <c r="Z411">
        <v>2.6</v>
      </c>
      <c r="AA411">
        <v>20.3</v>
      </c>
      <c r="AB411">
        <v>0.153</v>
      </c>
    </row>
    <row r="412" spans="1:28" x14ac:dyDescent="0.35">
      <c r="A412" s="1" t="s">
        <v>2</v>
      </c>
      <c r="B412" s="1" t="s">
        <v>35</v>
      </c>
      <c r="C412" s="1" t="s">
        <v>33</v>
      </c>
      <c r="D412" s="1" t="s">
        <v>20</v>
      </c>
      <c r="E412" s="4">
        <v>0.6</v>
      </c>
      <c r="F412">
        <v>26</v>
      </c>
      <c r="G412">
        <v>40</v>
      </c>
      <c r="H412">
        <v>15.6</v>
      </c>
      <c r="I412">
        <v>5.3</v>
      </c>
      <c r="J412">
        <v>0.443</v>
      </c>
      <c r="K412">
        <v>2.2999999999999998</v>
      </c>
      <c r="L412">
        <v>0.34799999999999998</v>
      </c>
      <c r="M412">
        <v>3</v>
      </c>
      <c r="N412">
        <v>0.51700000000000002</v>
      </c>
      <c r="O412">
        <v>0.51900000000000002</v>
      </c>
      <c r="P412">
        <v>2.1</v>
      </c>
      <c r="Q412">
        <v>0.74099999999999999</v>
      </c>
      <c r="R412">
        <v>2.8</v>
      </c>
      <c r="S412">
        <v>0.8</v>
      </c>
      <c r="T412">
        <v>1.2</v>
      </c>
      <c r="U412">
        <v>0.5</v>
      </c>
      <c r="V412">
        <v>0.8</v>
      </c>
      <c r="W412">
        <v>1.2</v>
      </c>
      <c r="X412">
        <v>7.1</v>
      </c>
      <c r="Y412">
        <v>6</v>
      </c>
      <c r="Z412">
        <v>1.5</v>
      </c>
      <c r="AA412">
        <v>16.3</v>
      </c>
      <c r="AB412">
        <v>0.1</v>
      </c>
    </row>
    <row r="413" spans="1:28" x14ac:dyDescent="0.35">
      <c r="A413" s="1" t="s">
        <v>26</v>
      </c>
      <c r="B413" s="1" t="s">
        <v>597</v>
      </c>
      <c r="C413" s="1" t="s">
        <v>23</v>
      </c>
      <c r="D413" s="1" t="s">
        <v>50</v>
      </c>
      <c r="E413" s="4">
        <v>-1</v>
      </c>
      <c r="F413">
        <v>24</v>
      </c>
      <c r="G413">
        <v>79</v>
      </c>
      <c r="H413">
        <v>25.7</v>
      </c>
      <c r="I413">
        <v>7.8</v>
      </c>
      <c r="J413">
        <v>0.39700000000000002</v>
      </c>
      <c r="K413">
        <v>4.5999999999999996</v>
      </c>
      <c r="L413">
        <v>0.33700000000000002</v>
      </c>
      <c r="M413">
        <v>3.3</v>
      </c>
      <c r="N413">
        <v>0.48099999999999998</v>
      </c>
      <c r="O413">
        <v>0.495</v>
      </c>
      <c r="P413">
        <v>2.1</v>
      </c>
      <c r="Q413">
        <v>0.81799999999999995</v>
      </c>
      <c r="R413">
        <v>3.4</v>
      </c>
      <c r="S413">
        <v>1.8</v>
      </c>
      <c r="T413">
        <v>0.5</v>
      </c>
      <c r="U413">
        <v>0.1</v>
      </c>
      <c r="V413">
        <v>1</v>
      </c>
      <c r="W413">
        <v>2.1</v>
      </c>
      <c r="X413">
        <v>9.5</v>
      </c>
      <c r="Y413">
        <v>1</v>
      </c>
      <c r="Z413">
        <v>-3.9</v>
      </c>
      <c r="AA413">
        <v>9.5</v>
      </c>
      <c r="AB413">
        <v>4.5999999999999999E-2</v>
      </c>
    </row>
    <row r="414" spans="1:28" x14ac:dyDescent="0.35">
      <c r="A414" s="1" t="s">
        <v>26</v>
      </c>
      <c r="B414" s="1" t="s">
        <v>597</v>
      </c>
      <c r="C414" s="1" t="s">
        <v>23</v>
      </c>
      <c r="D414" s="1" t="s">
        <v>28</v>
      </c>
      <c r="E414" s="4">
        <v>-0.7</v>
      </c>
      <c r="F414">
        <v>23</v>
      </c>
      <c r="G414">
        <v>73</v>
      </c>
      <c r="H414">
        <v>17.100000000000001</v>
      </c>
      <c r="I414">
        <v>6.3</v>
      </c>
      <c r="J414">
        <v>0.38200000000000001</v>
      </c>
      <c r="K414">
        <v>2.9</v>
      </c>
      <c r="L414">
        <v>0.25800000000000001</v>
      </c>
      <c r="M414">
        <v>3.4</v>
      </c>
      <c r="N414">
        <v>0.48799999999999999</v>
      </c>
      <c r="O414">
        <v>0.442</v>
      </c>
      <c r="P414">
        <v>2.1</v>
      </c>
      <c r="Q414">
        <v>0.80400000000000005</v>
      </c>
      <c r="R414">
        <v>2.9</v>
      </c>
      <c r="S414">
        <v>1.3</v>
      </c>
      <c r="T414">
        <v>0.4</v>
      </c>
      <c r="U414">
        <v>0.2</v>
      </c>
      <c r="V414">
        <v>0.7</v>
      </c>
      <c r="W414">
        <v>0.9</v>
      </c>
      <c r="X414">
        <v>7.3</v>
      </c>
      <c r="Y414">
        <v>1</v>
      </c>
      <c r="Z414">
        <v>-4.3</v>
      </c>
      <c r="AA414">
        <v>11.6</v>
      </c>
      <c r="AB414">
        <v>2.3E-2</v>
      </c>
    </row>
    <row r="415" spans="1:28" x14ac:dyDescent="0.35">
      <c r="A415" s="1" t="s">
        <v>2</v>
      </c>
      <c r="B415" s="1" t="s">
        <v>35</v>
      </c>
      <c r="C415" s="1" t="s">
        <v>23</v>
      </c>
      <c r="D415" s="1" t="s">
        <v>20</v>
      </c>
      <c r="E415" s="4">
        <v>0.1</v>
      </c>
      <c r="F415">
        <v>30</v>
      </c>
      <c r="G415">
        <v>34</v>
      </c>
      <c r="H415">
        <v>20</v>
      </c>
      <c r="I415">
        <v>7.6</v>
      </c>
      <c r="J415">
        <v>0.39300000000000002</v>
      </c>
      <c r="K415">
        <v>4.0999999999999996</v>
      </c>
      <c r="L415">
        <v>0.34799999999999998</v>
      </c>
      <c r="M415">
        <v>3.4</v>
      </c>
      <c r="N415">
        <v>0.44800000000000001</v>
      </c>
      <c r="O415">
        <v>0.48799999999999999</v>
      </c>
      <c r="P415">
        <v>2.1</v>
      </c>
      <c r="Q415">
        <v>0.76100000000000001</v>
      </c>
      <c r="R415">
        <v>2.1</v>
      </c>
      <c r="S415">
        <v>3.2</v>
      </c>
      <c r="T415">
        <v>1.1000000000000001</v>
      </c>
      <c r="U415">
        <v>0.3</v>
      </c>
      <c r="V415">
        <v>1.6</v>
      </c>
      <c r="W415">
        <v>1.6</v>
      </c>
      <c r="X415">
        <v>9</v>
      </c>
      <c r="Y415">
        <v>10</v>
      </c>
      <c r="Z415">
        <v>-1.5</v>
      </c>
      <c r="AA415">
        <v>12.4</v>
      </c>
      <c r="AB415">
        <v>5.0999999999999997E-2</v>
      </c>
    </row>
    <row r="416" spans="1:28" x14ac:dyDescent="0.35">
      <c r="A416" s="1" t="s">
        <v>2</v>
      </c>
      <c r="B416" s="1" t="s">
        <v>597</v>
      </c>
      <c r="C416" s="1" t="s">
        <v>23</v>
      </c>
      <c r="D416" s="1" t="s">
        <v>20</v>
      </c>
      <c r="E416" s="4">
        <v>3.6</v>
      </c>
      <c r="F416">
        <v>30</v>
      </c>
      <c r="G416">
        <v>76</v>
      </c>
      <c r="H416">
        <v>33.9</v>
      </c>
      <c r="I416">
        <v>12.6</v>
      </c>
      <c r="J416">
        <v>0.442</v>
      </c>
      <c r="K416">
        <v>9.1</v>
      </c>
      <c r="L416">
        <v>0.38400000000000001</v>
      </c>
      <c r="M416">
        <v>3.5</v>
      </c>
      <c r="N416">
        <v>0.59299999999999997</v>
      </c>
      <c r="O416">
        <v>0.57999999999999996</v>
      </c>
      <c r="P416">
        <v>2.1</v>
      </c>
      <c r="Q416">
        <v>0.83899999999999997</v>
      </c>
      <c r="R416">
        <v>4.5</v>
      </c>
      <c r="S416">
        <v>4.8</v>
      </c>
      <c r="T416">
        <v>0.9</v>
      </c>
      <c r="U416">
        <v>1.1000000000000001</v>
      </c>
      <c r="V416">
        <v>1.7</v>
      </c>
      <c r="W416">
        <v>1.8</v>
      </c>
      <c r="X416">
        <v>16.399999999999999</v>
      </c>
      <c r="Y416">
        <v>7</v>
      </c>
      <c r="Z416">
        <v>3.5</v>
      </c>
      <c r="AA416">
        <v>16.600000000000001</v>
      </c>
      <c r="AB416">
        <v>0.158</v>
      </c>
    </row>
    <row r="417" spans="1:28" x14ac:dyDescent="0.35">
      <c r="A417" s="1" t="s">
        <v>26</v>
      </c>
      <c r="B417" s="1" t="s">
        <v>598</v>
      </c>
      <c r="C417" s="1" t="s">
        <v>23</v>
      </c>
      <c r="D417" s="1" t="s">
        <v>28</v>
      </c>
      <c r="E417" s="4">
        <v>-0.1</v>
      </c>
      <c r="F417">
        <v>24</v>
      </c>
      <c r="G417">
        <v>14</v>
      </c>
      <c r="H417">
        <v>23.7</v>
      </c>
      <c r="I417">
        <v>7.8</v>
      </c>
      <c r="J417">
        <v>0.48599999999999999</v>
      </c>
      <c r="K417">
        <v>3.1</v>
      </c>
      <c r="L417">
        <v>0.32600000000000001</v>
      </c>
      <c r="M417">
        <v>4.7</v>
      </c>
      <c r="N417">
        <v>0.59099999999999997</v>
      </c>
      <c r="O417">
        <v>0.55000000000000004</v>
      </c>
      <c r="P417">
        <v>2.1</v>
      </c>
      <c r="Q417">
        <v>0.73299999999999998</v>
      </c>
      <c r="R417">
        <v>4.0999999999999996</v>
      </c>
      <c r="S417">
        <v>0.9</v>
      </c>
      <c r="T417">
        <v>0.7</v>
      </c>
      <c r="U417">
        <v>0.7</v>
      </c>
      <c r="V417">
        <v>0.9</v>
      </c>
      <c r="W417">
        <v>2.1</v>
      </c>
      <c r="X417">
        <v>10.1</v>
      </c>
      <c r="Y417">
        <v>0</v>
      </c>
      <c r="Z417">
        <v>-3.5</v>
      </c>
      <c r="AA417">
        <v>12.8</v>
      </c>
      <c r="AB417">
        <v>5.7000000000000002E-2</v>
      </c>
    </row>
    <row r="418" spans="1:28" x14ac:dyDescent="0.35">
      <c r="A418" s="1" t="s">
        <v>2</v>
      </c>
      <c r="B418" s="1" t="s">
        <v>597</v>
      </c>
      <c r="C418" s="1" t="s">
        <v>23</v>
      </c>
      <c r="D418" s="1" t="s">
        <v>20</v>
      </c>
      <c r="E418" s="4">
        <v>2.2000000000000002</v>
      </c>
      <c r="F418">
        <v>27</v>
      </c>
      <c r="G418">
        <v>70</v>
      </c>
      <c r="H418">
        <v>19.899999999999999</v>
      </c>
      <c r="I418">
        <v>8.8000000000000007</v>
      </c>
      <c r="J418">
        <v>0.51600000000000001</v>
      </c>
      <c r="K418">
        <v>3.6</v>
      </c>
      <c r="L418">
        <v>0.439</v>
      </c>
      <c r="M418">
        <v>5.2</v>
      </c>
      <c r="N418">
        <v>0.56999999999999995</v>
      </c>
      <c r="O418">
        <v>0.60599999999999998</v>
      </c>
      <c r="P418">
        <v>2.1</v>
      </c>
      <c r="Q418">
        <v>0.872</v>
      </c>
      <c r="R418">
        <v>2.5</v>
      </c>
      <c r="S418">
        <v>3.4</v>
      </c>
      <c r="T418">
        <v>1.1000000000000001</v>
      </c>
      <c r="U418">
        <v>0</v>
      </c>
      <c r="V418">
        <v>1.3</v>
      </c>
      <c r="W418">
        <v>1.5</v>
      </c>
      <c r="X418">
        <v>12.5</v>
      </c>
      <c r="Y418">
        <v>5</v>
      </c>
      <c r="Z418">
        <v>4.3</v>
      </c>
      <c r="AA418">
        <v>21</v>
      </c>
      <c r="AB418">
        <v>0.20399999999999999</v>
      </c>
    </row>
    <row r="419" spans="1:28" x14ac:dyDescent="0.35">
      <c r="A419" s="1" t="s">
        <v>2</v>
      </c>
      <c r="B419" s="1" t="s">
        <v>597</v>
      </c>
      <c r="C419" s="1" t="s">
        <v>19</v>
      </c>
      <c r="D419" s="1" t="s">
        <v>50</v>
      </c>
      <c r="E419" s="4">
        <v>-0.1</v>
      </c>
      <c r="F419">
        <v>25</v>
      </c>
      <c r="G419">
        <v>65</v>
      </c>
      <c r="H419">
        <v>28.9</v>
      </c>
      <c r="I419">
        <v>8.3000000000000007</v>
      </c>
      <c r="J419">
        <v>0.45800000000000002</v>
      </c>
      <c r="K419">
        <v>2.7</v>
      </c>
      <c r="L419">
        <v>0.29099999999999998</v>
      </c>
      <c r="M419">
        <v>5.6</v>
      </c>
      <c r="N419">
        <v>0.53800000000000003</v>
      </c>
      <c r="O419">
        <v>0.50600000000000001</v>
      </c>
      <c r="P419">
        <v>2.1</v>
      </c>
      <c r="Q419">
        <v>0.79400000000000004</v>
      </c>
      <c r="R419">
        <v>3.3</v>
      </c>
      <c r="S419">
        <v>5</v>
      </c>
      <c r="T419">
        <v>1.2</v>
      </c>
      <c r="U419">
        <v>0.2</v>
      </c>
      <c r="V419">
        <v>1.7</v>
      </c>
      <c r="W419">
        <v>2.2999999999999998</v>
      </c>
      <c r="X419">
        <v>10</v>
      </c>
      <c r="Y419">
        <v>2</v>
      </c>
      <c r="Z419">
        <v>-2.2999999999999998</v>
      </c>
      <c r="AA419">
        <v>11.7</v>
      </c>
      <c r="AB419">
        <v>7.0999999999999994E-2</v>
      </c>
    </row>
    <row r="420" spans="1:28" x14ac:dyDescent="0.35">
      <c r="A420" s="1" t="s">
        <v>18</v>
      </c>
      <c r="B420" s="1" t="s">
        <v>598</v>
      </c>
      <c r="C420" s="1" t="s">
        <v>33</v>
      </c>
      <c r="D420" s="1" t="s">
        <v>50</v>
      </c>
      <c r="E420" s="4">
        <v>2.1</v>
      </c>
      <c r="F420">
        <v>26</v>
      </c>
      <c r="G420">
        <v>57</v>
      </c>
      <c r="H420">
        <v>27.9</v>
      </c>
      <c r="I420">
        <v>8.4</v>
      </c>
      <c r="J420">
        <v>0.58099999999999996</v>
      </c>
      <c r="K420">
        <v>0.3</v>
      </c>
      <c r="L420">
        <v>0</v>
      </c>
      <c r="M420">
        <v>8.1</v>
      </c>
      <c r="N420">
        <v>0.60499999999999998</v>
      </c>
      <c r="O420">
        <v>0.58099999999999996</v>
      </c>
      <c r="P420">
        <v>2.1</v>
      </c>
      <c r="Q420">
        <v>0.67500000000000004</v>
      </c>
      <c r="R420">
        <v>10.7</v>
      </c>
      <c r="S420">
        <v>3.8</v>
      </c>
      <c r="T420">
        <v>0.8</v>
      </c>
      <c r="U420">
        <v>1.1000000000000001</v>
      </c>
      <c r="V420">
        <v>1.7</v>
      </c>
      <c r="W420">
        <v>3</v>
      </c>
      <c r="X420">
        <v>11.2</v>
      </c>
      <c r="Y420">
        <v>6</v>
      </c>
      <c r="Z420">
        <v>3.2</v>
      </c>
      <c r="AA420">
        <v>18.899999999999999</v>
      </c>
      <c r="AB420">
        <v>0.20499999999999999</v>
      </c>
    </row>
    <row r="421" spans="1:28" x14ac:dyDescent="0.35">
      <c r="A421" s="1" t="s">
        <v>26</v>
      </c>
      <c r="B421" s="1" t="s">
        <v>598</v>
      </c>
      <c r="C421" s="1" t="s">
        <v>23</v>
      </c>
      <c r="D421" s="1" t="s">
        <v>50</v>
      </c>
      <c r="E421" s="4">
        <v>1.3</v>
      </c>
      <c r="F421">
        <v>34</v>
      </c>
      <c r="G421">
        <v>68</v>
      </c>
      <c r="H421">
        <v>29.2</v>
      </c>
      <c r="I421">
        <v>7.5</v>
      </c>
      <c r="J421">
        <v>0.42399999999999999</v>
      </c>
      <c r="K421">
        <v>3.6</v>
      </c>
      <c r="L421">
        <v>0.32500000000000001</v>
      </c>
      <c r="M421">
        <v>3.9</v>
      </c>
      <c r="N421">
        <v>0.51700000000000002</v>
      </c>
      <c r="O421">
        <v>0.503</v>
      </c>
      <c r="P421">
        <v>2.2000000000000002</v>
      </c>
      <c r="Q421">
        <v>0.68700000000000006</v>
      </c>
      <c r="R421">
        <v>6.1</v>
      </c>
      <c r="S421">
        <v>5.6</v>
      </c>
      <c r="T421">
        <v>1.5</v>
      </c>
      <c r="U421">
        <v>1</v>
      </c>
      <c r="V421">
        <v>2.6</v>
      </c>
      <c r="W421">
        <v>3.2</v>
      </c>
      <c r="X421">
        <v>9</v>
      </c>
      <c r="Y421">
        <v>12</v>
      </c>
      <c r="Z421">
        <v>0.5</v>
      </c>
      <c r="AA421">
        <v>12.4</v>
      </c>
      <c r="AB421">
        <v>8.7999999999999995E-2</v>
      </c>
    </row>
    <row r="422" spans="1:28" x14ac:dyDescent="0.35">
      <c r="A422" s="1" t="s">
        <v>26</v>
      </c>
      <c r="B422" s="1" t="s">
        <v>597</v>
      </c>
      <c r="C422" s="1" t="s">
        <v>23</v>
      </c>
      <c r="D422" s="1" t="s">
        <v>28</v>
      </c>
      <c r="E422" s="4">
        <v>-0.1</v>
      </c>
      <c r="F422">
        <v>24</v>
      </c>
      <c r="G422">
        <v>5</v>
      </c>
      <c r="H422">
        <v>12.6</v>
      </c>
      <c r="I422">
        <v>6.4</v>
      </c>
      <c r="J422">
        <v>0.40600000000000003</v>
      </c>
      <c r="K422">
        <v>2</v>
      </c>
      <c r="L422">
        <v>0.2</v>
      </c>
      <c r="M422">
        <v>4.4000000000000004</v>
      </c>
      <c r="N422">
        <v>0.5</v>
      </c>
      <c r="O422">
        <v>0.438</v>
      </c>
      <c r="P422">
        <v>2.2000000000000002</v>
      </c>
      <c r="Q422">
        <v>0.72699999999999998</v>
      </c>
      <c r="R422">
        <v>4.2</v>
      </c>
      <c r="S422">
        <v>0.4</v>
      </c>
      <c r="T422">
        <v>0</v>
      </c>
      <c r="U422">
        <v>0.2</v>
      </c>
      <c r="V422">
        <v>0.4</v>
      </c>
      <c r="W422">
        <v>1.8</v>
      </c>
      <c r="X422">
        <v>7.2</v>
      </c>
      <c r="Y422">
        <v>0</v>
      </c>
      <c r="Z422">
        <v>-5.5</v>
      </c>
      <c r="AA422">
        <v>14.4</v>
      </c>
      <c r="AB422">
        <v>9.2999999999999999E-2</v>
      </c>
    </row>
    <row r="423" spans="1:28" x14ac:dyDescent="0.35">
      <c r="A423" s="1" t="s">
        <v>26</v>
      </c>
      <c r="B423" s="1" t="s">
        <v>35</v>
      </c>
      <c r="C423" s="1" t="s">
        <v>23</v>
      </c>
      <c r="D423" s="1" t="s">
        <v>28</v>
      </c>
      <c r="E423" s="4">
        <v>-0.4</v>
      </c>
      <c r="F423">
        <v>29</v>
      </c>
      <c r="G423">
        <v>45</v>
      </c>
      <c r="H423">
        <v>27.1</v>
      </c>
      <c r="I423">
        <v>6.8</v>
      </c>
      <c r="J423">
        <v>0.42399999999999999</v>
      </c>
      <c r="K423">
        <v>2.2999999999999998</v>
      </c>
      <c r="L423">
        <v>0.35899999999999999</v>
      </c>
      <c r="M423">
        <v>4.5</v>
      </c>
      <c r="N423">
        <v>0.45800000000000002</v>
      </c>
      <c r="O423">
        <v>0.48499999999999999</v>
      </c>
      <c r="P423">
        <v>2.2000000000000002</v>
      </c>
      <c r="Q423">
        <v>0.622</v>
      </c>
      <c r="R423">
        <v>3.9</v>
      </c>
      <c r="S423">
        <v>2.1</v>
      </c>
      <c r="T423">
        <v>1</v>
      </c>
      <c r="U423">
        <v>0.5</v>
      </c>
      <c r="V423">
        <v>1.2</v>
      </c>
      <c r="W423">
        <v>1.9</v>
      </c>
      <c r="X423">
        <v>7.9</v>
      </c>
      <c r="Y423">
        <v>5</v>
      </c>
      <c r="Z423">
        <v>-3.2</v>
      </c>
      <c r="AA423">
        <v>9.6</v>
      </c>
      <c r="AB423">
        <v>2.5000000000000001E-2</v>
      </c>
    </row>
    <row r="424" spans="1:28" x14ac:dyDescent="0.35">
      <c r="A424" s="1" t="s">
        <v>2</v>
      </c>
      <c r="B424" s="1" t="s">
        <v>598</v>
      </c>
      <c r="C424" s="1" t="s">
        <v>23</v>
      </c>
      <c r="D424" s="1" t="s">
        <v>28</v>
      </c>
      <c r="E424" s="4">
        <v>1.7</v>
      </c>
      <c r="F424">
        <v>24</v>
      </c>
      <c r="G424">
        <v>79</v>
      </c>
      <c r="H424">
        <v>21.3</v>
      </c>
      <c r="I424">
        <v>7.5</v>
      </c>
      <c r="J424">
        <v>0.48</v>
      </c>
      <c r="K424">
        <v>2.8</v>
      </c>
      <c r="L424">
        <v>0.39700000000000002</v>
      </c>
      <c r="M424">
        <v>4.7</v>
      </c>
      <c r="N424">
        <v>0.52800000000000002</v>
      </c>
      <c r="O424">
        <v>0.55300000000000005</v>
      </c>
      <c r="P424">
        <v>2.2000000000000002</v>
      </c>
      <c r="Q424">
        <v>0.71299999999999997</v>
      </c>
      <c r="R424">
        <v>3.3</v>
      </c>
      <c r="S424">
        <v>4.4000000000000004</v>
      </c>
      <c r="T424">
        <v>1.3</v>
      </c>
      <c r="U424">
        <v>0.4</v>
      </c>
      <c r="V424">
        <v>1.7</v>
      </c>
      <c r="W424">
        <v>2.6</v>
      </c>
      <c r="X424">
        <v>9.9</v>
      </c>
      <c r="Y424">
        <v>2</v>
      </c>
      <c r="Z424">
        <v>1.9</v>
      </c>
      <c r="AA424">
        <v>15.8</v>
      </c>
      <c r="AB424">
        <v>0.13300000000000001</v>
      </c>
    </row>
    <row r="425" spans="1:28" x14ac:dyDescent="0.35">
      <c r="A425" s="1" t="s">
        <v>18</v>
      </c>
      <c r="B425" s="1" t="s">
        <v>598</v>
      </c>
      <c r="C425" s="1" t="s">
        <v>19</v>
      </c>
      <c r="D425" s="1" t="s">
        <v>28</v>
      </c>
      <c r="E425" s="4">
        <v>0</v>
      </c>
      <c r="F425">
        <v>25</v>
      </c>
      <c r="G425">
        <v>14</v>
      </c>
      <c r="H425">
        <v>18.2</v>
      </c>
      <c r="I425">
        <v>5</v>
      </c>
      <c r="J425">
        <v>0.6</v>
      </c>
      <c r="K425">
        <v>0</v>
      </c>
      <c r="M425">
        <v>5</v>
      </c>
      <c r="N425">
        <v>0.6</v>
      </c>
      <c r="O425">
        <v>0.6</v>
      </c>
      <c r="P425">
        <v>2.2000000000000002</v>
      </c>
      <c r="Q425">
        <v>0.74199999999999999</v>
      </c>
      <c r="R425">
        <v>8.6999999999999993</v>
      </c>
      <c r="S425">
        <v>0.6</v>
      </c>
      <c r="T425">
        <v>0.9</v>
      </c>
      <c r="U425">
        <v>0.1</v>
      </c>
      <c r="V425">
        <v>0.7</v>
      </c>
      <c r="W425">
        <v>1.7</v>
      </c>
      <c r="X425">
        <v>7.6</v>
      </c>
      <c r="Y425">
        <v>1</v>
      </c>
      <c r="Z425">
        <v>-1.4</v>
      </c>
      <c r="AA425">
        <v>21</v>
      </c>
      <c r="AB425">
        <v>0.182</v>
      </c>
    </row>
    <row r="426" spans="1:28" x14ac:dyDescent="0.35">
      <c r="A426" s="1" t="s">
        <v>26</v>
      </c>
      <c r="B426" s="1" t="s">
        <v>598</v>
      </c>
      <c r="C426" s="1" t="s">
        <v>23</v>
      </c>
      <c r="D426" s="1" t="s">
        <v>20</v>
      </c>
      <c r="E426" s="4">
        <v>0.6</v>
      </c>
      <c r="F426">
        <v>21</v>
      </c>
      <c r="G426">
        <v>57</v>
      </c>
      <c r="H426">
        <v>30.1</v>
      </c>
      <c r="I426">
        <v>9.9</v>
      </c>
      <c r="J426">
        <v>0.438</v>
      </c>
      <c r="K426">
        <v>4.9000000000000004</v>
      </c>
      <c r="L426">
        <v>0.35399999999999998</v>
      </c>
      <c r="M426">
        <v>5.0999999999999996</v>
      </c>
      <c r="N426">
        <v>0.51900000000000002</v>
      </c>
      <c r="O426">
        <v>0.52500000000000002</v>
      </c>
      <c r="P426">
        <v>2.2000000000000002</v>
      </c>
      <c r="Q426">
        <v>0.82499999999999996</v>
      </c>
      <c r="R426">
        <v>7</v>
      </c>
      <c r="S426">
        <v>1.1000000000000001</v>
      </c>
      <c r="T426">
        <v>0.4</v>
      </c>
      <c r="U426">
        <v>0.7</v>
      </c>
      <c r="V426">
        <v>1.1000000000000001</v>
      </c>
      <c r="W426">
        <v>2.2000000000000002</v>
      </c>
      <c r="X426">
        <v>12.2</v>
      </c>
      <c r="Y426">
        <v>2</v>
      </c>
      <c r="Z426">
        <v>-0.7</v>
      </c>
      <c r="AA426">
        <v>12.6</v>
      </c>
      <c r="AB426">
        <v>0.11700000000000001</v>
      </c>
    </row>
    <row r="427" spans="1:28" x14ac:dyDescent="0.35">
      <c r="A427" s="1" t="s">
        <v>26</v>
      </c>
      <c r="B427" s="1" t="s">
        <v>597</v>
      </c>
      <c r="C427" s="1" t="s">
        <v>33</v>
      </c>
      <c r="D427" s="1" t="s">
        <v>20</v>
      </c>
      <c r="E427" s="4">
        <v>0.4</v>
      </c>
      <c r="F427">
        <v>23</v>
      </c>
      <c r="G427">
        <v>66</v>
      </c>
      <c r="H427">
        <v>20.7</v>
      </c>
      <c r="I427">
        <v>7</v>
      </c>
      <c r="J427">
        <v>0.46100000000000002</v>
      </c>
      <c r="K427">
        <v>1.8</v>
      </c>
      <c r="L427">
        <v>0.311</v>
      </c>
      <c r="M427">
        <v>5.2</v>
      </c>
      <c r="N427">
        <v>0.51300000000000001</v>
      </c>
      <c r="O427">
        <v>0.501</v>
      </c>
      <c r="P427">
        <v>2.2000000000000002</v>
      </c>
      <c r="Q427">
        <v>0.754</v>
      </c>
      <c r="R427">
        <v>4.4000000000000004</v>
      </c>
      <c r="S427">
        <v>2.5</v>
      </c>
      <c r="T427">
        <v>0.9</v>
      </c>
      <c r="U427">
        <v>0.2</v>
      </c>
      <c r="V427">
        <v>1.5</v>
      </c>
      <c r="W427">
        <v>1.2</v>
      </c>
      <c r="X427">
        <v>8.6</v>
      </c>
      <c r="Y427">
        <v>1</v>
      </c>
      <c r="Z427">
        <v>-0.9</v>
      </c>
      <c r="AA427">
        <v>14.3</v>
      </c>
      <c r="AB427">
        <v>8.1000000000000003E-2</v>
      </c>
    </row>
    <row r="428" spans="1:28" x14ac:dyDescent="0.35">
      <c r="A428" s="1" t="s">
        <v>2</v>
      </c>
      <c r="B428" s="1" t="s">
        <v>598</v>
      </c>
      <c r="C428" s="1" t="s">
        <v>23</v>
      </c>
      <c r="D428" s="1" t="s">
        <v>20</v>
      </c>
      <c r="E428" s="4">
        <v>-1.6</v>
      </c>
      <c r="F428">
        <v>20</v>
      </c>
      <c r="G428">
        <v>71</v>
      </c>
      <c r="H428">
        <v>25.9</v>
      </c>
      <c r="I428">
        <v>7.8</v>
      </c>
      <c r="J428">
        <v>0.42199999999999999</v>
      </c>
      <c r="K428">
        <v>2.4</v>
      </c>
      <c r="L428">
        <v>0.249</v>
      </c>
      <c r="M428">
        <v>5.4</v>
      </c>
      <c r="N428">
        <v>0.497</v>
      </c>
      <c r="O428">
        <v>0.45900000000000002</v>
      </c>
      <c r="P428">
        <v>2.2000000000000002</v>
      </c>
      <c r="Q428">
        <v>0.68200000000000005</v>
      </c>
      <c r="R428">
        <v>3.3</v>
      </c>
      <c r="S428">
        <v>6.3</v>
      </c>
      <c r="T428">
        <v>0.9</v>
      </c>
      <c r="U428">
        <v>0.2</v>
      </c>
      <c r="V428">
        <v>2.9</v>
      </c>
      <c r="W428">
        <v>2.1</v>
      </c>
      <c r="X428">
        <v>8.6999999999999993</v>
      </c>
      <c r="Y428">
        <v>0</v>
      </c>
      <c r="Z428">
        <v>-5.3</v>
      </c>
      <c r="AA428">
        <v>9.6999999999999993</v>
      </c>
      <c r="AB428">
        <v>-2.1000000000000001E-2</v>
      </c>
    </row>
    <row r="429" spans="1:28" x14ac:dyDescent="0.35">
      <c r="A429" s="1" t="s">
        <v>18</v>
      </c>
      <c r="B429" s="1" t="s">
        <v>597</v>
      </c>
      <c r="C429" s="1" t="s">
        <v>33</v>
      </c>
      <c r="D429" s="1" t="s">
        <v>50</v>
      </c>
      <c r="E429" s="4">
        <v>1.1000000000000001</v>
      </c>
      <c r="F429">
        <v>25</v>
      </c>
      <c r="G429">
        <v>70</v>
      </c>
      <c r="H429">
        <v>26.9</v>
      </c>
      <c r="I429">
        <v>8.1</v>
      </c>
      <c r="J429">
        <v>0.56299999999999994</v>
      </c>
      <c r="K429">
        <v>0.3</v>
      </c>
      <c r="L429">
        <v>0.23799999999999999</v>
      </c>
      <c r="M429">
        <v>7.8</v>
      </c>
      <c r="N429">
        <v>0.57599999999999996</v>
      </c>
      <c r="O429">
        <v>0.56799999999999995</v>
      </c>
      <c r="P429">
        <v>2.2000000000000002</v>
      </c>
      <c r="Q429">
        <v>0.51300000000000001</v>
      </c>
      <c r="R429">
        <v>7.4</v>
      </c>
      <c r="S429">
        <v>2.2000000000000002</v>
      </c>
      <c r="T429">
        <v>0.9</v>
      </c>
      <c r="U429">
        <v>1.4</v>
      </c>
      <c r="V429">
        <v>1.2</v>
      </c>
      <c r="W429">
        <v>2.1</v>
      </c>
      <c r="X429">
        <v>10.3</v>
      </c>
      <c r="Y429">
        <v>5</v>
      </c>
      <c r="Z429">
        <v>0.4</v>
      </c>
      <c r="AA429">
        <v>16.5</v>
      </c>
      <c r="AB429">
        <v>0.11</v>
      </c>
    </row>
    <row r="430" spans="1:28" x14ac:dyDescent="0.35">
      <c r="A430" s="1" t="s">
        <v>26</v>
      </c>
      <c r="B430" s="1" t="s">
        <v>597</v>
      </c>
      <c r="C430" s="1" t="s">
        <v>23</v>
      </c>
      <c r="D430" s="1" t="s">
        <v>20</v>
      </c>
      <c r="E430" s="4">
        <v>0.1</v>
      </c>
      <c r="F430">
        <v>26</v>
      </c>
      <c r="G430">
        <v>16</v>
      </c>
      <c r="H430">
        <v>29.9</v>
      </c>
      <c r="I430">
        <v>7.7</v>
      </c>
      <c r="J430">
        <v>0.439</v>
      </c>
      <c r="K430">
        <v>4.5999999999999996</v>
      </c>
      <c r="L430">
        <v>0.36499999999999999</v>
      </c>
      <c r="M430">
        <v>3.1</v>
      </c>
      <c r="N430">
        <v>0.55100000000000005</v>
      </c>
      <c r="O430">
        <v>0.54900000000000004</v>
      </c>
      <c r="P430">
        <v>2.2999999999999998</v>
      </c>
      <c r="Q430">
        <v>0.83799999999999997</v>
      </c>
      <c r="R430">
        <v>5.0999999999999996</v>
      </c>
      <c r="S430">
        <v>2.2999999999999998</v>
      </c>
      <c r="T430">
        <v>1.1000000000000001</v>
      </c>
      <c r="U430">
        <v>0.8</v>
      </c>
      <c r="V430">
        <v>1.8</v>
      </c>
      <c r="W430">
        <v>2.9</v>
      </c>
      <c r="X430">
        <v>10.4</v>
      </c>
      <c r="Y430">
        <v>5</v>
      </c>
      <c r="Z430">
        <v>-1.6</v>
      </c>
      <c r="AA430">
        <v>11.5</v>
      </c>
      <c r="AB430">
        <v>7.0999999999999994E-2</v>
      </c>
    </row>
    <row r="431" spans="1:28" x14ac:dyDescent="0.35">
      <c r="A431" s="1" t="s">
        <v>26</v>
      </c>
      <c r="B431" s="1" t="s">
        <v>597</v>
      </c>
      <c r="C431" s="1" t="s">
        <v>19</v>
      </c>
      <c r="D431" s="1" t="s">
        <v>28</v>
      </c>
      <c r="E431" s="4">
        <v>-0.1</v>
      </c>
      <c r="F431">
        <v>26</v>
      </c>
      <c r="G431">
        <v>6</v>
      </c>
      <c r="H431">
        <v>23.7</v>
      </c>
      <c r="I431">
        <v>6.5</v>
      </c>
      <c r="J431">
        <v>0.48699999999999999</v>
      </c>
      <c r="K431">
        <v>3</v>
      </c>
      <c r="L431">
        <v>0.33300000000000002</v>
      </c>
      <c r="M431">
        <v>3.5</v>
      </c>
      <c r="N431">
        <v>0.61899999999999999</v>
      </c>
      <c r="O431">
        <v>0.56399999999999995</v>
      </c>
      <c r="P431">
        <v>2.2999999999999998</v>
      </c>
      <c r="Q431">
        <v>0.57099999999999995</v>
      </c>
      <c r="R431">
        <v>3.7</v>
      </c>
      <c r="S431">
        <v>0.7</v>
      </c>
      <c r="T431">
        <v>0.7</v>
      </c>
      <c r="U431">
        <v>0.5</v>
      </c>
      <c r="V431">
        <v>1.3</v>
      </c>
      <c r="W431">
        <v>2.2999999999999998</v>
      </c>
      <c r="X431">
        <v>8.6999999999999993</v>
      </c>
      <c r="Y431">
        <v>5</v>
      </c>
      <c r="Z431">
        <v>-6.3</v>
      </c>
      <c r="AA431">
        <v>9.8000000000000007</v>
      </c>
      <c r="AB431">
        <v>1.9E-2</v>
      </c>
    </row>
    <row r="432" spans="1:28" x14ac:dyDescent="0.35">
      <c r="A432" s="1" t="s">
        <v>2</v>
      </c>
      <c r="B432" s="1" t="s">
        <v>598</v>
      </c>
      <c r="C432" s="1" t="s">
        <v>23</v>
      </c>
      <c r="D432" s="1" t="s">
        <v>28</v>
      </c>
      <c r="E432" s="4">
        <v>1.5</v>
      </c>
      <c r="F432">
        <v>30</v>
      </c>
      <c r="G432">
        <v>60</v>
      </c>
      <c r="H432">
        <v>35.200000000000003</v>
      </c>
      <c r="I432">
        <v>12.7</v>
      </c>
      <c r="J432">
        <v>0.378</v>
      </c>
      <c r="K432">
        <v>7.7</v>
      </c>
      <c r="L432">
        <v>0.34499999999999997</v>
      </c>
      <c r="M432">
        <v>5</v>
      </c>
      <c r="N432">
        <v>0.43</v>
      </c>
      <c r="O432">
        <v>0.48299999999999998</v>
      </c>
      <c r="P432">
        <v>2.2999999999999998</v>
      </c>
      <c r="Q432">
        <v>0.81</v>
      </c>
      <c r="R432">
        <v>3.7</v>
      </c>
      <c r="S432">
        <v>5.6</v>
      </c>
      <c r="T432">
        <v>1.6</v>
      </c>
      <c r="U432">
        <v>0.4</v>
      </c>
      <c r="V432">
        <v>1.5</v>
      </c>
      <c r="W432">
        <v>2.2999999999999998</v>
      </c>
      <c r="X432">
        <v>14.1</v>
      </c>
      <c r="Y432">
        <v>8</v>
      </c>
      <c r="Z432">
        <v>0.9</v>
      </c>
      <c r="AA432">
        <v>12.8</v>
      </c>
      <c r="AB432">
        <v>0.11899999999999999</v>
      </c>
    </row>
    <row r="433" spans="1:28" x14ac:dyDescent="0.35">
      <c r="A433" s="1" t="s">
        <v>18</v>
      </c>
      <c r="B433" s="1" t="s">
        <v>597</v>
      </c>
      <c r="C433" s="1" t="s">
        <v>23</v>
      </c>
      <c r="D433" s="1" t="s">
        <v>20</v>
      </c>
      <c r="E433" s="4">
        <v>-0.2</v>
      </c>
      <c r="F433">
        <v>31</v>
      </c>
      <c r="G433">
        <v>40</v>
      </c>
      <c r="H433">
        <v>18.8</v>
      </c>
      <c r="I433">
        <v>5.9</v>
      </c>
      <c r="J433">
        <v>0.5</v>
      </c>
      <c r="K433">
        <v>0.5</v>
      </c>
      <c r="L433">
        <v>0.15</v>
      </c>
      <c r="M433">
        <v>5.4</v>
      </c>
      <c r="N433">
        <v>0.53300000000000003</v>
      </c>
      <c r="O433">
        <v>0.50600000000000001</v>
      </c>
      <c r="P433">
        <v>2.2999999999999998</v>
      </c>
      <c r="Q433">
        <v>0.622</v>
      </c>
      <c r="R433">
        <v>7.8</v>
      </c>
      <c r="S433">
        <v>0.9</v>
      </c>
      <c r="T433">
        <v>1</v>
      </c>
      <c r="U433">
        <v>0.5</v>
      </c>
      <c r="V433">
        <v>1.4</v>
      </c>
      <c r="W433">
        <v>2.4</v>
      </c>
      <c r="X433">
        <v>7.3</v>
      </c>
      <c r="Y433">
        <v>12</v>
      </c>
      <c r="Z433">
        <v>-3.2</v>
      </c>
      <c r="AA433">
        <v>16</v>
      </c>
      <c r="AB433">
        <v>7.8E-2</v>
      </c>
    </row>
    <row r="434" spans="1:28" x14ac:dyDescent="0.35">
      <c r="A434" s="1" t="s">
        <v>26</v>
      </c>
      <c r="B434" s="1" t="s">
        <v>35</v>
      </c>
      <c r="C434" s="1" t="s">
        <v>23</v>
      </c>
      <c r="D434" s="1" t="s">
        <v>50</v>
      </c>
      <c r="E434" s="4">
        <v>0.6</v>
      </c>
      <c r="F434">
        <v>33</v>
      </c>
      <c r="G434">
        <v>37</v>
      </c>
      <c r="H434">
        <v>22.8</v>
      </c>
      <c r="I434">
        <v>9.1</v>
      </c>
      <c r="J434">
        <v>0.47499999999999998</v>
      </c>
      <c r="K434">
        <v>3.6</v>
      </c>
      <c r="L434">
        <v>0.36099999999999999</v>
      </c>
      <c r="M434">
        <v>5.5</v>
      </c>
      <c r="N434">
        <v>0.54900000000000004</v>
      </c>
      <c r="O434">
        <v>0.54600000000000004</v>
      </c>
      <c r="P434">
        <v>2.2999999999999998</v>
      </c>
      <c r="Q434">
        <v>0.85699999999999998</v>
      </c>
      <c r="R434">
        <v>3.7</v>
      </c>
      <c r="S434">
        <v>4.0999999999999996</v>
      </c>
      <c r="T434">
        <v>0.9</v>
      </c>
      <c r="U434">
        <v>0.2</v>
      </c>
      <c r="V434">
        <v>1.5</v>
      </c>
      <c r="W434">
        <v>2</v>
      </c>
      <c r="X434">
        <v>11.9</v>
      </c>
      <c r="Y434">
        <v>12</v>
      </c>
      <c r="Z434">
        <v>0.7</v>
      </c>
      <c r="AA434">
        <v>16.7</v>
      </c>
      <c r="AB434">
        <v>0.11600000000000001</v>
      </c>
    </row>
    <row r="435" spans="1:28" x14ac:dyDescent="0.35">
      <c r="A435" s="1" t="s">
        <v>2</v>
      </c>
      <c r="B435" s="1" t="s">
        <v>35</v>
      </c>
      <c r="C435" s="1" t="s">
        <v>23</v>
      </c>
      <c r="D435" s="1" t="s">
        <v>20</v>
      </c>
      <c r="E435" s="4">
        <v>0.5</v>
      </c>
      <c r="F435">
        <v>24</v>
      </c>
      <c r="G435">
        <v>75</v>
      </c>
      <c r="H435">
        <v>19.8</v>
      </c>
      <c r="I435">
        <v>8.6999999999999993</v>
      </c>
      <c r="J435">
        <v>0.44900000000000001</v>
      </c>
      <c r="K435">
        <v>2.4</v>
      </c>
      <c r="L435">
        <v>0.311</v>
      </c>
      <c r="M435">
        <v>6.3</v>
      </c>
      <c r="N435">
        <v>0.501</v>
      </c>
      <c r="O435">
        <v>0.49199999999999999</v>
      </c>
      <c r="P435">
        <v>2.2999999999999998</v>
      </c>
      <c r="Q435">
        <v>0.76900000000000002</v>
      </c>
      <c r="R435">
        <v>3.7</v>
      </c>
      <c r="S435">
        <v>3.4</v>
      </c>
      <c r="T435">
        <v>1.1000000000000001</v>
      </c>
      <c r="U435">
        <v>0.2</v>
      </c>
      <c r="V435">
        <v>1.8</v>
      </c>
      <c r="W435">
        <v>1.6</v>
      </c>
      <c r="X435">
        <v>10.3</v>
      </c>
      <c r="Y435">
        <v>4</v>
      </c>
      <c r="Z435">
        <v>-0.6</v>
      </c>
      <c r="AA435">
        <v>15.4</v>
      </c>
      <c r="AB435">
        <v>7.1999999999999995E-2</v>
      </c>
    </row>
    <row r="436" spans="1:28" x14ac:dyDescent="0.35">
      <c r="A436" s="1" t="s">
        <v>26</v>
      </c>
      <c r="B436" s="1" t="s">
        <v>598</v>
      </c>
      <c r="C436" s="1" t="s">
        <v>33</v>
      </c>
      <c r="D436" s="1" t="s">
        <v>20</v>
      </c>
      <c r="E436" s="4">
        <v>0.3</v>
      </c>
      <c r="F436">
        <v>21</v>
      </c>
      <c r="G436">
        <v>54</v>
      </c>
      <c r="H436">
        <v>25.3</v>
      </c>
      <c r="I436">
        <v>8.6999999999999993</v>
      </c>
      <c r="J436">
        <v>0.53500000000000003</v>
      </c>
      <c r="K436">
        <v>1.7</v>
      </c>
      <c r="L436">
        <v>0.308</v>
      </c>
      <c r="M436">
        <v>7</v>
      </c>
      <c r="N436">
        <v>0.59</v>
      </c>
      <c r="O436">
        <v>0.56499999999999995</v>
      </c>
      <c r="P436">
        <v>2.2999999999999998</v>
      </c>
      <c r="Q436">
        <v>0.69599999999999995</v>
      </c>
      <c r="R436">
        <v>6.5</v>
      </c>
      <c r="S436">
        <v>2.4</v>
      </c>
      <c r="T436">
        <v>0.8</v>
      </c>
      <c r="U436">
        <v>0.5</v>
      </c>
      <c r="V436">
        <v>1.6</v>
      </c>
      <c r="W436">
        <v>2.4</v>
      </c>
      <c r="X436">
        <v>11.4</v>
      </c>
      <c r="Y436">
        <v>2</v>
      </c>
      <c r="Z436">
        <v>-1.2</v>
      </c>
      <c r="AA436">
        <v>15.9</v>
      </c>
      <c r="AB436">
        <v>9.6000000000000002E-2</v>
      </c>
    </row>
    <row r="437" spans="1:28" x14ac:dyDescent="0.35">
      <c r="A437" s="1" t="s">
        <v>26</v>
      </c>
      <c r="B437" s="1" t="s">
        <v>598</v>
      </c>
      <c r="C437" s="1" t="s">
        <v>23</v>
      </c>
      <c r="D437" s="1" t="s">
        <v>28</v>
      </c>
      <c r="E437" s="4">
        <v>0.6</v>
      </c>
      <c r="F437">
        <v>27</v>
      </c>
      <c r="G437">
        <v>69</v>
      </c>
      <c r="H437">
        <v>27.8</v>
      </c>
      <c r="I437">
        <v>10.3</v>
      </c>
      <c r="J437">
        <v>0.50800000000000001</v>
      </c>
      <c r="K437">
        <v>3.2</v>
      </c>
      <c r="L437">
        <v>0.27500000000000002</v>
      </c>
      <c r="M437">
        <v>7.2</v>
      </c>
      <c r="N437">
        <v>0.61099999999999999</v>
      </c>
      <c r="O437">
        <v>0.55100000000000005</v>
      </c>
      <c r="P437">
        <v>2.2999999999999998</v>
      </c>
      <c r="Q437">
        <v>0.81299999999999994</v>
      </c>
      <c r="R437">
        <v>4.8</v>
      </c>
      <c r="S437">
        <v>3</v>
      </c>
      <c r="T437">
        <v>1</v>
      </c>
      <c r="U437">
        <v>0.2</v>
      </c>
      <c r="V437">
        <v>1.6</v>
      </c>
      <c r="W437">
        <v>1.6</v>
      </c>
      <c r="X437">
        <v>13.2</v>
      </c>
      <c r="Y437">
        <v>4</v>
      </c>
      <c r="Z437">
        <v>-0.8</v>
      </c>
      <c r="AA437">
        <v>15.1</v>
      </c>
      <c r="AB437">
        <v>8.6999999999999994E-2</v>
      </c>
    </row>
    <row r="438" spans="1:28" x14ac:dyDescent="0.35">
      <c r="A438" s="1" t="s">
        <v>26</v>
      </c>
      <c r="B438" s="1" t="s">
        <v>597</v>
      </c>
      <c r="C438" s="1" t="s">
        <v>23</v>
      </c>
      <c r="D438" s="1" t="s">
        <v>20</v>
      </c>
      <c r="E438" s="4">
        <v>1.2</v>
      </c>
      <c r="F438">
        <v>32</v>
      </c>
      <c r="G438">
        <v>73</v>
      </c>
      <c r="H438">
        <v>31.6</v>
      </c>
      <c r="I438">
        <v>11</v>
      </c>
      <c r="J438">
        <v>0.47699999999999998</v>
      </c>
      <c r="K438">
        <v>3.6</v>
      </c>
      <c r="L438">
        <v>0.34499999999999997</v>
      </c>
      <c r="M438">
        <v>7.4</v>
      </c>
      <c r="N438">
        <v>0.54200000000000004</v>
      </c>
      <c r="O438">
        <v>0.53400000000000003</v>
      </c>
      <c r="P438">
        <v>2.2999999999999998</v>
      </c>
      <c r="Q438">
        <v>0.86099999999999999</v>
      </c>
      <c r="R438">
        <v>5.9</v>
      </c>
      <c r="S438">
        <v>2.2000000000000002</v>
      </c>
      <c r="T438">
        <v>1</v>
      </c>
      <c r="U438">
        <v>0.8</v>
      </c>
      <c r="V438">
        <v>1.2</v>
      </c>
      <c r="W438">
        <v>1.9</v>
      </c>
      <c r="X438">
        <v>13.7</v>
      </c>
      <c r="Y438">
        <v>13</v>
      </c>
      <c r="Z438">
        <v>0.1</v>
      </c>
      <c r="AA438">
        <v>13.9</v>
      </c>
      <c r="AB438">
        <v>0.108</v>
      </c>
    </row>
    <row r="439" spans="1:28" x14ac:dyDescent="0.35">
      <c r="A439" s="1" t="s">
        <v>2</v>
      </c>
      <c r="B439" s="1" t="s">
        <v>597</v>
      </c>
      <c r="C439" s="1" t="s">
        <v>19</v>
      </c>
      <c r="D439" s="1" t="s">
        <v>28</v>
      </c>
      <c r="E439" s="4">
        <v>-0.1</v>
      </c>
      <c r="F439">
        <v>24</v>
      </c>
      <c r="G439">
        <v>26</v>
      </c>
      <c r="H439">
        <v>18.7</v>
      </c>
      <c r="I439">
        <v>7.3</v>
      </c>
      <c r="J439">
        <v>0.42099999999999999</v>
      </c>
      <c r="K439">
        <v>3.9</v>
      </c>
      <c r="L439">
        <v>0.32700000000000001</v>
      </c>
      <c r="M439">
        <v>3.4</v>
      </c>
      <c r="N439">
        <v>0.52800000000000002</v>
      </c>
      <c r="O439">
        <v>0.50800000000000001</v>
      </c>
      <c r="P439">
        <v>2.4</v>
      </c>
      <c r="Q439">
        <v>0.68300000000000005</v>
      </c>
      <c r="R439">
        <v>3.3</v>
      </c>
      <c r="S439">
        <v>1.2</v>
      </c>
      <c r="T439">
        <v>0.5</v>
      </c>
      <c r="U439">
        <v>0.2</v>
      </c>
      <c r="V439">
        <v>0.6</v>
      </c>
      <c r="W439">
        <v>1.7</v>
      </c>
      <c r="X439">
        <v>9.1</v>
      </c>
      <c r="Y439">
        <v>2</v>
      </c>
      <c r="Z439">
        <v>-2.5</v>
      </c>
      <c r="AA439">
        <v>12.7</v>
      </c>
      <c r="AB439">
        <v>8.1000000000000003E-2</v>
      </c>
    </row>
    <row r="440" spans="1:28" x14ac:dyDescent="0.35">
      <c r="A440" s="1" t="s">
        <v>26</v>
      </c>
      <c r="B440" s="1" t="s">
        <v>598</v>
      </c>
      <c r="C440" s="1" t="s">
        <v>23</v>
      </c>
      <c r="D440" s="1" t="s">
        <v>20</v>
      </c>
      <c r="E440" s="4">
        <v>1.2</v>
      </c>
      <c r="F440">
        <v>32</v>
      </c>
      <c r="G440">
        <v>82</v>
      </c>
      <c r="H440">
        <v>27.2</v>
      </c>
      <c r="I440">
        <v>8.3000000000000007</v>
      </c>
      <c r="J440">
        <v>0.50800000000000001</v>
      </c>
      <c r="K440">
        <v>4.4000000000000004</v>
      </c>
      <c r="L440">
        <v>0.433</v>
      </c>
      <c r="M440">
        <v>3.9</v>
      </c>
      <c r="N440">
        <v>0.59099999999999997</v>
      </c>
      <c r="O440">
        <v>0.622</v>
      </c>
      <c r="P440">
        <v>2.4</v>
      </c>
      <c r="Q440">
        <v>0.80900000000000005</v>
      </c>
      <c r="R440">
        <v>3.8</v>
      </c>
      <c r="S440">
        <v>1.7</v>
      </c>
      <c r="T440">
        <v>0.5</v>
      </c>
      <c r="U440">
        <v>0.2</v>
      </c>
      <c r="V440">
        <v>0.6</v>
      </c>
      <c r="W440">
        <v>0.9</v>
      </c>
      <c r="X440">
        <v>12.3</v>
      </c>
      <c r="Y440">
        <v>12</v>
      </c>
      <c r="Z440">
        <v>0</v>
      </c>
      <c r="AA440">
        <v>14.9</v>
      </c>
      <c r="AB440">
        <v>0.12</v>
      </c>
    </row>
    <row r="441" spans="1:28" x14ac:dyDescent="0.35">
      <c r="A441" s="1" t="s">
        <v>2</v>
      </c>
      <c r="B441" s="1" t="s">
        <v>35</v>
      </c>
      <c r="C441" s="1" t="s">
        <v>23</v>
      </c>
      <c r="D441" s="1" t="s">
        <v>20</v>
      </c>
      <c r="E441" s="4">
        <v>1.2</v>
      </c>
      <c r="F441">
        <v>30</v>
      </c>
      <c r="G441">
        <v>64</v>
      </c>
      <c r="H441">
        <v>24.9</v>
      </c>
      <c r="I441">
        <v>9.4</v>
      </c>
      <c r="J441">
        <v>0.46700000000000003</v>
      </c>
      <c r="K441">
        <v>4.4000000000000004</v>
      </c>
      <c r="L441">
        <v>0.373</v>
      </c>
      <c r="M441">
        <v>4.9000000000000004</v>
      </c>
      <c r="N441">
        <v>0.55200000000000005</v>
      </c>
      <c r="O441">
        <v>0.55600000000000005</v>
      </c>
      <c r="P441">
        <v>2.4</v>
      </c>
      <c r="Q441">
        <v>0.71</v>
      </c>
      <c r="R441">
        <v>3.2</v>
      </c>
      <c r="S441">
        <v>3.4</v>
      </c>
      <c r="T441">
        <v>0.9</v>
      </c>
      <c r="U441">
        <v>0.5</v>
      </c>
      <c r="V441">
        <v>1.2</v>
      </c>
      <c r="W441">
        <v>1.5</v>
      </c>
      <c r="X441">
        <v>12.1</v>
      </c>
      <c r="Y441">
        <v>8</v>
      </c>
      <c r="Z441">
        <v>0.9</v>
      </c>
      <c r="AA441">
        <v>15.2</v>
      </c>
      <c r="AB441">
        <v>0.11899999999999999</v>
      </c>
    </row>
    <row r="442" spans="1:28" x14ac:dyDescent="0.35">
      <c r="A442" s="1" t="s">
        <v>2</v>
      </c>
      <c r="B442" s="1" t="s">
        <v>597</v>
      </c>
      <c r="C442" s="1" t="s">
        <v>23</v>
      </c>
      <c r="D442" s="1" t="s">
        <v>20</v>
      </c>
      <c r="E442" s="4">
        <v>0.3</v>
      </c>
      <c r="F442">
        <v>20</v>
      </c>
      <c r="G442">
        <v>23</v>
      </c>
      <c r="H442">
        <v>25.7</v>
      </c>
      <c r="I442">
        <v>11.9</v>
      </c>
      <c r="J442">
        <v>0.46</v>
      </c>
      <c r="K442">
        <v>5.8</v>
      </c>
      <c r="L442">
        <v>0.38300000000000001</v>
      </c>
      <c r="M442">
        <v>6.1</v>
      </c>
      <c r="N442">
        <v>0.53200000000000003</v>
      </c>
      <c r="O442">
        <v>0.55300000000000005</v>
      </c>
      <c r="P442">
        <v>2.4</v>
      </c>
      <c r="Q442">
        <v>0.875</v>
      </c>
      <c r="R442">
        <v>2.4</v>
      </c>
      <c r="S442">
        <v>2.6</v>
      </c>
      <c r="T442">
        <v>0.7</v>
      </c>
      <c r="U442">
        <v>0</v>
      </c>
      <c r="V442">
        <v>1.6</v>
      </c>
      <c r="W442">
        <v>1.6</v>
      </c>
      <c r="X442">
        <v>15.3</v>
      </c>
      <c r="Y442">
        <v>0</v>
      </c>
      <c r="Z442">
        <v>0.2</v>
      </c>
      <c r="AA442">
        <v>15.2</v>
      </c>
      <c r="AB442">
        <v>5.7000000000000002E-2</v>
      </c>
    </row>
    <row r="443" spans="1:28" x14ac:dyDescent="0.35">
      <c r="A443" s="1" t="s">
        <v>26</v>
      </c>
      <c r="B443" s="1" t="s">
        <v>597</v>
      </c>
      <c r="C443" s="1" t="s">
        <v>23</v>
      </c>
      <c r="D443" s="1" t="s">
        <v>20</v>
      </c>
      <c r="E443" s="4">
        <v>1.2</v>
      </c>
      <c r="F443">
        <v>22</v>
      </c>
      <c r="G443">
        <v>59</v>
      </c>
      <c r="H443">
        <v>22.5</v>
      </c>
      <c r="I443">
        <v>7.8</v>
      </c>
      <c r="J443">
        <v>0.53500000000000003</v>
      </c>
      <c r="K443">
        <v>0.8</v>
      </c>
      <c r="L443">
        <v>0.224</v>
      </c>
      <c r="M443">
        <v>7</v>
      </c>
      <c r="N443">
        <v>0.57199999999999995</v>
      </c>
      <c r="O443">
        <v>0.54700000000000004</v>
      </c>
      <c r="P443">
        <v>2.4</v>
      </c>
      <c r="Q443">
        <v>0.64100000000000001</v>
      </c>
      <c r="R443">
        <v>5.0999999999999996</v>
      </c>
      <c r="S443">
        <v>2.2999999999999998</v>
      </c>
      <c r="T443">
        <v>1.7</v>
      </c>
      <c r="U443">
        <v>0.7</v>
      </c>
      <c r="V443">
        <v>1.4</v>
      </c>
      <c r="W443">
        <v>2.8</v>
      </c>
      <c r="X443">
        <v>10.1</v>
      </c>
      <c r="Y443">
        <v>1</v>
      </c>
      <c r="Z443">
        <v>1.7</v>
      </c>
      <c r="AA443">
        <v>17.2</v>
      </c>
      <c r="AB443">
        <v>0.13800000000000001</v>
      </c>
    </row>
    <row r="444" spans="1:28" x14ac:dyDescent="0.35">
      <c r="A444" s="1" t="s">
        <v>26</v>
      </c>
      <c r="B444" s="1" t="s">
        <v>597</v>
      </c>
      <c r="C444" s="1" t="s">
        <v>23</v>
      </c>
      <c r="D444" s="1" t="s">
        <v>20</v>
      </c>
      <c r="E444" s="4">
        <v>0.5</v>
      </c>
      <c r="F444">
        <v>34</v>
      </c>
      <c r="G444">
        <v>41</v>
      </c>
      <c r="H444">
        <v>32.5</v>
      </c>
      <c r="I444">
        <v>13.9</v>
      </c>
      <c r="J444">
        <v>0.43</v>
      </c>
      <c r="K444">
        <v>6.5</v>
      </c>
      <c r="L444">
        <v>0.35799999999999998</v>
      </c>
      <c r="M444">
        <v>7.4</v>
      </c>
      <c r="N444">
        <v>0.49299999999999999</v>
      </c>
      <c r="O444">
        <v>0.51400000000000001</v>
      </c>
      <c r="P444">
        <v>2.4</v>
      </c>
      <c r="Q444">
        <v>0.81399999999999995</v>
      </c>
      <c r="R444">
        <v>5.3</v>
      </c>
      <c r="S444">
        <v>4.3</v>
      </c>
      <c r="T444">
        <v>1.8</v>
      </c>
      <c r="U444">
        <v>0.5</v>
      </c>
      <c r="V444">
        <v>2.6</v>
      </c>
      <c r="W444">
        <v>2.5</v>
      </c>
      <c r="X444">
        <v>16.2</v>
      </c>
      <c r="Y444">
        <v>14</v>
      </c>
      <c r="Z444">
        <v>-0.4</v>
      </c>
      <c r="AA444">
        <v>14.5</v>
      </c>
      <c r="AB444">
        <v>3.5999999999999997E-2</v>
      </c>
    </row>
    <row r="445" spans="1:28" x14ac:dyDescent="0.35">
      <c r="A445" s="1" t="s">
        <v>2</v>
      </c>
      <c r="B445" s="1" t="s">
        <v>597</v>
      </c>
      <c r="C445" s="1" t="s">
        <v>23</v>
      </c>
      <c r="D445" s="1" t="s">
        <v>28</v>
      </c>
      <c r="E445" s="4">
        <v>-0.1</v>
      </c>
      <c r="F445">
        <v>26</v>
      </c>
      <c r="G445">
        <v>6</v>
      </c>
      <c r="H445">
        <v>18.7</v>
      </c>
      <c r="I445">
        <v>4.7</v>
      </c>
      <c r="J445">
        <v>0.42899999999999999</v>
      </c>
      <c r="K445">
        <v>2.5</v>
      </c>
      <c r="L445">
        <v>0.4</v>
      </c>
      <c r="M445">
        <v>2.2000000000000002</v>
      </c>
      <c r="N445">
        <v>0.46200000000000002</v>
      </c>
      <c r="O445">
        <v>0.53600000000000003</v>
      </c>
      <c r="P445">
        <v>2.5</v>
      </c>
      <c r="Q445">
        <v>0.8</v>
      </c>
      <c r="R445">
        <v>1</v>
      </c>
      <c r="S445">
        <v>2</v>
      </c>
      <c r="T445">
        <v>0.5</v>
      </c>
      <c r="U445">
        <v>0.2</v>
      </c>
      <c r="V445">
        <v>1.3</v>
      </c>
      <c r="W445">
        <v>1.7</v>
      </c>
      <c r="X445">
        <v>7</v>
      </c>
      <c r="Y445">
        <v>0</v>
      </c>
      <c r="Z445">
        <v>-4.0999999999999996</v>
      </c>
      <c r="AA445">
        <v>9.8000000000000007</v>
      </c>
      <c r="AB445">
        <v>4.8000000000000001E-2</v>
      </c>
    </row>
    <row r="446" spans="1:28" x14ac:dyDescent="0.35">
      <c r="A446" s="1" t="s">
        <v>18</v>
      </c>
      <c r="B446" s="1" t="s">
        <v>35</v>
      </c>
      <c r="C446" s="1" t="s">
        <v>19</v>
      </c>
      <c r="D446" s="1" t="s">
        <v>20</v>
      </c>
      <c r="E446" s="4">
        <v>0.3</v>
      </c>
      <c r="F446">
        <v>33</v>
      </c>
      <c r="G446">
        <v>44</v>
      </c>
      <c r="H446">
        <v>20.3</v>
      </c>
      <c r="I446">
        <v>6.1</v>
      </c>
      <c r="J446">
        <v>0.5</v>
      </c>
      <c r="K446">
        <v>1.8</v>
      </c>
      <c r="L446">
        <v>0.41799999999999998</v>
      </c>
      <c r="M446">
        <v>4.3</v>
      </c>
      <c r="N446">
        <v>0.53400000000000003</v>
      </c>
      <c r="O446">
        <v>0.56200000000000006</v>
      </c>
      <c r="P446">
        <v>2.5</v>
      </c>
      <c r="Q446">
        <v>0.76900000000000002</v>
      </c>
      <c r="R446">
        <v>4.7</v>
      </c>
      <c r="S446">
        <v>2.9</v>
      </c>
      <c r="T446">
        <v>0.8</v>
      </c>
      <c r="U446">
        <v>0.4</v>
      </c>
      <c r="V446">
        <v>1.7</v>
      </c>
      <c r="W446">
        <v>2.8</v>
      </c>
      <c r="X446">
        <v>8.6999999999999993</v>
      </c>
      <c r="Y446">
        <v>11</v>
      </c>
      <c r="Z446">
        <v>-0.7</v>
      </c>
      <c r="AA446">
        <v>14.9</v>
      </c>
      <c r="AB446">
        <v>9.1999999999999998E-2</v>
      </c>
    </row>
    <row r="447" spans="1:28" x14ac:dyDescent="0.35">
      <c r="A447" s="1" t="s">
        <v>18</v>
      </c>
      <c r="B447" s="1" t="s">
        <v>35</v>
      </c>
      <c r="C447" s="1" t="s">
        <v>19</v>
      </c>
      <c r="D447" s="1" t="s">
        <v>20</v>
      </c>
      <c r="E447" s="4">
        <v>0.2</v>
      </c>
      <c r="F447">
        <v>30</v>
      </c>
      <c r="G447">
        <v>51</v>
      </c>
      <c r="H447">
        <v>20.8</v>
      </c>
      <c r="I447">
        <v>6.9</v>
      </c>
      <c r="J447">
        <v>0.47699999999999998</v>
      </c>
      <c r="K447">
        <v>2.1</v>
      </c>
      <c r="L447">
        <v>0.30499999999999999</v>
      </c>
      <c r="M447">
        <v>4.8</v>
      </c>
      <c r="N447">
        <v>0.55100000000000005</v>
      </c>
      <c r="O447">
        <v>0.52300000000000002</v>
      </c>
      <c r="P447">
        <v>2.5</v>
      </c>
      <c r="Q447">
        <v>0.66400000000000003</v>
      </c>
      <c r="R447">
        <v>7.8</v>
      </c>
      <c r="S447">
        <v>2.2999999999999998</v>
      </c>
      <c r="T447">
        <v>0.8</v>
      </c>
      <c r="U447">
        <v>0.7</v>
      </c>
      <c r="V447">
        <v>1.9</v>
      </c>
      <c r="W447">
        <v>2.5</v>
      </c>
      <c r="X447">
        <v>8.9</v>
      </c>
      <c r="Y447">
        <v>10</v>
      </c>
      <c r="Z447">
        <v>-1.3</v>
      </c>
      <c r="AA447">
        <v>15.2</v>
      </c>
      <c r="AB447">
        <v>6.6000000000000003E-2</v>
      </c>
    </row>
    <row r="448" spans="1:28" x14ac:dyDescent="0.35">
      <c r="A448" s="1" t="s">
        <v>2</v>
      </c>
      <c r="B448" s="1" t="s">
        <v>35</v>
      </c>
      <c r="C448" s="1" t="s">
        <v>23</v>
      </c>
      <c r="D448" s="1" t="s">
        <v>20</v>
      </c>
      <c r="E448" s="4">
        <v>0.6</v>
      </c>
      <c r="F448">
        <v>28</v>
      </c>
      <c r="G448">
        <v>58</v>
      </c>
      <c r="H448">
        <v>25.5</v>
      </c>
      <c r="I448">
        <v>11</v>
      </c>
      <c r="J448">
        <v>0.39</v>
      </c>
      <c r="K448">
        <v>6.2</v>
      </c>
      <c r="L448">
        <v>0.314</v>
      </c>
      <c r="M448">
        <v>4.8</v>
      </c>
      <c r="N448">
        <v>0.48899999999999999</v>
      </c>
      <c r="O448">
        <v>0.47899999999999998</v>
      </c>
      <c r="P448">
        <v>2.5</v>
      </c>
      <c r="Q448">
        <v>0.83399999999999996</v>
      </c>
      <c r="R448">
        <v>2.8</v>
      </c>
      <c r="S448">
        <v>5.0999999999999996</v>
      </c>
      <c r="T448">
        <v>1</v>
      </c>
      <c r="U448">
        <v>0.4</v>
      </c>
      <c r="V448">
        <v>1.9</v>
      </c>
      <c r="W448">
        <v>2</v>
      </c>
      <c r="X448">
        <v>12.6</v>
      </c>
      <c r="Y448">
        <v>9</v>
      </c>
      <c r="Z448">
        <v>-0.4</v>
      </c>
      <c r="AA448">
        <v>14</v>
      </c>
      <c r="AB448">
        <v>6.3E-2</v>
      </c>
    </row>
    <row r="449" spans="1:28" x14ac:dyDescent="0.35">
      <c r="A449" s="1" t="s">
        <v>2</v>
      </c>
      <c r="B449" s="1" t="s">
        <v>597</v>
      </c>
      <c r="C449" s="1" t="s">
        <v>23</v>
      </c>
      <c r="D449" s="1" t="s">
        <v>20</v>
      </c>
      <c r="E449" s="4">
        <v>0</v>
      </c>
      <c r="F449">
        <v>21</v>
      </c>
      <c r="G449">
        <v>78</v>
      </c>
      <c r="H449">
        <v>24.2</v>
      </c>
      <c r="I449">
        <v>7.9</v>
      </c>
      <c r="J449">
        <v>0.42299999999999999</v>
      </c>
      <c r="K449">
        <v>2.5</v>
      </c>
      <c r="L449">
        <v>0.318</v>
      </c>
      <c r="M449">
        <v>5.4</v>
      </c>
      <c r="N449">
        <v>0.47099999999999997</v>
      </c>
      <c r="O449">
        <v>0.47299999999999998</v>
      </c>
      <c r="P449">
        <v>2.5</v>
      </c>
      <c r="Q449">
        <v>0.76100000000000001</v>
      </c>
      <c r="R449">
        <v>2.9</v>
      </c>
      <c r="S449">
        <v>3.1</v>
      </c>
      <c r="T449">
        <v>1.1000000000000001</v>
      </c>
      <c r="U449">
        <v>0.6</v>
      </c>
      <c r="V449">
        <v>1.8</v>
      </c>
      <c r="W449">
        <v>2.1</v>
      </c>
      <c r="X449">
        <v>9.4</v>
      </c>
      <c r="Y449">
        <v>1</v>
      </c>
      <c r="Z449">
        <v>-1.9</v>
      </c>
      <c r="AA449">
        <v>11.6</v>
      </c>
      <c r="AB449">
        <v>6.0999999999999999E-2</v>
      </c>
    </row>
    <row r="450" spans="1:28" x14ac:dyDescent="0.35">
      <c r="A450" s="1" t="s">
        <v>26</v>
      </c>
      <c r="B450" s="1" t="s">
        <v>598</v>
      </c>
      <c r="C450" s="1" t="s">
        <v>23</v>
      </c>
      <c r="D450" s="1" t="s">
        <v>20</v>
      </c>
      <c r="E450" s="4">
        <v>0.2</v>
      </c>
      <c r="F450">
        <v>25</v>
      </c>
      <c r="G450">
        <v>77</v>
      </c>
      <c r="H450">
        <v>23.9</v>
      </c>
      <c r="I450">
        <v>10</v>
      </c>
      <c r="J450">
        <v>0.48199999999999998</v>
      </c>
      <c r="K450">
        <v>3.6</v>
      </c>
      <c r="L450">
        <v>0.318</v>
      </c>
      <c r="M450">
        <v>6.4</v>
      </c>
      <c r="N450">
        <v>0.57299999999999995</v>
      </c>
      <c r="O450">
        <v>0.53800000000000003</v>
      </c>
      <c r="P450">
        <v>2.5</v>
      </c>
      <c r="Q450">
        <v>0.77300000000000002</v>
      </c>
      <c r="R450">
        <v>4.8</v>
      </c>
      <c r="S450">
        <v>1.6</v>
      </c>
      <c r="T450">
        <v>0.6</v>
      </c>
      <c r="U450">
        <v>0.3</v>
      </c>
      <c r="V450">
        <v>1</v>
      </c>
      <c r="W450">
        <v>1.5</v>
      </c>
      <c r="X450">
        <v>12.7</v>
      </c>
      <c r="Y450">
        <v>5</v>
      </c>
      <c r="Z450">
        <v>-1.6</v>
      </c>
      <c r="AA450">
        <v>15.6</v>
      </c>
      <c r="AB450">
        <v>8.3000000000000004E-2</v>
      </c>
    </row>
    <row r="451" spans="1:28" x14ac:dyDescent="0.35">
      <c r="A451" s="1" t="s">
        <v>18</v>
      </c>
      <c r="B451" s="1" t="s">
        <v>597</v>
      </c>
      <c r="C451" s="1" t="s">
        <v>19</v>
      </c>
      <c r="D451" s="1" t="s">
        <v>20</v>
      </c>
      <c r="E451" s="4">
        <v>-0.6</v>
      </c>
      <c r="F451">
        <v>19</v>
      </c>
      <c r="G451">
        <v>67</v>
      </c>
      <c r="H451">
        <v>27.1</v>
      </c>
      <c r="I451">
        <v>12.4</v>
      </c>
      <c r="J451">
        <v>0.39400000000000002</v>
      </c>
      <c r="K451">
        <v>5.0999999999999996</v>
      </c>
      <c r="L451">
        <v>0.308</v>
      </c>
      <c r="M451">
        <v>7.3</v>
      </c>
      <c r="N451">
        <v>0.45400000000000001</v>
      </c>
      <c r="O451">
        <v>0.45700000000000002</v>
      </c>
      <c r="P451">
        <v>2.5</v>
      </c>
      <c r="Q451">
        <v>0.67900000000000005</v>
      </c>
      <c r="R451">
        <v>6.5</v>
      </c>
      <c r="S451">
        <v>2.4</v>
      </c>
      <c r="T451">
        <v>0.7</v>
      </c>
      <c r="U451">
        <v>1.5</v>
      </c>
      <c r="V451">
        <v>1.7</v>
      </c>
      <c r="W451">
        <v>2.2000000000000002</v>
      </c>
      <c r="X451">
        <v>13</v>
      </c>
      <c r="Y451">
        <v>0</v>
      </c>
      <c r="Z451">
        <v>-3.3</v>
      </c>
      <c r="AA451">
        <v>12.9</v>
      </c>
      <c r="AB451">
        <v>-7.0000000000000001E-3</v>
      </c>
    </row>
    <row r="452" spans="1:28" x14ac:dyDescent="0.35">
      <c r="A452" s="1" t="s">
        <v>26</v>
      </c>
      <c r="B452" s="1" t="s">
        <v>598</v>
      </c>
      <c r="C452" s="1" t="s">
        <v>23</v>
      </c>
      <c r="D452" s="1" t="s">
        <v>20</v>
      </c>
      <c r="E452" s="4">
        <v>1.2</v>
      </c>
      <c r="F452">
        <v>26</v>
      </c>
      <c r="G452">
        <v>77</v>
      </c>
      <c r="H452">
        <v>33.700000000000003</v>
      </c>
      <c r="I452">
        <v>13.6</v>
      </c>
      <c r="J452">
        <v>0.504</v>
      </c>
      <c r="K452">
        <v>6.4</v>
      </c>
      <c r="L452">
        <v>0.39500000000000002</v>
      </c>
      <c r="M452">
        <v>7.3</v>
      </c>
      <c r="N452">
        <v>0.59899999999999998</v>
      </c>
      <c r="O452">
        <v>0.59599999999999997</v>
      </c>
      <c r="P452">
        <v>2.5</v>
      </c>
      <c r="Q452">
        <v>0.76800000000000002</v>
      </c>
      <c r="R452">
        <v>7</v>
      </c>
      <c r="S452">
        <v>2.1</v>
      </c>
      <c r="T452">
        <v>0.6</v>
      </c>
      <c r="U452">
        <v>0.5</v>
      </c>
      <c r="V452">
        <v>1.4</v>
      </c>
      <c r="W452">
        <v>2</v>
      </c>
      <c r="X452">
        <v>18.2</v>
      </c>
      <c r="Y452">
        <v>6</v>
      </c>
      <c r="Z452">
        <v>-0.1</v>
      </c>
      <c r="AA452">
        <v>16.2</v>
      </c>
      <c r="AB452">
        <v>0.11799999999999999</v>
      </c>
    </row>
    <row r="453" spans="1:28" x14ac:dyDescent="0.35">
      <c r="A453" s="1" t="s">
        <v>18</v>
      </c>
      <c r="B453" s="1" t="s">
        <v>597</v>
      </c>
      <c r="C453" s="1" t="s">
        <v>19</v>
      </c>
      <c r="D453" s="1" t="s">
        <v>20</v>
      </c>
      <c r="E453" s="4">
        <v>1.7</v>
      </c>
      <c r="F453">
        <v>29</v>
      </c>
      <c r="G453">
        <v>57</v>
      </c>
      <c r="H453">
        <v>29.6</v>
      </c>
      <c r="I453">
        <v>10.199999999999999</v>
      </c>
      <c r="J453">
        <v>0.627</v>
      </c>
      <c r="K453">
        <v>0.1</v>
      </c>
      <c r="L453">
        <v>0.33300000000000002</v>
      </c>
      <c r="M453">
        <v>10.1</v>
      </c>
      <c r="N453">
        <v>0.628</v>
      </c>
      <c r="O453">
        <v>0.628</v>
      </c>
      <c r="P453">
        <v>2.5</v>
      </c>
      <c r="Q453">
        <v>0.67400000000000004</v>
      </c>
      <c r="R453">
        <v>9.6</v>
      </c>
      <c r="S453">
        <v>2.8</v>
      </c>
      <c r="T453">
        <v>1.2</v>
      </c>
      <c r="U453">
        <v>1.2</v>
      </c>
      <c r="V453">
        <v>1.9</v>
      </c>
      <c r="W453">
        <v>3.1</v>
      </c>
      <c r="X453">
        <v>14.5</v>
      </c>
      <c r="Y453">
        <v>8</v>
      </c>
      <c r="Z453">
        <v>2</v>
      </c>
      <c r="AA453">
        <v>20</v>
      </c>
      <c r="AB453">
        <v>0.158</v>
      </c>
    </row>
    <row r="454" spans="1:28" x14ac:dyDescent="0.35">
      <c r="A454" s="1" t="s">
        <v>18</v>
      </c>
      <c r="B454" s="1" t="s">
        <v>597</v>
      </c>
      <c r="C454" s="1" t="s">
        <v>23</v>
      </c>
      <c r="D454" s="1" t="s">
        <v>20</v>
      </c>
      <c r="E454" s="4">
        <v>0.3</v>
      </c>
      <c r="F454">
        <v>25</v>
      </c>
      <c r="G454">
        <v>68</v>
      </c>
      <c r="H454">
        <v>25.9</v>
      </c>
      <c r="I454">
        <v>7.2</v>
      </c>
      <c r="J454">
        <v>0.46</v>
      </c>
      <c r="K454">
        <v>2.2999999999999998</v>
      </c>
      <c r="L454">
        <v>0.23400000000000001</v>
      </c>
      <c r="M454">
        <v>4.9000000000000004</v>
      </c>
      <c r="N454">
        <v>0.56799999999999995</v>
      </c>
      <c r="O454">
        <v>0.498</v>
      </c>
      <c r="P454">
        <v>2.6</v>
      </c>
      <c r="Q454">
        <v>0.73699999999999999</v>
      </c>
      <c r="R454">
        <v>7.2</v>
      </c>
      <c r="S454">
        <v>2</v>
      </c>
      <c r="T454">
        <v>0.8</v>
      </c>
      <c r="U454">
        <v>0.6</v>
      </c>
      <c r="V454">
        <v>1.1000000000000001</v>
      </c>
      <c r="W454">
        <v>2.9</v>
      </c>
      <c r="X454">
        <v>9.1</v>
      </c>
      <c r="Y454">
        <v>6</v>
      </c>
      <c r="Z454">
        <v>-1.2</v>
      </c>
      <c r="AA454">
        <v>13.7</v>
      </c>
      <c r="AB454">
        <v>0.125</v>
      </c>
    </row>
    <row r="455" spans="1:28" x14ac:dyDescent="0.35">
      <c r="A455" s="1" t="s">
        <v>26</v>
      </c>
      <c r="B455" s="1" t="s">
        <v>597</v>
      </c>
      <c r="C455" s="1" t="s">
        <v>19</v>
      </c>
      <c r="D455" s="1" t="s">
        <v>28</v>
      </c>
      <c r="E455" s="4">
        <v>-0.2</v>
      </c>
      <c r="F455">
        <v>23</v>
      </c>
      <c r="G455">
        <v>28</v>
      </c>
      <c r="H455">
        <v>23.8</v>
      </c>
      <c r="I455">
        <v>7.9</v>
      </c>
      <c r="J455">
        <v>0.42699999999999999</v>
      </c>
      <c r="K455">
        <v>2.8</v>
      </c>
      <c r="L455">
        <v>0.312</v>
      </c>
      <c r="M455">
        <v>5.0999999999999996</v>
      </c>
      <c r="N455">
        <v>0.49</v>
      </c>
      <c r="O455">
        <v>0.48199999999999998</v>
      </c>
      <c r="P455">
        <v>2.6</v>
      </c>
      <c r="Q455">
        <v>0.753</v>
      </c>
      <c r="R455">
        <v>4.3</v>
      </c>
      <c r="S455">
        <v>2</v>
      </c>
      <c r="T455">
        <v>0.9</v>
      </c>
      <c r="U455">
        <v>0.4</v>
      </c>
      <c r="V455">
        <v>1.4</v>
      </c>
      <c r="W455">
        <v>2</v>
      </c>
      <c r="X455">
        <v>9.5</v>
      </c>
      <c r="Y455">
        <v>1</v>
      </c>
      <c r="Z455">
        <v>-3.2</v>
      </c>
      <c r="AA455">
        <v>11.6</v>
      </c>
      <c r="AB455">
        <v>4.3999999999999997E-2</v>
      </c>
    </row>
    <row r="456" spans="1:28" x14ac:dyDescent="0.35">
      <c r="A456" s="1" t="s">
        <v>18</v>
      </c>
      <c r="B456" s="1" t="s">
        <v>598</v>
      </c>
      <c r="C456" s="1" t="s">
        <v>23</v>
      </c>
      <c r="D456" s="1" t="s">
        <v>20</v>
      </c>
      <c r="E456" s="4">
        <v>1.7</v>
      </c>
      <c r="F456">
        <v>23</v>
      </c>
      <c r="G456">
        <v>58</v>
      </c>
      <c r="H456">
        <v>30</v>
      </c>
      <c r="I456">
        <v>7.2</v>
      </c>
      <c r="J456">
        <v>0.66300000000000003</v>
      </c>
      <c r="K456">
        <v>0.6</v>
      </c>
      <c r="L456">
        <v>0.17599999999999999</v>
      </c>
      <c r="M456">
        <v>6.6</v>
      </c>
      <c r="N456">
        <v>0.70599999999999996</v>
      </c>
      <c r="O456">
        <v>0.67100000000000004</v>
      </c>
      <c r="P456">
        <v>2.6</v>
      </c>
      <c r="Q456">
        <v>0.52</v>
      </c>
      <c r="R456">
        <v>12.2</v>
      </c>
      <c r="S456">
        <v>1.7</v>
      </c>
      <c r="T456">
        <v>0.6</v>
      </c>
      <c r="U456">
        <v>2.4</v>
      </c>
      <c r="V456">
        <v>1.5</v>
      </c>
      <c r="W456">
        <v>2.2000000000000002</v>
      </c>
      <c r="X456">
        <v>11.1</v>
      </c>
      <c r="Y456">
        <v>2</v>
      </c>
      <c r="Z456">
        <v>1.8</v>
      </c>
      <c r="AA456">
        <v>20</v>
      </c>
      <c r="AB456">
        <v>0.14899999999999999</v>
      </c>
    </row>
    <row r="457" spans="1:28" x14ac:dyDescent="0.35">
      <c r="A457" s="1" t="s">
        <v>2</v>
      </c>
      <c r="B457" s="1" t="s">
        <v>598</v>
      </c>
      <c r="C457" s="1" t="s">
        <v>23</v>
      </c>
      <c r="D457" s="1" t="s">
        <v>20</v>
      </c>
      <c r="E457" s="4">
        <v>0.4</v>
      </c>
      <c r="F457">
        <v>31</v>
      </c>
      <c r="G457">
        <v>53</v>
      </c>
      <c r="H457">
        <v>32.1</v>
      </c>
      <c r="I457">
        <v>13.1</v>
      </c>
      <c r="J457">
        <v>0.497</v>
      </c>
      <c r="K457">
        <v>5</v>
      </c>
      <c r="L457">
        <v>0.38600000000000001</v>
      </c>
      <c r="M457">
        <v>8.1</v>
      </c>
      <c r="N457">
        <v>0.56499999999999995</v>
      </c>
      <c r="O457">
        <v>0.57099999999999995</v>
      </c>
      <c r="P457">
        <v>2.6</v>
      </c>
      <c r="Q457">
        <v>0.80300000000000005</v>
      </c>
      <c r="R457">
        <v>3.3</v>
      </c>
      <c r="S457">
        <v>3.7</v>
      </c>
      <c r="T457">
        <v>1.1000000000000001</v>
      </c>
      <c r="U457">
        <v>0.5</v>
      </c>
      <c r="V457">
        <v>1.9</v>
      </c>
      <c r="W457">
        <v>2.6</v>
      </c>
      <c r="X457">
        <v>17</v>
      </c>
      <c r="Y457">
        <v>12</v>
      </c>
      <c r="Z457">
        <v>-1.1000000000000001</v>
      </c>
      <c r="AA457">
        <v>15.2</v>
      </c>
      <c r="AB457">
        <v>6.8000000000000005E-2</v>
      </c>
    </row>
    <row r="458" spans="1:28" x14ac:dyDescent="0.35">
      <c r="A458" s="1" t="s">
        <v>2</v>
      </c>
      <c r="B458" s="1" t="s">
        <v>597</v>
      </c>
      <c r="C458" s="1" t="s">
        <v>23</v>
      </c>
      <c r="D458" s="1" t="s">
        <v>20</v>
      </c>
      <c r="E458" s="4">
        <v>3.6</v>
      </c>
      <c r="F458">
        <v>29</v>
      </c>
      <c r="G458">
        <v>77</v>
      </c>
      <c r="H458">
        <v>37.6</v>
      </c>
      <c r="I458">
        <v>10</v>
      </c>
      <c r="J458">
        <v>0.52500000000000002</v>
      </c>
      <c r="K458">
        <v>3.3</v>
      </c>
      <c r="L458">
        <v>0.33300000000000002</v>
      </c>
      <c r="M458">
        <v>6.7</v>
      </c>
      <c r="N458">
        <v>0.61799999999999999</v>
      </c>
      <c r="O458">
        <v>0.57899999999999996</v>
      </c>
      <c r="P458">
        <v>2.7</v>
      </c>
      <c r="Q458">
        <v>0.77600000000000002</v>
      </c>
      <c r="R458">
        <v>9.6</v>
      </c>
      <c r="S458">
        <v>5.9</v>
      </c>
      <c r="T458">
        <v>1.5</v>
      </c>
      <c r="U458">
        <v>0.4</v>
      </c>
      <c r="V458">
        <v>2.1</v>
      </c>
      <c r="W458">
        <v>2.6</v>
      </c>
      <c r="X458">
        <v>13.6</v>
      </c>
      <c r="Y458">
        <v>7</v>
      </c>
      <c r="Z458">
        <v>2.8</v>
      </c>
      <c r="AA458">
        <v>16.5</v>
      </c>
      <c r="AB458">
        <v>0.153</v>
      </c>
    </row>
    <row r="459" spans="1:28" x14ac:dyDescent="0.35">
      <c r="A459" s="1" t="s">
        <v>2</v>
      </c>
      <c r="B459" s="1" t="s">
        <v>598</v>
      </c>
      <c r="C459" s="1" t="s">
        <v>23</v>
      </c>
      <c r="D459" s="1" t="s">
        <v>20</v>
      </c>
      <c r="E459" s="4">
        <v>1.6</v>
      </c>
      <c r="F459">
        <v>23</v>
      </c>
      <c r="G459">
        <v>79</v>
      </c>
      <c r="H459">
        <v>33.9</v>
      </c>
      <c r="I459">
        <v>10.4</v>
      </c>
      <c r="J459">
        <v>0.57999999999999996</v>
      </c>
      <c r="K459">
        <v>2.8</v>
      </c>
      <c r="L459">
        <v>0.39700000000000002</v>
      </c>
      <c r="M459">
        <v>7.6</v>
      </c>
      <c r="N459">
        <v>0.64800000000000002</v>
      </c>
      <c r="O459">
        <v>0.63400000000000001</v>
      </c>
      <c r="P459">
        <v>2.7</v>
      </c>
      <c r="Q459">
        <v>0.82699999999999996</v>
      </c>
      <c r="R459">
        <v>5.2</v>
      </c>
      <c r="S459">
        <v>2.6</v>
      </c>
      <c r="T459">
        <v>1.1000000000000001</v>
      </c>
      <c r="U459">
        <v>0.5</v>
      </c>
      <c r="V459">
        <v>1</v>
      </c>
      <c r="W459">
        <v>2.2000000000000002</v>
      </c>
      <c r="X459">
        <v>15.4</v>
      </c>
      <c r="Y459">
        <v>2</v>
      </c>
      <c r="Z459">
        <v>0.3</v>
      </c>
      <c r="AA459">
        <v>16</v>
      </c>
      <c r="AB459">
        <v>0.14399999999999999</v>
      </c>
    </row>
    <row r="460" spans="1:28" x14ac:dyDescent="0.35">
      <c r="A460" s="1" t="s">
        <v>2</v>
      </c>
      <c r="B460" s="1" t="s">
        <v>598</v>
      </c>
      <c r="C460" s="1" t="s">
        <v>23</v>
      </c>
      <c r="D460" s="1" t="s">
        <v>20</v>
      </c>
      <c r="E460" s="4">
        <v>0.6</v>
      </c>
      <c r="F460">
        <v>26</v>
      </c>
      <c r="G460">
        <v>65</v>
      </c>
      <c r="H460">
        <v>31.6</v>
      </c>
      <c r="I460">
        <v>14.4</v>
      </c>
      <c r="J460">
        <v>0.439</v>
      </c>
      <c r="K460">
        <v>6.6</v>
      </c>
      <c r="L460">
        <v>0.32500000000000001</v>
      </c>
      <c r="M460">
        <v>7.9</v>
      </c>
      <c r="N460">
        <v>0.53400000000000003</v>
      </c>
      <c r="O460">
        <v>0.51300000000000001</v>
      </c>
      <c r="P460">
        <v>2.7</v>
      </c>
      <c r="Q460">
        <v>0.86499999999999999</v>
      </c>
      <c r="R460">
        <v>3.8</v>
      </c>
      <c r="S460">
        <v>5.6</v>
      </c>
      <c r="T460">
        <v>0.9</v>
      </c>
      <c r="U460">
        <v>0.6</v>
      </c>
      <c r="V460">
        <v>2.4</v>
      </c>
      <c r="W460">
        <v>2.4</v>
      </c>
      <c r="X460">
        <v>17.2</v>
      </c>
      <c r="Y460">
        <v>7</v>
      </c>
      <c r="Z460">
        <v>-0.8</v>
      </c>
      <c r="AA460">
        <v>15</v>
      </c>
      <c r="AB460">
        <v>6.5000000000000002E-2</v>
      </c>
    </row>
    <row r="461" spans="1:28" x14ac:dyDescent="0.35">
      <c r="A461" s="1" t="s">
        <v>18</v>
      </c>
      <c r="B461" s="1" t="s">
        <v>597</v>
      </c>
      <c r="C461" s="1" t="s">
        <v>23</v>
      </c>
      <c r="D461" s="1" t="s">
        <v>20</v>
      </c>
      <c r="E461" s="4">
        <v>0.1</v>
      </c>
      <c r="F461">
        <v>23</v>
      </c>
      <c r="G461">
        <v>5</v>
      </c>
      <c r="H461">
        <v>16.8</v>
      </c>
      <c r="I461">
        <v>4.5999999999999996</v>
      </c>
      <c r="J461">
        <v>0.60899999999999999</v>
      </c>
      <c r="K461">
        <v>0</v>
      </c>
      <c r="M461">
        <v>4.5999999999999996</v>
      </c>
      <c r="N461">
        <v>0.60899999999999999</v>
      </c>
      <c r="O461">
        <v>0.60899999999999999</v>
      </c>
      <c r="P461">
        <v>2.8</v>
      </c>
      <c r="Q461">
        <v>0.5</v>
      </c>
      <c r="R461">
        <v>5.6</v>
      </c>
      <c r="S461">
        <v>1</v>
      </c>
      <c r="T461">
        <v>0.6</v>
      </c>
      <c r="U461">
        <v>1.6</v>
      </c>
      <c r="V461">
        <v>1</v>
      </c>
      <c r="W461">
        <v>2.8</v>
      </c>
      <c r="X461">
        <v>7</v>
      </c>
      <c r="Y461">
        <v>3</v>
      </c>
      <c r="Z461">
        <v>0.8</v>
      </c>
      <c r="AA461">
        <v>18.2</v>
      </c>
      <c r="AB461">
        <v>0.153</v>
      </c>
    </row>
    <row r="462" spans="1:28" x14ac:dyDescent="0.35">
      <c r="A462" s="1" t="s">
        <v>26</v>
      </c>
      <c r="B462" s="1" t="s">
        <v>597</v>
      </c>
      <c r="C462" s="1" t="s">
        <v>23</v>
      </c>
      <c r="D462" s="1" t="s">
        <v>28</v>
      </c>
      <c r="E462" s="4">
        <v>-0.3</v>
      </c>
      <c r="F462">
        <v>24</v>
      </c>
      <c r="G462">
        <v>44</v>
      </c>
      <c r="H462">
        <v>20.8</v>
      </c>
      <c r="I462">
        <v>8</v>
      </c>
      <c r="J462">
        <v>0.46899999999999997</v>
      </c>
      <c r="K462">
        <v>2</v>
      </c>
      <c r="L462">
        <v>0.33</v>
      </c>
      <c r="M462">
        <v>6</v>
      </c>
      <c r="N462">
        <v>0.51500000000000001</v>
      </c>
      <c r="O462">
        <v>0.51</v>
      </c>
      <c r="P462">
        <v>2.8</v>
      </c>
      <c r="Q462">
        <v>0.76200000000000001</v>
      </c>
      <c r="R462">
        <v>3.6</v>
      </c>
      <c r="S462">
        <v>2.6</v>
      </c>
      <c r="T462">
        <v>0.6</v>
      </c>
      <c r="U462">
        <v>0.3</v>
      </c>
      <c r="V462">
        <v>1.9</v>
      </c>
      <c r="W462">
        <v>2.2000000000000002</v>
      </c>
      <c r="X462">
        <v>10.199999999999999</v>
      </c>
      <c r="Y462">
        <v>3</v>
      </c>
      <c r="Z462">
        <v>-3.1</v>
      </c>
      <c r="AA462">
        <v>13</v>
      </c>
      <c r="AB462">
        <v>3.7999999999999999E-2</v>
      </c>
    </row>
    <row r="463" spans="1:28" x14ac:dyDescent="0.35">
      <c r="A463" s="1" t="s">
        <v>18</v>
      </c>
      <c r="B463" s="1" t="s">
        <v>35</v>
      </c>
      <c r="C463" s="1" t="s">
        <v>19</v>
      </c>
      <c r="D463" s="1" t="s">
        <v>50</v>
      </c>
      <c r="E463" s="4">
        <v>-0.4</v>
      </c>
      <c r="F463">
        <v>27</v>
      </c>
      <c r="G463">
        <v>57</v>
      </c>
      <c r="H463">
        <v>22</v>
      </c>
      <c r="I463">
        <v>6.1</v>
      </c>
      <c r="J463">
        <v>0.59099999999999997</v>
      </c>
      <c r="K463">
        <v>0</v>
      </c>
      <c r="L463">
        <v>0</v>
      </c>
      <c r="M463">
        <v>6.1</v>
      </c>
      <c r="N463">
        <v>0.59399999999999997</v>
      </c>
      <c r="O463">
        <v>0.59099999999999997</v>
      </c>
      <c r="P463">
        <v>2.8</v>
      </c>
      <c r="Q463">
        <v>0.74399999999999999</v>
      </c>
      <c r="R463">
        <v>8.1999999999999993</v>
      </c>
      <c r="S463">
        <v>0.9</v>
      </c>
      <c r="T463">
        <v>0.2</v>
      </c>
      <c r="U463">
        <v>1</v>
      </c>
      <c r="V463">
        <v>1.4</v>
      </c>
      <c r="W463">
        <v>2.5</v>
      </c>
      <c r="X463">
        <v>9.3000000000000007</v>
      </c>
      <c r="Y463">
        <v>4</v>
      </c>
      <c r="Z463">
        <v>-3.3</v>
      </c>
      <c r="AA463">
        <v>16.600000000000001</v>
      </c>
      <c r="AB463">
        <v>0.114</v>
      </c>
    </row>
    <row r="464" spans="1:28" x14ac:dyDescent="0.35">
      <c r="A464" s="1" t="s">
        <v>18</v>
      </c>
      <c r="B464" s="1" t="s">
        <v>598</v>
      </c>
      <c r="C464" s="1" t="s">
        <v>19</v>
      </c>
      <c r="D464" s="1" t="s">
        <v>20</v>
      </c>
      <c r="E464" s="4">
        <v>-0.5</v>
      </c>
      <c r="F464">
        <v>20</v>
      </c>
      <c r="G464">
        <v>73</v>
      </c>
      <c r="H464">
        <v>26.8</v>
      </c>
      <c r="I464">
        <v>6.7</v>
      </c>
      <c r="J464">
        <v>0.54700000000000004</v>
      </c>
      <c r="K464">
        <v>0</v>
      </c>
      <c r="L464">
        <v>0</v>
      </c>
      <c r="M464">
        <v>6.7</v>
      </c>
      <c r="N464">
        <v>0.54800000000000004</v>
      </c>
      <c r="O464">
        <v>0.54700000000000004</v>
      </c>
      <c r="P464">
        <v>2.8</v>
      </c>
      <c r="Q464">
        <v>0.623</v>
      </c>
      <c r="R464">
        <v>8.1999999999999993</v>
      </c>
      <c r="S464">
        <v>1.4</v>
      </c>
      <c r="T464">
        <v>0.5</v>
      </c>
      <c r="U464">
        <v>1.3</v>
      </c>
      <c r="V464">
        <v>1.1000000000000001</v>
      </c>
      <c r="W464">
        <v>2</v>
      </c>
      <c r="X464">
        <v>9.1</v>
      </c>
      <c r="Y464">
        <v>0</v>
      </c>
      <c r="Z464">
        <v>-3</v>
      </c>
      <c r="AA464">
        <v>15.4</v>
      </c>
      <c r="AB464">
        <v>8.8999999999999996E-2</v>
      </c>
    </row>
    <row r="465" spans="1:28" x14ac:dyDescent="0.35">
      <c r="A465" s="1" t="s">
        <v>2</v>
      </c>
      <c r="B465" s="1" t="s">
        <v>598</v>
      </c>
      <c r="C465" s="1" t="s">
        <v>23</v>
      </c>
      <c r="D465" s="1" t="s">
        <v>20</v>
      </c>
      <c r="E465" s="4">
        <v>1.1000000000000001</v>
      </c>
      <c r="F465">
        <v>25</v>
      </c>
      <c r="G465">
        <v>70</v>
      </c>
      <c r="H465">
        <v>32.700000000000003</v>
      </c>
      <c r="I465">
        <v>16.100000000000001</v>
      </c>
      <c r="J465">
        <v>0.42599999999999999</v>
      </c>
      <c r="K465">
        <v>8.5</v>
      </c>
      <c r="L465">
        <v>0.36299999999999999</v>
      </c>
      <c r="M465">
        <v>7.6</v>
      </c>
      <c r="N465">
        <v>0.496</v>
      </c>
      <c r="O465">
        <v>0.52100000000000002</v>
      </c>
      <c r="P465">
        <v>2.8</v>
      </c>
      <c r="Q465">
        <v>0.90200000000000002</v>
      </c>
      <c r="R465">
        <v>2.7</v>
      </c>
      <c r="S465">
        <v>4.8</v>
      </c>
      <c r="T465">
        <v>0.9</v>
      </c>
      <c r="U465">
        <v>0.1</v>
      </c>
      <c r="V465">
        <v>2</v>
      </c>
      <c r="W465">
        <v>1.7</v>
      </c>
      <c r="X465">
        <v>19.3</v>
      </c>
      <c r="Y465">
        <v>6</v>
      </c>
      <c r="Z465">
        <v>-0.1</v>
      </c>
      <c r="AA465">
        <v>14.9</v>
      </c>
      <c r="AB465">
        <v>8.6999999999999994E-2</v>
      </c>
    </row>
    <row r="466" spans="1:28" x14ac:dyDescent="0.35">
      <c r="A466" s="1" t="s">
        <v>2</v>
      </c>
      <c r="B466" s="1" t="s">
        <v>35</v>
      </c>
      <c r="C466" s="1" t="s">
        <v>23</v>
      </c>
      <c r="D466" s="1" t="s">
        <v>20</v>
      </c>
      <c r="E466" s="4">
        <v>1.2</v>
      </c>
      <c r="F466">
        <v>24</v>
      </c>
      <c r="G466">
        <v>75</v>
      </c>
      <c r="H466">
        <v>26.8</v>
      </c>
      <c r="I466">
        <v>11</v>
      </c>
      <c r="J466">
        <v>0.46700000000000003</v>
      </c>
      <c r="K466">
        <v>5.6</v>
      </c>
      <c r="L466">
        <v>0.38500000000000001</v>
      </c>
      <c r="M466">
        <v>5.4</v>
      </c>
      <c r="N466">
        <v>0.55200000000000005</v>
      </c>
      <c r="O466">
        <v>0.56499999999999995</v>
      </c>
      <c r="P466">
        <v>2.9</v>
      </c>
      <c r="Q466">
        <v>0.75700000000000001</v>
      </c>
      <c r="R466">
        <v>4.3</v>
      </c>
      <c r="S466">
        <v>3</v>
      </c>
      <c r="T466">
        <v>1</v>
      </c>
      <c r="U466">
        <v>0.3</v>
      </c>
      <c r="V466">
        <v>1.9</v>
      </c>
      <c r="W466">
        <v>1.8</v>
      </c>
      <c r="X466">
        <v>14.6</v>
      </c>
      <c r="Y466">
        <v>3</v>
      </c>
      <c r="Z466">
        <v>0.4</v>
      </c>
      <c r="AA466">
        <v>15.9</v>
      </c>
      <c r="AB466">
        <v>8.1000000000000003E-2</v>
      </c>
    </row>
    <row r="467" spans="1:28" x14ac:dyDescent="0.35">
      <c r="A467" s="1" t="s">
        <v>2</v>
      </c>
      <c r="B467" s="1" t="s">
        <v>597</v>
      </c>
      <c r="C467" s="1" t="s">
        <v>23</v>
      </c>
      <c r="D467" s="1" t="s">
        <v>20</v>
      </c>
      <c r="E467" s="4">
        <v>-0.5</v>
      </c>
      <c r="F467">
        <v>21</v>
      </c>
      <c r="G467">
        <v>54</v>
      </c>
      <c r="H467">
        <v>29.4</v>
      </c>
      <c r="I467">
        <v>12</v>
      </c>
      <c r="J467">
        <v>0.41</v>
      </c>
      <c r="K467">
        <v>6</v>
      </c>
      <c r="L467">
        <v>0.35</v>
      </c>
      <c r="M467">
        <v>5.9</v>
      </c>
      <c r="N467">
        <v>0.47</v>
      </c>
      <c r="O467">
        <v>0.498</v>
      </c>
      <c r="P467">
        <v>2.9</v>
      </c>
      <c r="Q467">
        <v>0.85799999999999998</v>
      </c>
      <c r="R467">
        <v>3.6</v>
      </c>
      <c r="S467">
        <v>1.8</v>
      </c>
      <c r="T467">
        <v>0.9</v>
      </c>
      <c r="U467">
        <v>0.2</v>
      </c>
      <c r="V467">
        <v>1.5</v>
      </c>
      <c r="W467">
        <v>2.2000000000000002</v>
      </c>
      <c r="X467">
        <v>14.4</v>
      </c>
      <c r="Y467">
        <v>1</v>
      </c>
      <c r="Z467">
        <v>-3.2</v>
      </c>
      <c r="AA467">
        <v>10.9</v>
      </c>
      <c r="AB467">
        <v>4.2000000000000003E-2</v>
      </c>
    </row>
    <row r="468" spans="1:28" x14ac:dyDescent="0.35">
      <c r="A468" s="1" t="s">
        <v>2</v>
      </c>
      <c r="B468" s="1" t="s">
        <v>35</v>
      </c>
      <c r="C468" s="1" t="s">
        <v>19</v>
      </c>
      <c r="D468" s="1" t="s">
        <v>20</v>
      </c>
      <c r="E468" s="4">
        <v>-0.1</v>
      </c>
      <c r="F468">
        <v>31</v>
      </c>
      <c r="G468">
        <v>75</v>
      </c>
      <c r="H468">
        <v>28.1</v>
      </c>
      <c r="I468">
        <v>11</v>
      </c>
      <c r="J468">
        <v>0.40600000000000003</v>
      </c>
      <c r="K468">
        <v>4.9000000000000004</v>
      </c>
      <c r="L468">
        <v>0.34200000000000003</v>
      </c>
      <c r="M468">
        <v>6.1</v>
      </c>
      <c r="N468">
        <v>0.45800000000000002</v>
      </c>
      <c r="O468">
        <v>0.48299999999999998</v>
      </c>
      <c r="P468">
        <v>2.9</v>
      </c>
      <c r="Q468">
        <v>0.83799999999999997</v>
      </c>
      <c r="R468">
        <v>2.6</v>
      </c>
      <c r="S468">
        <v>5.4</v>
      </c>
      <c r="T468">
        <v>0.9</v>
      </c>
      <c r="U468">
        <v>0.2</v>
      </c>
      <c r="V468">
        <v>1.9</v>
      </c>
      <c r="W468">
        <v>2.4</v>
      </c>
      <c r="X468">
        <v>13.1</v>
      </c>
      <c r="Y468">
        <v>11</v>
      </c>
      <c r="Z468">
        <v>-2.2000000000000002</v>
      </c>
      <c r="AA468">
        <v>12.7</v>
      </c>
      <c r="AB468">
        <v>7.2999999999999995E-2</v>
      </c>
    </row>
    <row r="469" spans="1:28" x14ac:dyDescent="0.35">
      <c r="A469" s="1" t="s">
        <v>18</v>
      </c>
      <c r="B469" s="1" t="s">
        <v>597</v>
      </c>
      <c r="C469" s="1" t="s">
        <v>23</v>
      </c>
      <c r="D469" s="1" t="s">
        <v>20</v>
      </c>
      <c r="E469" s="4">
        <v>1.7</v>
      </c>
      <c r="F469">
        <v>24</v>
      </c>
      <c r="G469">
        <v>74</v>
      </c>
      <c r="H469">
        <v>27.9</v>
      </c>
      <c r="I469">
        <v>9.1999999999999993</v>
      </c>
      <c r="J469">
        <v>0.56699999999999995</v>
      </c>
      <c r="K469">
        <v>2</v>
      </c>
      <c r="L469">
        <v>0.32400000000000001</v>
      </c>
      <c r="M469">
        <v>7.2</v>
      </c>
      <c r="N469">
        <v>0.63400000000000001</v>
      </c>
      <c r="O469">
        <v>0.60199999999999998</v>
      </c>
      <c r="P469">
        <v>2.9</v>
      </c>
      <c r="Q469">
        <v>0.75900000000000001</v>
      </c>
      <c r="R469">
        <v>8.9</v>
      </c>
      <c r="S469">
        <v>2.2999999999999998</v>
      </c>
      <c r="T469">
        <v>0.9</v>
      </c>
      <c r="U469">
        <v>0.9</v>
      </c>
      <c r="V469">
        <v>1.2</v>
      </c>
      <c r="W469">
        <v>2.6</v>
      </c>
      <c r="X469">
        <v>13.4</v>
      </c>
      <c r="Y469">
        <v>4</v>
      </c>
      <c r="Z469">
        <v>1.3</v>
      </c>
      <c r="AA469">
        <v>19</v>
      </c>
      <c r="AB469">
        <v>0.16800000000000001</v>
      </c>
    </row>
    <row r="470" spans="1:28" x14ac:dyDescent="0.35">
      <c r="A470" s="1" t="s">
        <v>26</v>
      </c>
      <c r="B470" s="1" t="s">
        <v>597</v>
      </c>
      <c r="C470" s="1" t="s">
        <v>23</v>
      </c>
      <c r="D470" s="1" t="s">
        <v>20</v>
      </c>
      <c r="E470" s="4">
        <v>0.4</v>
      </c>
      <c r="F470">
        <v>22</v>
      </c>
      <c r="G470">
        <v>27</v>
      </c>
      <c r="H470">
        <v>34.200000000000003</v>
      </c>
      <c r="I470">
        <v>18.2</v>
      </c>
      <c r="J470">
        <v>0.40300000000000002</v>
      </c>
      <c r="K470">
        <v>10.9</v>
      </c>
      <c r="L470">
        <v>0.35499999999999998</v>
      </c>
      <c r="M470">
        <v>7.3</v>
      </c>
      <c r="N470">
        <v>0.47499999999999998</v>
      </c>
      <c r="O470">
        <v>0.50900000000000001</v>
      </c>
      <c r="P470">
        <v>2.9</v>
      </c>
      <c r="Q470">
        <v>0.86099999999999999</v>
      </c>
      <c r="R470">
        <v>4.9000000000000004</v>
      </c>
      <c r="S470">
        <v>3.6</v>
      </c>
      <c r="T470">
        <v>1.1000000000000001</v>
      </c>
      <c r="U470">
        <v>0.7</v>
      </c>
      <c r="V470">
        <v>2.8</v>
      </c>
      <c r="W470">
        <v>2.7</v>
      </c>
      <c r="X470">
        <v>21</v>
      </c>
      <c r="Y470">
        <v>1</v>
      </c>
      <c r="Z470">
        <v>0</v>
      </c>
      <c r="AA470">
        <v>14</v>
      </c>
      <c r="AB470">
        <v>2.3E-2</v>
      </c>
    </row>
    <row r="471" spans="1:28" x14ac:dyDescent="0.35">
      <c r="A471" s="1" t="s">
        <v>2</v>
      </c>
      <c r="B471" s="1" t="s">
        <v>598</v>
      </c>
      <c r="C471" s="1" t="s">
        <v>23</v>
      </c>
      <c r="D471" s="1" t="s">
        <v>20</v>
      </c>
      <c r="E471" s="4">
        <v>2.9</v>
      </c>
      <c r="F471">
        <v>26</v>
      </c>
      <c r="G471">
        <v>69</v>
      </c>
      <c r="H471">
        <v>32</v>
      </c>
      <c r="I471">
        <v>14.8</v>
      </c>
      <c r="J471">
        <v>0.48399999999999999</v>
      </c>
      <c r="K471">
        <v>6.1</v>
      </c>
      <c r="L471">
        <v>0.39200000000000002</v>
      </c>
      <c r="M471">
        <v>8.6999999999999993</v>
      </c>
      <c r="N471">
        <v>0.54800000000000004</v>
      </c>
      <c r="O471">
        <v>0.56499999999999995</v>
      </c>
      <c r="P471">
        <v>2.9</v>
      </c>
      <c r="Q471">
        <v>0.89400000000000002</v>
      </c>
      <c r="R471">
        <v>6.1</v>
      </c>
      <c r="S471">
        <v>5.3</v>
      </c>
      <c r="T471">
        <v>1.2</v>
      </c>
      <c r="U471">
        <v>0.4</v>
      </c>
      <c r="V471">
        <v>2.4</v>
      </c>
      <c r="W471">
        <v>2.4</v>
      </c>
      <c r="X471">
        <v>19.2</v>
      </c>
      <c r="Y471">
        <v>4</v>
      </c>
      <c r="Z471">
        <v>3.2</v>
      </c>
      <c r="AA471">
        <v>17.899999999999999</v>
      </c>
      <c r="AB471">
        <v>0.14199999999999999</v>
      </c>
    </row>
    <row r="472" spans="1:28" x14ac:dyDescent="0.35">
      <c r="A472" s="1" t="s">
        <v>2</v>
      </c>
      <c r="B472" s="1" t="s">
        <v>597</v>
      </c>
      <c r="C472" s="1" t="s">
        <v>23</v>
      </c>
      <c r="D472" s="1" t="s">
        <v>20</v>
      </c>
      <c r="E472" s="4">
        <v>4.9000000000000004</v>
      </c>
      <c r="F472">
        <v>24</v>
      </c>
      <c r="G472">
        <v>73</v>
      </c>
      <c r="H472">
        <v>33.6</v>
      </c>
      <c r="I472">
        <v>13.8</v>
      </c>
      <c r="J472">
        <v>0.47299999999999998</v>
      </c>
      <c r="K472">
        <v>7.7</v>
      </c>
      <c r="L472">
        <v>0.38800000000000001</v>
      </c>
      <c r="M472">
        <v>6.1</v>
      </c>
      <c r="N472">
        <v>0.58099999999999996</v>
      </c>
      <c r="O472">
        <v>0.58199999999999996</v>
      </c>
      <c r="P472">
        <v>3</v>
      </c>
      <c r="Q472">
        <v>0.85099999999999998</v>
      </c>
      <c r="R472">
        <v>3.5</v>
      </c>
      <c r="S472">
        <v>9.1999999999999993</v>
      </c>
      <c r="T472">
        <v>1.4</v>
      </c>
      <c r="U472">
        <v>0.7</v>
      </c>
      <c r="V472">
        <v>1.6</v>
      </c>
      <c r="W472">
        <v>1.3</v>
      </c>
      <c r="X472">
        <v>18.600000000000001</v>
      </c>
      <c r="Y472">
        <v>4</v>
      </c>
      <c r="Z472">
        <v>5.8</v>
      </c>
      <c r="AA472">
        <v>21.8</v>
      </c>
      <c r="AB472">
        <v>0.20399999999999999</v>
      </c>
    </row>
    <row r="473" spans="1:28" x14ac:dyDescent="0.35">
      <c r="A473" s="1" t="s">
        <v>26</v>
      </c>
      <c r="B473" s="1" t="s">
        <v>597</v>
      </c>
      <c r="C473" s="1" t="s">
        <v>23</v>
      </c>
      <c r="D473" s="1" t="s">
        <v>28</v>
      </c>
      <c r="E473" s="4">
        <v>0</v>
      </c>
      <c r="F473">
        <v>24</v>
      </c>
      <c r="G473">
        <v>1</v>
      </c>
      <c r="H473">
        <v>22</v>
      </c>
      <c r="I473">
        <v>9</v>
      </c>
      <c r="J473">
        <v>0.66700000000000004</v>
      </c>
      <c r="K473">
        <v>0</v>
      </c>
      <c r="M473">
        <v>9</v>
      </c>
      <c r="N473">
        <v>0.66700000000000004</v>
      </c>
      <c r="O473">
        <v>0.66700000000000004</v>
      </c>
      <c r="P473">
        <v>3</v>
      </c>
      <c r="Q473">
        <v>0.66700000000000004</v>
      </c>
      <c r="R473">
        <v>8</v>
      </c>
      <c r="S473">
        <v>0</v>
      </c>
      <c r="T473">
        <v>0</v>
      </c>
      <c r="U473">
        <v>0</v>
      </c>
      <c r="V473">
        <v>2</v>
      </c>
      <c r="W473">
        <v>3</v>
      </c>
      <c r="X473">
        <v>14</v>
      </c>
      <c r="Y473">
        <v>0</v>
      </c>
      <c r="Z473">
        <v>-8.9</v>
      </c>
      <c r="AA473">
        <v>19.5</v>
      </c>
      <c r="AB473">
        <v>0.128</v>
      </c>
    </row>
    <row r="474" spans="1:28" x14ac:dyDescent="0.35">
      <c r="A474" s="1" t="s">
        <v>18</v>
      </c>
      <c r="B474" s="1" t="s">
        <v>598</v>
      </c>
      <c r="C474" s="1" t="s">
        <v>19</v>
      </c>
      <c r="D474" s="1" t="s">
        <v>50</v>
      </c>
      <c r="E474" s="4">
        <v>3.4</v>
      </c>
      <c r="F474">
        <v>27</v>
      </c>
      <c r="G474">
        <v>80</v>
      </c>
      <c r="H474">
        <v>32.799999999999997</v>
      </c>
      <c r="I474">
        <v>11.8</v>
      </c>
      <c r="J474">
        <v>0.628</v>
      </c>
      <c r="K474">
        <v>0</v>
      </c>
      <c r="M474">
        <v>11.8</v>
      </c>
      <c r="N474">
        <v>0.628</v>
      </c>
      <c r="O474">
        <v>0.628</v>
      </c>
      <c r="P474">
        <v>3</v>
      </c>
      <c r="Q474">
        <v>0.66100000000000003</v>
      </c>
      <c r="R474">
        <v>12.6</v>
      </c>
      <c r="S474">
        <v>2.7</v>
      </c>
      <c r="T474">
        <v>0.7</v>
      </c>
      <c r="U474">
        <v>1.1000000000000001</v>
      </c>
      <c r="V474">
        <v>1.6</v>
      </c>
      <c r="W474">
        <v>2.1</v>
      </c>
      <c r="X474">
        <v>16.8</v>
      </c>
      <c r="Y474">
        <v>8</v>
      </c>
      <c r="Z474">
        <v>3.1</v>
      </c>
      <c r="AA474">
        <v>22.3</v>
      </c>
      <c r="AB474">
        <v>0.215</v>
      </c>
    </row>
    <row r="475" spans="1:28" x14ac:dyDescent="0.35">
      <c r="A475" s="1" t="s">
        <v>2</v>
      </c>
      <c r="B475" s="1" t="s">
        <v>598</v>
      </c>
      <c r="C475" s="1" t="s">
        <v>23</v>
      </c>
      <c r="D475" s="1" t="s">
        <v>50</v>
      </c>
      <c r="E475" s="4">
        <v>0.2</v>
      </c>
      <c r="F475">
        <v>31</v>
      </c>
      <c r="G475">
        <v>79</v>
      </c>
      <c r="H475">
        <v>27</v>
      </c>
      <c r="I475">
        <v>8.6</v>
      </c>
      <c r="J475">
        <v>0.41599999999999998</v>
      </c>
      <c r="K475">
        <v>4.0999999999999996</v>
      </c>
      <c r="L475">
        <v>0.33400000000000002</v>
      </c>
      <c r="M475">
        <v>4.5</v>
      </c>
      <c r="N475">
        <v>0.49199999999999999</v>
      </c>
      <c r="O475">
        <v>0.496</v>
      </c>
      <c r="P475">
        <v>3.1</v>
      </c>
      <c r="Q475">
        <v>0.80200000000000005</v>
      </c>
      <c r="R475">
        <v>2.6</v>
      </c>
      <c r="S475">
        <v>4.4000000000000004</v>
      </c>
      <c r="T475">
        <v>0.9</v>
      </c>
      <c r="U475">
        <v>0.2</v>
      </c>
      <c r="V475">
        <v>1.3</v>
      </c>
      <c r="W475">
        <v>1.5</v>
      </c>
      <c r="X475">
        <v>11</v>
      </c>
      <c r="Y475">
        <v>10</v>
      </c>
      <c r="Z475">
        <v>-1.6</v>
      </c>
      <c r="AA475">
        <v>13</v>
      </c>
      <c r="AB475">
        <v>8.2000000000000003E-2</v>
      </c>
    </row>
    <row r="476" spans="1:28" x14ac:dyDescent="0.35">
      <c r="A476" s="1" t="s">
        <v>2</v>
      </c>
      <c r="B476" s="1" t="s">
        <v>598</v>
      </c>
      <c r="C476" s="1" t="s">
        <v>23</v>
      </c>
      <c r="D476" s="1" t="s">
        <v>20</v>
      </c>
      <c r="E476" s="4">
        <v>-0.1</v>
      </c>
      <c r="F476">
        <v>20</v>
      </c>
      <c r="G476">
        <v>66</v>
      </c>
      <c r="H476">
        <v>26.7</v>
      </c>
      <c r="I476">
        <v>10.4</v>
      </c>
      <c r="J476">
        <v>0.41899999999999998</v>
      </c>
      <c r="K476">
        <v>4.5</v>
      </c>
      <c r="L476">
        <v>0.35399999999999998</v>
      </c>
      <c r="M476">
        <v>5.9</v>
      </c>
      <c r="N476">
        <v>0.46899999999999997</v>
      </c>
      <c r="O476">
        <v>0.496</v>
      </c>
      <c r="P476">
        <v>3.1</v>
      </c>
      <c r="Q476">
        <v>0.76700000000000002</v>
      </c>
      <c r="R476">
        <v>3</v>
      </c>
      <c r="S476">
        <v>5.0999999999999996</v>
      </c>
      <c r="T476">
        <v>1</v>
      </c>
      <c r="U476">
        <v>0.2</v>
      </c>
      <c r="V476">
        <v>2.7</v>
      </c>
      <c r="W476">
        <v>2.7</v>
      </c>
      <c r="X476">
        <v>12.7</v>
      </c>
      <c r="Y476">
        <v>1</v>
      </c>
      <c r="Z476">
        <v>-2.2000000000000002</v>
      </c>
      <c r="AA476">
        <v>12.5</v>
      </c>
      <c r="AB476">
        <v>4.9000000000000002E-2</v>
      </c>
    </row>
    <row r="477" spans="1:28" x14ac:dyDescent="0.35">
      <c r="A477" s="1" t="s">
        <v>26</v>
      </c>
      <c r="B477" s="1" t="s">
        <v>597</v>
      </c>
      <c r="C477" s="1" t="s">
        <v>19</v>
      </c>
      <c r="D477" s="1" t="s">
        <v>20</v>
      </c>
      <c r="E477" s="4">
        <v>-0.8</v>
      </c>
      <c r="F477">
        <v>20</v>
      </c>
      <c r="G477">
        <v>59</v>
      </c>
      <c r="H477">
        <v>33</v>
      </c>
      <c r="I477">
        <v>10.6</v>
      </c>
      <c r="J477">
        <v>0.42099999999999999</v>
      </c>
      <c r="K477">
        <v>3.8</v>
      </c>
      <c r="L477">
        <v>0.28100000000000003</v>
      </c>
      <c r="M477">
        <v>6.8</v>
      </c>
      <c r="N477">
        <v>0.5</v>
      </c>
      <c r="O477">
        <v>0.47199999999999998</v>
      </c>
      <c r="P477">
        <v>3.1</v>
      </c>
      <c r="Q477">
        <v>0.746</v>
      </c>
      <c r="R477">
        <v>5</v>
      </c>
      <c r="S477">
        <v>3.4</v>
      </c>
      <c r="T477">
        <v>1.3</v>
      </c>
      <c r="U477">
        <v>0.7</v>
      </c>
      <c r="V477">
        <v>2.1</v>
      </c>
      <c r="W477">
        <v>2.4</v>
      </c>
      <c r="X477">
        <v>12.3</v>
      </c>
      <c r="Y477">
        <v>1</v>
      </c>
      <c r="Z477">
        <v>-3.7</v>
      </c>
      <c r="AA477">
        <v>10.8</v>
      </c>
      <c r="AB477">
        <v>8.0000000000000002E-3</v>
      </c>
    </row>
    <row r="478" spans="1:28" x14ac:dyDescent="0.35">
      <c r="A478" s="1" t="s">
        <v>2</v>
      </c>
      <c r="B478" s="1" t="s">
        <v>597</v>
      </c>
      <c r="C478" s="1" t="s">
        <v>23</v>
      </c>
      <c r="D478" s="1" t="s">
        <v>20</v>
      </c>
      <c r="E478" s="4">
        <v>0.6</v>
      </c>
      <c r="F478">
        <v>23</v>
      </c>
      <c r="G478">
        <v>35</v>
      </c>
      <c r="H478">
        <v>28.6</v>
      </c>
      <c r="I478">
        <v>13.7</v>
      </c>
      <c r="J478">
        <v>0.41</v>
      </c>
      <c r="K478">
        <v>6.9</v>
      </c>
      <c r="L478">
        <v>0.314</v>
      </c>
      <c r="M478">
        <v>6.8</v>
      </c>
      <c r="N478">
        <v>0.50600000000000001</v>
      </c>
      <c r="O478">
        <v>0.48899999999999999</v>
      </c>
      <c r="P478">
        <v>3.1</v>
      </c>
      <c r="Q478">
        <v>0.88200000000000001</v>
      </c>
      <c r="R478">
        <v>4</v>
      </c>
      <c r="S478">
        <v>3.7</v>
      </c>
      <c r="T478">
        <v>1.5</v>
      </c>
      <c r="U478">
        <v>0.9</v>
      </c>
      <c r="V478">
        <v>2.9</v>
      </c>
      <c r="W478">
        <v>2.8</v>
      </c>
      <c r="X478">
        <v>16.2</v>
      </c>
      <c r="Y478">
        <v>3</v>
      </c>
      <c r="Z478">
        <v>0.4</v>
      </c>
      <c r="AA478">
        <v>14.4</v>
      </c>
      <c r="AB478">
        <v>5.1999999999999998E-2</v>
      </c>
    </row>
    <row r="479" spans="1:28" x14ac:dyDescent="0.35">
      <c r="A479" s="1" t="s">
        <v>18</v>
      </c>
      <c r="B479" s="1" t="s">
        <v>597</v>
      </c>
      <c r="C479" s="1" t="s">
        <v>23</v>
      </c>
      <c r="D479" s="1" t="s">
        <v>20</v>
      </c>
      <c r="E479" s="4">
        <v>2.7</v>
      </c>
      <c r="F479">
        <v>21</v>
      </c>
      <c r="G479">
        <v>78</v>
      </c>
      <c r="H479">
        <v>26.1</v>
      </c>
      <c r="I479">
        <v>7</v>
      </c>
      <c r="J479">
        <v>0.69199999999999995</v>
      </c>
      <c r="K479">
        <v>0</v>
      </c>
      <c r="M479">
        <v>7</v>
      </c>
      <c r="N479">
        <v>0.69199999999999995</v>
      </c>
      <c r="O479">
        <v>0.69199999999999995</v>
      </c>
      <c r="P479">
        <v>3.1</v>
      </c>
      <c r="Q479">
        <v>0.66900000000000004</v>
      </c>
      <c r="R479">
        <v>10.3</v>
      </c>
      <c r="S479">
        <v>2.7</v>
      </c>
      <c r="T479">
        <v>0.7</v>
      </c>
      <c r="U479">
        <v>1.1000000000000001</v>
      </c>
      <c r="V479">
        <v>1.7</v>
      </c>
      <c r="W479">
        <v>3.2</v>
      </c>
      <c r="X479">
        <v>11.8</v>
      </c>
      <c r="Y479">
        <v>2</v>
      </c>
      <c r="Z479">
        <v>3.1</v>
      </c>
      <c r="AA479">
        <v>21.4</v>
      </c>
      <c r="AB479">
        <v>0.218</v>
      </c>
    </row>
    <row r="480" spans="1:28" x14ac:dyDescent="0.35">
      <c r="A480" s="1" t="s">
        <v>2</v>
      </c>
      <c r="B480" s="1" t="s">
        <v>598</v>
      </c>
      <c r="C480" s="1" t="s">
        <v>23</v>
      </c>
      <c r="D480" s="1" t="s">
        <v>20</v>
      </c>
      <c r="E480" s="4">
        <v>0.5</v>
      </c>
      <c r="F480">
        <v>36</v>
      </c>
      <c r="G480">
        <v>75</v>
      </c>
      <c r="H480">
        <v>27.9</v>
      </c>
      <c r="I480">
        <v>11.1</v>
      </c>
      <c r="J480">
        <v>0.44900000000000001</v>
      </c>
      <c r="K480">
        <v>3.9</v>
      </c>
      <c r="L480">
        <v>0.32300000000000001</v>
      </c>
      <c r="M480">
        <v>7.2</v>
      </c>
      <c r="N480">
        <v>0.51700000000000002</v>
      </c>
      <c r="O480">
        <v>0.505</v>
      </c>
      <c r="P480">
        <v>3.1</v>
      </c>
      <c r="Q480">
        <v>0.66100000000000003</v>
      </c>
      <c r="R480">
        <v>4.9000000000000004</v>
      </c>
      <c r="S480">
        <v>6.1</v>
      </c>
      <c r="T480">
        <v>1.4</v>
      </c>
      <c r="U480">
        <v>0.5</v>
      </c>
      <c r="V480">
        <v>3.2</v>
      </c>
      <c r="W480">
        <v>2.5</v>
      </c>
      <c r="X480">
        <v>13.3</v>
      </c>
      <c r="Y480">
        <v>16</v>
      </c>
      <c r="Z480">
        <v>-1.1000000000000001</v>
      </c>
      <c r="AA480">
        <v>14.3</v>
      </c>
      <c r="AB480">
        <v>4.4999999999999998E-2</v>
      </c>
    </row>
    <row r="481" spans="1:28" x14ac:dyDescent="0.35">
      <c r="A481" s="1" t="s">
        <v>26</v>
      </c>
      <c r="B481" s="1" t="s">
        <v>597</v>
      </c>
      <c r="C481" s="1" t="s">
        <v>33</v>
      </c>
      <c r="D481" s="1" t="s">
        <v>20</v>
      </c>
      <c r="E481" s="4">
        <v>1.9</v>
      </c>
      <c r="F481">
        <v>27</v>
      </c>
      <c r="G481">
        <v>74</v>
      </c>
      <c r="H481">
        <v>36.6</v>
      </c>
      <c r="I481">
        <v>13.9</v>
      </c>
      <c r="J481">
        <v>0.47599999999999998</v>
      </c>
      <c r="K481">
        <v>6.2</v>
      </c>
      <c r="L481">
        <v>0.372</v>
      </c>
      <c r="M481">
        <v>7.7</v>
      </c>
      <c r="N481">
        <v>0.56100000000000005</v>
      </c>
      <c r="O481">
        <v>0.55900000000000005</v>
      </c>
      <c r="P481">
        <v>3.1</v>
      </c>
      <c r="Q481">
        <v>0.81</v>
      </c>
      <c r="R481">
        <v>4.8</v>
      </c>
      <c r="S481">
        <v>2.2000000000000002</v>
      </c>
      <c r="T481">
        <v>1.5</v>
      </c>
      <c r="U481">
        <v>0.9</v>
      </c>
      <c r="V481">
        <v>1.4</v>
      </c>
      <c r="W481">
        <v>2.2999999999999998</v>
      </c>
      <c r="X481">
        <v>18</v>
      </c>
      <c r="Y481">
        <v>7</v>
      </c>
      <c r="Z481">
        <v>0.7</v>
      </c>
      <c r="AA481">
        <v>15.4</v>
      </c>
      <c r="AB481">
        <v>0.11600000000000001</v>
      </c>
    </row>
    <row r="482" spans="1:28" x14ac:dyDescent="0.35">
      <c r="A482" s="1" t="s">
        <v>26</v>
      </c>
      <c r="B482" s="1" t="s">
        <v>35</v>
      </c>
      <c r="C482" s="1" t="s">
        <v>23</v>
      </c>
      <c r="D482" s="1" t="s">
        <v>20</v>
      </c>
      <c r="E482" s="4">
        <v>-1.4</v>
      </c>
      <c r="F482">
        <v>29</v>
      </c>
      <c r="G482">
        <v>65</v>
      </c>
      <c r="H482">
        <v>29.8</v>
      </c>
      <c r="I482">
        <v>13</v>
      </c>
      <c r="J482">
        <v>0.436</v>
      </c>
      <c r="K482">
        <v>4.8</v>
      </c>
      <c r="L482">
        <v>0.307</v>
      </c>
      <c r="M482">
        <v>8.1999999999999993</v>
      </c>
      <c r="N482">
        <v>0.51200000000000001</v>
      </c>
      <c r="O482">
        <v>0.49299999999999999</v>
      </c>
      <c r="P482">
        <v>3.1</v>
      </c>
      <c r="Q482">
        <v>0.63400000000000001</v>
      </c>
      <c r="R482">
        <v>5.7</v>
      </c>
      <c r="S482">
        <v>2.2999999999999998</v>
      </c>
      <c r="T482">
        <v>0.6</v>
      </c>
      <c r="U482">
        <v>0.3</v>
      </c>
      <c r="V482">
        <v>2.2000000000000002</v>
      </c>
      <c r="W482">
        <v>1.8</v>
      </c>
      <c r="X482">
        <v>14.8</v>
      </c>
      <c r="Y482">
        <v>7</v>
      </c>
      <c r="Z482">
        <v>-4.9000000000000004</v>
      </c>
      <c r="AA482">
        <v>10.6</v>
      </c>
      <c r="AB482">
        <v>-2.4E-2</v>
      </c>
    </row>
    <row r="483" spans="1:28" x14ac:dyDescent="0.35">
      <c r="A483" s="1" t="s">
        <v>26</v>
      </c>
      <c r="B483" s="1" t="s">
        <v>597</v>
      </c>
      <c r="C483" s="1" t="s">
        <v>23</v>
      </c>
      <c r="D483" s="1" t="s">
        <v>20</v>
      </c>
      <c r="E483" s="4">
        <v>-0.1</v>
      </c>
      <c r="F483">
        <v>29</v>
      </c>
      <c r="G483">
        <v>60</v>
      </c>
      <c r="H483">
        <v>34.6</v>
      </c>
      <c r="I483">
        <v>12.4</v>
      </c>
      <c r="J483">
        <v>0.47</v>
      </c>
      <c r="K483">
        <v>4</v>
      </c>
      <c r="L483">
        <v>0.29299999999999998</v>
      </c>
      <c r="M483">
        <v>8.3000000000000007</v>
      </c>
      <c r="N483">
        <v>0.55500000000000005</v>
      </c>
      <c r="O483">
        <v>0.51800000000000002</v>
      </c>
      <c r="P483">
        <v>3.1</v>
      </c>
      <c r="Q483">
        <v>0.751</v>
      </c>
      <c r="R483">
        <v>6.1</v>
      </c>
      <c r="S483">
        <v>1.8</v>
      </c>
      <c r="T483">
        <v>1.5</v>
      </c>
      <c r="U483">
        <v>0.5</v>
      </c>
      <c r="V483">
        <v>1.3</v>
      </c>
      <c r="W483">
        <v>3</v>
      </c>
      <c r="X483">
        <v>15.1</v>
      </c>
      <c r="Y483">
        <v>9</v>
      </c>
      <c r="Z483">
        <v>-2.2999999999999998</v>
      </c>
      <c r="AA483">
        <v>13.5</v>
      </c>
      <c r="AB483">
        <v>6.0999999999999999E-2</v>
      </c>
    </row>
    <row r="484" spans="1:28" x14ac:dyDescent="0.35">
      <c r="A484" s="1" t="s">
        <v>2</v>
      </c>
      <c r="B484" s="1" t="s">
        <v>598</v>
      </c>
      <c r="C484" s="1" t="s">
        <v>23</v>
      </c>
      <c r="D484" s="1" t="s">
        <v>20</v>
      </c>
      <c r="E484" s="4">
        <v>0.3</v>
      </c>
      <c r="F484">
        <v>33</v>
      </c>
      <c r="G484">
        <v>56</v>
      </c>
      <c r="H484">
        <v>32.700000000000003</v>
      </c>
      <c r="I484">
        <v>17.899999999999999</v>
      </c>
      <c r="J484">
        <v>0.44400000000000001</v>
      </c>
      <c r="K484">
        <v>8.1999999999999993</v>
      </c>
      <c r="L484">
        <v>0.373</v>
      </c>
      <c r="M484">
        <v>9.6999999999999993</v>
      </c>
      <c r="N484">
        <v>0.505</v>
      </c>
      <c r="O484">
        <v>0.53</v>
      </c>
      <c r="P484">
        <v>3.1</v>
      </c>
      <c r="Q484">
        <v>0.71699999999999997</v>
      </c>
      <c r="R484">
        <v>3.8</v>
      </c>
      <c r="S484">
        <v>4.0999999999999996</v>
      </c>
      <c r="T484">
        <v>0.8</v>
      </c>
      <c r="U484">
        <v>0.4</v>
      </c>
      <c r="V484">
        <v>1.9</v>
      </c>
      <c r="W484">
        <v>2.2000000000000002</v>
      </c>
      <c r="X484">
        <v>21.1</v>
      </c>
      <c r="Y484">
        <v>11</v>
      </c>
      <c r="Z484">
        <v>-1.4</v>
      </c>
      <c r="AA484">
        <v>15.8</v>
      </c>
      <c r="AB484">
        <v>3.7999999999999999E-2</v>
      </c>
    </row>
    <row r="485" spans="1:28" x14ac:dyDescent="0.35">
      <c r="A485" s="1" t="s">
        <v>26</v>
      </c>
      <c r="B485" s="1" t="s">
        <v>598</v>
      </c>
      <c r="C485" s="1" t="s">
        <v>23</v>
      </c>
      <c r="D485" s="1" t="s">
        <v>20</v>
      </c>
      <c r="E485" s="4">
        <v>0.3</v>
      </c>
      <c r="F485">
        <v>27</v>
      </c>
      <c r="G485">
        <v>18</v>
      </c>
      <c r="H485">
        <v>33.1</v>
      </c>
      <c r="I485">
        <v>18.5</v>
      </c>
      <c r="J485">
        <v>0.46500000000000002</v>
      </c>
      <c r="K485">
        <v>6.4</v>
      </c>
      <c r="L485">
        <v>0.374</v>
      </c>
      <c r="M485">
        <v>12.1</v>
      </c>
      <c r="N485">
        <v>0.51400000000000001</v>
      </c>
      <c r="O485">
        <v>0.53</v>
      </c>
      <c r="P485">
        <v>3.1</v>
      </c>
      <c r="Q485">
        <v>0.85499999999999998</v>
      </c>
      <c r="R485">
        <v>5.6</v>
      </c>
      <c r="S485">
        <v>5.2</v>
      </c>
      <c r="T485">
        <v>0.9</v>
      </c>
      <c r="U485">
        <v>0.6</v>
      </c>
      <c r="V485">
        <v>3.8</v>
      </c>
      <c r="W485">
        <v>2.5</v>
      </c>
      <c r="X485">
        <v>22.2</v>
      </c>
      <c r="Y485">
        <v>8</v>
      </c>
      <c r="Z485">
        <v>-0.3</v>
      </c>
      <c r="AA485">
        <v>16</v>
      </c>
      <c r="AB485">
        <v>1E-3</v>
      </c>
    </row>
    <row r="486" spans="1:28" x14ac:dyDescent="0.35">
      <c r="A486" s="1" t="s">
        <v>2</v>
      </c>
      <c r="B486" s="1" t="s">
        <v>597</v>
      </c>
      <c r="C486" s="1" t="s">
        <v>19</v>
      </c>
      <c r="D486" s="1" t="s">
        <v>20</v>
      </c>
      <c r="E486" s="4">
        <v>2.7</v>
      </c>
      <c r="F486">
        <v>22</v>
      </c>
      <c r="G486">
        <v>70</v>
      </c>
      <c r="H486">
        <v>30.2</v>
      </c>
      <c r="I486">
        <v>11.4</v>
      </c>
      <c r="J486">
        <v>0.46500000000000002</v>
      </c>
      <c r="K486">
        <v>4</v>
      </c>
      <c r="L486">
        <v>0.378</v>
      </c>
      <c r="M486">
        <v>7.4</v>
      </c>
      <c r="N486">
        <v>0.51200000000000001</v>
      </c>
      <c r="O486">
        <v>0.53100000000000003</v>
      </c>
      <c r="P486">
        <v>3.2</v>
      </c>
      <c r="Q486">
        <v>0.78100000000000003</v>
      </c>
      <c r="R486">
        <v>8.1</v>
      </c>
      <c r="S486">
        <v>7.2</v>
      </c>
      <c r="T486">
        <v>1.2</v>
      </c>
      <c r="U486">
        <v>0.6</v>
      </c>
      <c r="V486">
        <v>2.9</v>
      </c>
      <c r="W486">
        <v>1.7</v>
      </c>
      <c r="X486">
        <v>14.6</v>
      </c>
      <c r="Y486">
        <v>3</v>
      </c>
      <c r="Z486">
        <v>3</v>
      </c>
      <c r="AA486">
        <v>18.100000000000001</v>
      </c>
      <c r="AB486">
        <v>0.121</v>
      </c>
    </row>
    <row r="487" spans="1:28" x14ac:dyDescent="0.35">
      <c r="A487" s="1" t="s">
        <v>18</v>
      </c>
      <c r="B487" s="1" t="s">
        <v>597</v>
      </c>
      <c r="C487" s="1" t="s">
        <v>23</v>
      </c>
      <c r="D487" s="1" t="s">
        <v>20</v>
      </c>
      <c r="E487" s="4">
        <v>1.3</v>
      </c>
      <c r="F487">
        <v>28</v>
      </c>
      <c r="G487">
        <v>72</v>
      </c>
      <c r="H487">
        <v>30.2</v>
      </c>
      <c r="I487">
        <v>11.3</v>
      </c>
      <c r="J487">
        <v>0.48099999999999998</v>
      </c>
      <c r="K487">
        <v>5.5</v>
      </c>
      <c r="L487">
        <v>0.39600000000000002</v>
      </c>
      <c r="M487">
        <v>5.8</v>
      </c>
      <c r="N487">
        <v>0.56100000000000005</v>
      </c>
      <c r="O487">
        <v>0.57699999999999996</v>
      </c>
      <c r="P487">
        <v>3.3</v>
      </c>
      <c r="Q487">
        <v>0.77300000000000002</v>
      </c>
      <c r="R487">
        <v>6.5</v>
      </c>
      <c r="S487">
        <v>1.5</v>
      </c>
      <c r="T487">
        <v>0.8</v>
      </c>
      <c r="U487">
        <v>2</v>
      </c>
      <c r="V487">
        <v>1.7</v>
      </c>
      <c r="W487">
        <v>2.5</v>
      </c>
      <c r="X487">
        <v>15.6</v>
      </c>
      <c r="Y487">
        <v>9</v>
      </c>
      <c r="Z487">
        <v>0.4</v>
      </c>
      <c r="AA487">
        <v>16.100000000000001</v>
      </c>
      <c r="AB487">
        <v>0.104</v>
      </c>
    </row>
    <row r="488" spans="1:28" x14ac:dyDescent="0.35">
      <c r="A488" s="1" t="s">
        <v>26</v>
      </c>
      <c r="B488" s="1" t="s">
        <v>598</v>
      </c>
      <c r="C488" s="1" t="s">
        <v>23</v>
      </c>
      <c r="D488" s="1" t="s">
        <v>20</v>
      </c>
      <c r="E488" s="4">
        <v>1.5</v>
      </c>
      <c r="F488">
        <v>33</v>
      </c>
      <c r="G488">
        <v>37</v>
      </c>
      <c r="H488">
        <v>31.9</v>
      </c>
      <c r="I488">
        <v>16.8</v>
      </c>
      <c r="J488">
        <v>0.498</v>
      </c>
      <c r="K488">
        <v>5.0999999999999996</v>
      </c>
      <c r="L488">
        <v>0.41099999999999998</v>
      </c>
      <c r="M488">
        <v>11.7</v>
      </c>
      <c r="N488">
        <v>0.53600000000000003</v>
      </c>
      <c r="O488">
        <v>0.56000000000000005</v>
      </c>
      <c r="P488">
        <v>3.3</v>
      </c>
      <c r="Q488">
        <v>0.81</v>
      </c>
      <c r="R488">
        <v>5.9</v>
      </c>
      <c r="S488">
        <v>3.1</v>
      </c>
      <c r="T488">
        <v>1.6</v>
      </c>
      <c r="U488">
        <v>0.5</v>
      </c>
      <c r="V488">
        <v>1.9</v>
      </c>
      <c r="W488">
        <v>1.5</v>
      </c>
      <c r="X488">
        <v>21.5</v>
      </c>
      <c r="Y488">
        <v>13</v>
      </c>
      <c r="Z488">
        <v>3.1</v>
      </c>
      <c r="AA488">
        <v>20.5</v>
      </c>
      <c r="AB488">
        <v>0.14099999999999999</v>
      </c>
    </row>
    <row r="489" spans="1:28" x14ac:dyDescent="0.35">
      <c r="A489" s="1" t="s">
        <v>18</v>
      </c>
      <c r="B489" s="1" t="s">
        <v>598</v>
      </c>
      <c r="C489" s="1" t="s">
        <v>23</v>
      </c>
      <c r="D489" s="1" t="s">
        <v>50</v>
      </c>
      <c r="E489" s="4">
        <v>1.8</v>
      </c>
      <c r="F489">
        <v>26</v>
      </c>
      <c r="G489">
        <v>57</v>
      </c>
      <c r="H489">
        <v>21.5</v>
      </c>
      <c r="I489">
        <v>7.1</v>
      </c>
      <c r="J489">
        <v>0.70199999999999996</v>
      </c>
      <c r="K489">
        <v>0</v>
      </c>
      <c r="M489">
        <v>7.1</v>
      </c>
      <c r="N489">
        <v>0.70199999999999996</v>
      </c>
      <c r="O489">
        <v>0.70199999999999996</v>
      </c>
      <c r="P489">
        <v>3.4</v>
      </c>
      <c r="Q489">
        <v>0.68899999999999995</v>
      </c>
      <c r="R489">
        <v>6.8</v>
      </c>
      <c r="S489">
        <v>1.4</v>
      </c>
      <c r="T489">
        <v>0.4</v>
      </c>
      <c r="U489">
        <v>1.8</v>
      </c>
      <c r="V489">
        <v>1.2</v>
      </c>
      <c r="W489">
        <v>2.7</v>
      </c>
      <c r="X489">
        <v>12.3</v>
      </c>
      <c r="Y489">
        <v>5</v>
      </c>
      <c r="Z489">
        <v>3.8</v>
      </c>
      <c r="AA489">
        <v>24.7</v>
      </c>
      <c r="AB489">
        <v>0.23200000000000001</v>
      </c>
    </row>
    <row r="490" spans="1:28" x14ac:dyDescent="0.35">
      <c r="A490" s="1" t="s">
        <v>18</v>
      </c>
      <c r="B490" s="1" t="s">
        <v>597</v>
      </c>
      <c r="C490" s="1" t="s">
        <v>23</v>
      </c>
      <c r="D490" s="1" t="s">
        <v>20</v>
      </c>
      <c r="E490" s="4">
        <v>3.6</v>
      </c>
      <c r="F490">
        <v>26</v>
      </c>
      <c r="G490">
        <v>82</v>
      </c>
      <c r="H490">
        <v>28</v>
      </c>
      <c r="I490">
        <v>7.8</v>
      </c>
      <c r="J490">
        <v>0.70599999999999996</v>
      </c>
      <c r="K490">
        <v>0.1</v>
      </c>
      <c r="L490">
        <v>0</v>
      </c>
      <c r="M490">
        <v>7.7</v>
      </c>
      <c r="N490">
        <v>0.71199999999999997</v>
      </c>
      <c r="O490">
        <v>0.70599999999999996</v>
      </c>
      <c r="P490">
        <v>3.4</v>
      </c>
      <c r="Q490">
        <v>0.71799999999999997</v>
      </c>
      <c r="R490">
        <v>9.6999999999999993</v>
      </c>
      <c r="S490">
        <v>1.9</v>
      </c>
      <c r="T490">
        <v>0.9</v>
      </c>
      <c r="U490">
        <v>0.9</v>
      </c>
      <c r="V490">
        <v>1.2</v>
      </c>
      <c r="W490">
        <v>1.5</v>
      </c>
      <c r="X490">
        <v>13.5</v>
      </c>
      <c r="Y490">
        <v>7</v>
      </c>
      <c r="Z490">
        <v>4.2</v>
      </c>
      <c r="AA490">
        <v>22.1</v>
      </c>
      <c r="AB490">
        <v>0.24299999999999999</v>
      </c>
    </row>
    <row r="491" spans="1:28" x14ac:dyDescent="0.35">
      <c r="A491" s="1" t="s">
        <v>2</v>
      </c>
      <c r="B491" s="1" t="s">
        <v>597</v>
      </c>
      <c r="C491" s="1" t="s">
        <v>23</v>
      </c>
      <c r="D491" s="1" t="s">
        <v>20</v>
      </c>
      <c r="E491" s="4">
        <v>3</v>
      </c>
      <c r="F491">
        <v>25</v>
      </c>
      <c r="G491">
        <v>75</v>
      </c>
      <c r="H491">
        <v>30.7</v>
      </c>
      <c r="I491">
        <v>15.7</v>
      </c>
      <c r="J491">
        <v>0.47199999999999998</v>
      </c>
      <c r="K491">
        <v>7.1</v>
      </c>
      <c r="L491">
        <v>0.40100000000000002</v>
      </c>
      <c r="M491">
        <v>8.6</v>
      </c>
      <c r="N491">
        <v>0.53</v>
      </c>
      <c r="O491">
        <v>0.56200000000000006</v>
      </c>
      <c r="P491">
        <v>3.4</v>
      </c>
      <c r="Q491">
        <v>0.878</v>
      </c>
      <c r="R491">
        <v>2.9</v>
      </c>
      <c r="S491">
        <v>6.7</v>
      </c>
      <c r="T491">
        <v>1.2</v>
      </c>
      <c r="U491">
        <v>0.1</v>
      </c>
      <c r="V491">
        <v>2.5</v>
      </c>
      <c r="W491">
        <v>1.9</v>
      </c>
      <c r="X491">
        <v>20.6</v>
      </c>
      <c r="Y491">
        <v>5</v>
      </c>
      <c r="Z491">
        <v>3.1</v>
      </c>
      <c r="AA491">
        <v>19.899999999999999</v>
      </c>
      <c r="AB491">
        <v>0.16900000000000001</v>
      </c>
    </row>
    <row r="492" spans="1:28" x14ac:dyDescent="0.35">
      <c r="A492" s="1" t="s">
        <v>2</v>
      </c>
      <c r="B492" s="1" t="s">
        <v>598</v>
      </c>
      <c r="C492" s="1" t="s">
        <v>19</v>
      </c>
      <c r="D492" s="1" t="s">
        <v>20</v>
      </c>
      <c r="E492" s="4">
        <v>0.4</v>
      </c>
      <c r="F492">
        <v>21</v>
      </c>
      <c r="G492">
        <v>72</v>
      </c>
      <c r="H492">
        <v>31.3</v>
      </c>
      <c r="I492">
        <v>15.3</v>
      </c>
      <c r="J492">
        <v>0.45200000000000001</v>
      </c>
      <c r="K492">
        <v>6.6</v>
      </c>
      <c r="L492">
        <v>0.311</v>
      </c>
      <c r="M492">
        <v>8.8000000000000007</v>
      </c>
      <c r="N492">
        <v>0.55700000000000005</v>
      </c>
      <c r="O492">
        <v>0.51900000000000002</v>
      </c>
      <c r="P492">
        <v>3.4</v>
      </c>
      <c r="Q492">
        <v>0.78500000000000003</v>
      </c>
      <c r="R492">
        <v>4.5</v>
      </c>
      <c r="S492">
        <v>2.8</v>
      </c>
      <c r="T492">
        <v>0.9</v>
      </c>
      <c r="U492">
        <v>0.2</v>
      </c>
      <c r="V492">
        <v>2.1</v>
      </c>
      <c r="W492">
        <v>1.7</v>
      </c>
      <c r="X492">
        <v>18.5</v>
      </c>
      <c r="Y492">
        <v>2</v>
      </c>
      <c r="Z492">
        <v>-1.3</v>
      </c>
      <c r="AA492">
        <v>14.5</v>
      </c>
      <c r="AB492">
        <v>6.4000000000000001E-2</v>
      </c>
    </row>
    <row r="493" spans="1:28" x14ac:dyDescent="0.35">
      <c r="A493" s="1" t="s">
        <v>26</v>
      </c>
      <c r="B493" s="1" t="s">
        <v>598</v>
      </c>
      <c r="C493" s="1" t="s">
        <v>23</v>
      </c>
      <c r="D493" s="1" t="s">
        <v>50</v>
      </c>
      <c r="E493" s="4">
        <v>0.1</v>
      </c>
      <c r="F493">
        <v>30</v>
      </c>
      <c r="G493">
        <v>47</v>
      </c>
      <c r="H493">
        <v>32.4</v>
      </c>
      <c r="I493">
        <v>12.2</v>
      </c>
      <c r="J493">
        <v>0.373</v>
      </c>
      <c r="K493">
        <v>6.3</v>
      </c>
      <c r="L493">
        <v>0.36499999999999999</v>
      </c>
      <c r="M493">
        <v>5.9</v>
      </c>
      <c r="N493">
        <v>0.38100000000000001</v>
      </c>
      <c r="O493">
        <v>0.46700000000000003</v>
      </c>
      <c r="P493">
        <v>3.5</v>
      </c>
      <c r="Q493">
        <v>0.84899999999999998</v>
      </c>
      <c r="R493">
        <v>3.5</v>
      </c>
      <c r="S493">
        <v>2.1</v>
      </c>
      <c r="T493">
        <v>0.9</v>
      </c>
      <c r="U493">
        <v>1</v>
      </c>
      <c r="V493">
        <v>1.4</v>
      </c>
      <c r="W493">
        <v>2.2999999999999998</v>
      </c>
      <c r="X493">
        <v>14.4</v>
      </c>
      <c r="Y493">
        <v>10</v>
      </c>
      <c r="Z493">
        <v>-1.6</v>
      </c>
      <c r="AA493">
        <v>10.9</v>
      </c>
      <c r="AB493">
        <v>5.7000000000000002E-2</v>
      </c>
    </row>
    <row r="494" spans="1:28" x14ac:dyDescent="0.35">
      <c r="A494" s="1" t="s">
        <v>26</v>
      </c>
      <c r="B494" s="1" t="s">
        <v>598</v>
      </c>
      <c r="C494" s="1" t="s">
        <v>23</v>
      </c>
      <c r="D494" s="1" t="s">
        <v>20</v>
      </c>
      <c r="E494" s="4">
        <v>1.2</v>
      </c>
      <c r="F494">
        <v>29</v>
      </c>
      <c r="G494">
        <v>51</v>
      </c>
      <c r="H494">
        <v>28.4</v>
      </c>
      <c r="I494">
        <v>9.6999999999999993</v>
      </c>
      <c r="J494">
        <v>0.53100000000000003</v>
      </c>
      <c r="K494">
        <v>3.4</v>
      </c>
      <c r="L494">
        <v>0.436</v>
      </c>
      <c r="M494">
        <v>6.4</v>
      </c>
      <c r="N494">
        <v>0.58199999999999996</v>
      </c>
      <c r="O494">
        <v>0.60699999999999998</v>
      </c>
      <c r="P494">
        <v>3.5</v>
      </c>
      <c r="Q494">
        <v>0.81</v>
      </c>
      <c r="R494">
        <v>4.8</v>
      </c>
      <c r="S494">
        <v>3.2</v>
      </c>
      <c r="T494">
        <v>0.5</v>
      </c>
      <c r="U494">
        <v>0.3</v>
      </c>
      <c r="V494">
        <v>1.4</v>
      </c>
      <c r="W494">
        <v>1.6</v>
      </c>
      <c r="X494">
        <v>14.7</v>
      </c>
      <c r="Y494">
        <v>10</v>
      </c>
      <c r="Z494">
        <v>1.2</v>
      </c>
      <c r="AA494">
        <v>17</v>
      </c>
      <c r="AB494">
        <v>0.14299999999999999</v>
      </c>
    </row>
    <row r="495" spans="1:28" x14ac:dyDescent="0.35">
      <c r="A495" s="1" t="s">
        <v>26</v>
      </c>
      <c r="B495" s="1" t="s">
        <v>598</v>
      </c>
      <c r="C495" s="1" t="s">
        <v>23</v>
      </c>
      <c r="D495" s="1" t="s">
        <v>20</v>
      </c>
      <c r="E495" s="4">
        <v>0.5</v>
      </c>
      <c r="F495">
        <v>26</v>
      </c>
      <c r="G495">
        <v>57</v>
      </c>
      <c r="H495">
        <v>32.200000000000003</v>
      </c>
      <c r="I495">
        <v>11.7</v>
      </c>
      <c r="J495">
        <v>0.45300000000000001</v>
      </c>
      <c r="K495">
        <v>4.2</v>
      </c>
      <c r="L495">
        <v>0.38100000000000001</v>
      </c>
      <c r="M495">
        <v>7.5</v>
      </c>
      <c r="N495">
        <v>0.49299999999999999</v>
      </c>
      <c r="O495">
        <v>0.52100000000000002</v>
      </c>
      <c r="P495">
        <v>3.5</v>
      </c>
      <c r="Q495">
        <v>0.72199999999999998</v>
      </c>
      <c r="R495">
        <v>7.8</v>
      </c>
      <c r="S495">
        <v>2.2999999999999998</v>
      </c>
      <c r="T495">
        <v>1.1000000000000001</v>
      </c>
      <c r="U495">
        <v>1.1000000000000001</v>
      </c>
      <c r="V495">
        <v>2.1</v>
      </c>
      <c r="W495">
        <v>2.2999999999999998</v>
      </c>
      <c r="X495">
        <v>14.7</v>
      </c>
      <c r="Y495">
        <v>5</v>
      </c>
      <c r="Z495">
        <v>-0.9</v>
      </c>
      <c r="AA495">
        <v>14</v>
      </c>
      <c r="AB495">
        <v>6.2E-2</v>
      </c>
    </row>
    <row r="496" spans="1:28" x14ac:dyDescent="0.35">
      <c r="A496" s="1" t="s">
        <v>26</v>
      </c>
      <c r="B496" s="1" t="s">
        <v>597</v>
      </c>
      <c r="C496" s="1" t="s">
        <v>23</v>
      </c>
      <c r="D496" s="1" t="s">
        <v>20</v>
      </c>
      <c r="E496" s="4">
        <v>1.2</v>
      </c>
      <c r="F496">
        <v>23</v>
      </c>
      <c r="G496">
        <v>36</v>
      </c>
      <c r="H496">
        <v>35.700000000000003</v>
      </c>
      <c r="I496">
        <v>15.1</v>
      </c>
      <c r="J496">
        <v>0.5</v>
      </c>
      <c r="K496">
        <v>3.9</v>
      </c>
      <c r="L496">
        <v>0.312</v>
      </c>
      <c r="M496">
        <v>11.1</v>
      </c>
      <c r="N496">
        <v>0.56599999999999995</v>
      </c>
      <c r="O496">
        <v>0.54100000000000004</v>
      </c>
      <c r="P496">
        <v>3.5</v>
      </c>
      <c r="Q496">
        <v>0.746</v>
      </c>
      <c r="R496">
        <v>10</v>
      </c>
      <c r="S496">
        <v>5</v>
      </c>
      <c r="T496">
        <v>1.6</v>
      </c>
      <c r="U496">
        <v>1</v>
      </c>
      <c r="V496">
        <v>2.9</v>
      </c>
      <c r="W496">
        <v>1.9</v>
      </c>
      <c r="X496">
        <v>18.899999999999999</v>
      </c>
      <c r="Y496">
        <v>3</v>
      </c>
      <c r="Z496">
        <v>1.8</v>
      </c>
      <c r="AA496">
        <v>17.3</v>
      </c>
      <c r="AB496">
        <v>8.8999999999999996E-2</v>
      </c>
    </row>
    <row r="497" spans="1:28" x14ac:dyDescent="0.35">
      <c r="A497" s="1" t="s">
        <v>26</v>
      </c>
      <c r="B497" s="1" t="s">
        <v>598</v>
      </c>
      <c r="C497" s="1" t="s">
        <v>23</v>
      </c>
      <c r="D497" s="1" t="s">
        <v>20</v>
      </c>
      <c r="E497" s="4">
        <v>3.4</v>
      </c>
      <c r="F497">
        <v>22</v>
      </c>
      <c r="G497">
        <v>69</v>
      </c>
      <c r="H497">
        <v>32.200000000000003</v>
      </c>
      <c r="I497">
        <v>10.1</v>
      </c>
      <c r="J497">
        <v>0.55700000000000005</v>
      </c>
      <c r="K497">
        <v>1.3</v>
      </c>
      <c r="L497">
        <v>0.27500000000000002</v>
      </c>
      <c r="M497">
        <v>8.8000000000000007</v>
      </c>
      <c r="N497">
        <v>0.59899999999999998</v>
      </c>
      <c r="O497">
        <v>0.57499999999999996</v>
      </c>
      <c r="P497">
        <v>3.6</v>
      </c>
      <c r="Q497">
        <v>0.68400000000000005</v>
      </c>
      <c r="R497">
        <v>8.1999999999999993</v>
      </c>
      <c r="S497">
        <v>3.8</v>
      </c>
      <c r="T497">
        <v>1.4</v>
      </c>
      <c r="U497">
        <v>1.3</v>
      </c>
      <c r="V497">
        <v>2</v>
      </c>
      <c r="W497">
        <v>2.4</v>
      </c>
      <c r="X497">
        <v>14.1</v>
      </c>
      <c r="Y497">
        <v>1</v>
      </c>
      <c r="Z497">
        <v>4.0999999999999996</v>
      </c>
      <c r="AA497">
        <v>18.7</v>
      </c>
      <c r="AB497">
        <v>0.17199999999999999</v>
      </c>
    </row>
    <row r="498" spans="1:28" x14ac:dyDescent="0.35">
      <c r="A498" s="1" t="s">
        <v>18</v>
      </c>
      <c r="B498" s="1" t="s">
        <v>597</v>
      </c>
      <c r="C498" s="1" t="s">
        <v>19</v>
      </c>
      <c r="D498" s="1" t="s">
        <v>20</v>
      </c>
      <c r="E498" s="4">
        <v>0.9</v>
      </c>
      <c r="F498">
        <v>27</v>
      </c>
      <c r="G498">
        <v>30</v>
      </c>
      <c r="H498">
        <v>18.8</v>
      </c>
      <c r="I498">
        <v>8.3000000000000007</v>
      </c>
      <c r="J498">
        <v>0.56200000000000006</v>
      </c>
      <c r="K498">
        <v>2.5</v>
      </c>
      <c r="L498">
        <v>0.36</v>
      </c>
      <c r="M498">
        <v>5.8</v>
      </c>
      <c r="N498">
        <v>0.64900000000000002</v>
      </c>
      <c r="O498">
        <v>0.61599999999999999</v>
      </c>
      <c r="P498">
        <v>3.7</v>
      </c>
      <c r="Q498">
        <v>0.71799999999999997</v>
      </c>
      <c r="R498">
        <v>4.9000000000000004</v>
      </c>
      <c r="S498">
        <v>1.4</v>
      </c>
      <c r="T498">
        <v>0.8</v>
      </c>
      <c r="U498">
        <v>0.4</v>
      </c>
      <c r="V498">
        <v>1.6</v>
      </c>
      <c r="W498">
        <v>1.8</v>
      </c>
      <c r="X498">
        <v>12.9</v>
      </c>
      <c r="Y498">
        <v>6</v>
      </c>
      <c r="Z498">
        <v>4</v>
      </c>
      <c r="AA498">
        <v>22.3</v>
      </c>
      <c r="AB498">
        <v>0.17399999999999999</v>
      </c>
    </row>
    <row r="499" spans="1:28" x14ac:dyDescent="0.35">
      <c r="A499" s="1" t="s">
        <v>18</v>
      </c>
      <c r="B499" s="1" t="s">
        <v>597</v>
      </c>
      <c r="C499" s="1" t="s">
        <v>23</v>
      </c>
      <c r="D499" s="1" t="s">
        <v>20</v>
      </c>
      <c r="E499" s="4">
        <v>1.6</v>
      </c>
      <c r="F499">
        <v>23</v>
      </c>
      <c r="G499">
        <v>44</v>
      </c>
      <c r="H499">
        <v>26.6</v>
      </c>
      <c r="I499">
        <v>10.199999999999999</v>
      </c>
      <c r="J499">
        <v>0.60399999999999998</v>
      </c>
      <c r="K499">
        <v>0.1</v>
      </c>
      <c r="L499">
        <v>0</v>
      </c>
      <c r="M499">
        <v>10.1</v>
      </c>
      <c r="N499">
        <v>0.60899999999999999</v>
      </c>
      <c r="O499">
        <v>0.60399999999999998</v>
      </c>
      <c r="P499">
        <v>3.7</v>
      </c>
      <c r="Q499">
        <v>0.80400000000000005</v>
      </c>
      <c r="R499">
        <v>10.199999999999999</v>
      </c>
      <c r="S499">
        <v>2.5</v>
      </c>
      <c r="T499">
        <v>0.7</v>
      </c>
      <c r="U499">
        <v>1.2</v>
      </c>
      <c r="V499">
        <v>1.6</v>
      </c>
      <c r="W499">
        <v>2.4</v>
      </c>
      <c r="X499">
        <v>15.3</v>
      </c>
      <c r="Y499">
        <v>2</v>
      </c>
      <c r="Z499">
        <v>3.5</v>
      </c>
      <c r="AA499">
        <v>23.9</v>
      </c>
      <c r="AB499">
        <v>0.19500000000000001</v>
      </c>
    </row>
    <row r="500" spans="1:28" x14ac:dyDescent="0.35">
      <c r="A500" s="1" t="s">
        <v>2</v>
      </c>
      <c r="B500" s="1" t="s">
        <v>598</v>
      </c>
      <c r="C500" s="1" t="s">
        <v>19</v>
      </c>
      <c r="D500" s="1" t="s">
        <v>20</v>
      </c>
      <c r="E500" s="4">
        <v>1.7</v>
      </c>
      <c r="F500">
        <v>27</v>
      </c>
      <c r="G500">
        <v>67</v>
      </c>
      <c r="H500">
        <v>36.1</v>
      </c>
      <c r="I500">
        <v>16.7</v>
      </c>
      <c r="J500">
        <v>0.47399999999999998</v>
      </c>
      <c r="K500">
        <v>5.9</v>
      </c>
      <c r="L500">
        <v>0.39300000000000002</v>
      </c>
      <c r="M500">
        <v>10.8</v>
      </c>
      <c r="N500">
        <v>0.51800000000000002</v>
      </c>
      <c r="O500">
        <v>0.54300000000000004</v>
      </c>
      <c r="P500">
        <v>3.7</v>
      </c>
      <c r="Q500">
        <v>0.88600000000000001</v>
      </c>
      <c r="R500">
        <v>3.9</v>
      </c>
      <c r="S500">
        <v>6</v>
      </c>
      <c r="T500">
        <v>1.4</v>
      </c>
      <c r="U500">
        <v>0.5</v>
      </c>
      <c r="V500">
        <v>2.1</v>
      </c>
      <c r="W500">
        <v>1.9</v>
      </c>
      <c r="X500">
        <v>21.4</v>
      </c>
      <c r="Y500">
        <v>8</v>
      </c>
      <c r="Z500">
        <v>0.8</v>
      </c>
      <c r="AA500">
        <v>17.8</v>
      </c>
      <c r="AB500">
        <v>0.123</v>
      </c>
    </row>
    <row r="501" spans="1:28" x14ac:dyDescent="0.35">
      <c r="A501" s="1" t="s">
        <v>18</v>
      </c>
      <c r="B501" s="1" t="s">
        <v>598</v>
      </c>
      <c r="C501" s="1" t="s">
        <v>19</v>
      </c>
      <c r="D501" s="1" t="s">
        <v>20</v>
      </c>
      <c r="E501" s="4">
        <v>2.4</v>
      </c>
      <c r="F501">
        <v>32</v>
      </c>
      <c r="G501">
        <v>72</v>
      </c>
      <c r="H501">
        <v>33.200000000000003</v>
      </c>
      <c r="I501">
        <v>7.1</v>
      </c>
      <c r="J501">
        <v>0.66900000000000004</v>
      </c>
      <c r="K501">
        <v>0</v>
      </c>
      <c r="M501">
        <v>7.1</v>
      </c>
      <c r="N501">
        <v>0.66900000000000004</v>
      </c>
      <c r="O501">
        <v>0.66900000000000004</v>
      </c>
      <c r="P501">
        <v>3.8</v>
      </c>
      <c r="Q501">
        <v>0.67400000000000004</v>
      </c>
      <c r="R501">
        <v>10.9</v>
      </c>
      <c r="S501">
        <v>1.8</v>
      </c>
      <c r="T501">
        <v>0.8</v>
      </c>
      <c r="U501">
        <v>1.4</v>
      </c>
      <c r="V501">
        <v>1.2</v>
      </c>
      <c r="W501">
        <v>2.5</v>
      </c>
      <c r="X501">
        <v>12</v>
      </c>
      <c r="Y501">
        <v>11</v>
      </c>
      <c r="Z501">
        <v>1.9</v>
      </c>
      <c r="AA501">
        <v>18.3</v>
      </c>
      <c r="AB501">
        <v>0.20399999999999999</v>
      </c>
    </row>
    <row r="502" spans="1:28" x14ac:dyDescent="0.35">
      <c r="A502" s="1" t="s">
        <v>2</v>
      </c>
      <c r="B502" s="1" t="s">
        <v>597</v>
      </c>
      <c r="C502" s="1" t="s">
        <v>23</v>
      </c>
      <c r="D502" s="1" t="s">
        <v>50</v>
      </c>
      <c r="E502" s="4">
        <v>0.1</v>
      </c>
      <c r="F502">
        <v>32</v>
      </c>
      <c r="G502">
        <v>24</v>
      </c>
      <c r="H502">
        <v>23.5</v>
      </c>
      <c r="I502">
        <v>10</v>
      </c>
      <c r="J502">
        <v>0.433</v>
      </c>
      <c r="K502">
        <v>2.2999999999999998</v>
      </c>
      <c r="L502">
        <v>0.28599999999999998</v>
      </c>
      <c r="M502">
        <v>7.7</v>
      </c>
      <c r="N502">
        <v>0.47799999999999998</v>
      </c>
      <c r="O502">
        <v>0.46700000000000003</v>
      </c>
      <c r="P502">
        <v>3.8</v>
      </c>
      <c r="Q502">
        <v>0.88</v>
      </c>
      <c r="R502">
        <v>3.8</v>
      </c>
      <c r="S502">
        <v>4.0999999999999996</v>
      </c>
      <c r="T502">
        <v>0.5</v>
      </c>
      <c r="U502">
        <v>0.2</v>
      </c>
      <c r="V502">
        <v>1.6</v>
      </c>
      <c r="W502">
        <v>1.3</v>
      </c>
      <c r="X502">
        <v>12.7</v>
      </c>
      <c r="Y502">
        <v>8</v>
      </c>
      <c r="Z502">
        <v>-1.5</v>
      </c>
      <c r="AA502">
        <v>15.8</v>
      </c>
      <c r="AB502">
        <v>6.0999999999999999E-2</v>
      </c>
    </row>
    <row r="503" spans="1:28" x14ac:dyDescent="0.35">
      <c r="A503" s="1" t="s">
        <v>26</v>
      </c>
      <c r="B503" s="1" t="s">
        <v>597</v>
      </c>
      <c r="C503" s="1" t="s">
        <v>23</v>
      </c>
      <c r="D503" s="1" t="s">
        <v>20</v>
      </c>
      <c r="E503" s="4">
        <v>2.2999999999999998</v>
      </c>
      <c r="F503">
        <v>28</v>
      </c>
      <c r="G503">
        <v>57</v>
      </c>
      <c r="H503">
        <v>31.6</v>
      </c>
      <c r="I503">
        <v>13.1</v>
      </c>
      <c r="J503">
        <v>0.47499999999999998</v>
      </c>
      <c r="K503">
        <v>7.2</v>
      </c>
      <c r="L503">
        <v>0.39</v>
      </c>
      <c r="M503">
        <v>5.9</v>
      </c>
      <c r="N503">
        <v>0.57799999999999996</v>
      </c>
      <c r="O503">
        <v>0.58199999999999996</v>
      </c>
      <c r="P503">
        <v>3.9</v>
      </c>
      <c r="Q503">
        <v>0.89300000000000002</v>
      </c>
      <c r="R503">
        <v>4.3</v>
      </c>
      <c r="S503">
        <v>3.4</v>
      </c>
      <c r="T503">
        <v>0.9</v>
      </c>
      <c r="U503">
        <v>0.4</v>
      </c>
      <c r="V503">
        <v>1.7</v>
      </c>
      <c r="W503">
        <v>1.8</v>
      </c>
      <c r="X503">
        <v>18.8</v>
      </c>
      <c r="Y503">
        <v>5</v>
      </c>
      <c r="Z503">
        <v>3.1</v>
      </c>
      <c r="AA503">
        <v>18.2</v>
      </c>
      <c r="AB503">
        <v>0.13700000000000001</v>
      </c>
    </row>
    <row r="504" spans="1:28" x14ac:dyDescent="0.35">
      <c r="A504" s="1" t="s">
        <v>26</v>
      </c>
      <c r="B504" s="1" t="s">
        <v>598</v>
      </c>
      <c r="C504" s="1" t="s">
        <v>19</v>
      </c>
      <c r="D504" s="1" t="s">
        <v>20</v>
      </c>
      <c r="E504" s="4">
        <v>0.7</v>
      </c>
      <c r="F504">
        <v>27</v>
      </c>
      <c r="G504">
        <v>47</v>
      </c>
      <c r="H504">
        <v>31.4</v>
      </c>
      <c r="I504">
        <v>14.9</v>
      </c>
      <c r="J504">
        <v>0.42299999999999999</v>
      </c>
      <c r="K504">
        <v>8.5</v>
      </c>
      <c r="L504">
        <v>0.34599999999999997</v>
      </c>
      <c r="M504">
        <v>6.4</v>
      </c>
      <c r="N504">
        <v>0.52500000000000002</v>
      </c>
      <c r="O504">
        <v>0.52100000000000002</v>
      </c>
      <c r="P504">
        <v>3.9</v>
      </c>
      <c r="Q504">
        <v>0.876</v>
      </c>
      <c r="R504">
        <v>5.9</v>
      </c>
      <c r="S504">
        <v>1.5</v>
      </c>
      <c r="T504">
        <v>0.7</v>
      </c>
      <c r="U504">
        <v>0.4</v>
      </c>
      <c r="V504">
        <v>1.4</v>
      </c>
      <c r="W504">
        <v>1.7</v>
      </c>
      <c r="X504">
        <v>19</v>
      </c>
      <c r="Y504">
        <v>7</v>
      </c>
      <c r="Z504">
        <v>-0.3</v>
      </c>
      <c r="AA504">
        <v>15.6</v>
      </c>
      <c r="AB504">
        <v>7.0000000000000007E-2</v>
      </c>
    </row>
    <row r="505" spans="1:28" x14ac:dyDescent="0.35">
      <c r="A505" s="1" t="s">
        <v>2</v>
      </c>
      <c r="B505" s="1" t="s">
        <v>597</v>
      </c>
      <c r="C505" s="1" t="s">
        <v>23</v>
      </c>
      <c r="D505" s="1" t="s">
        <v>20</v>
      </c>
      <c r="E505" s="4">
        <v>1</v>
      </c>
      <c r="F505">
        <v>25</v>
      </c>
      <c r="G505">
        <v>33</v>
      </c>
      <c r="H505">
        <v>27.8</v>
      </c>
      <c r="I505">
        <v>13.3</v>
      </c>
      <c r="J505">
        <v>0.42</v>
      </c>
      <c r="K505">
        <v>6.8</v>
      </c>
      <c r="L505">
        <v>0.378</v>
      </c>
      <c r="M505">
        <v>6.5</v>
      </c>
      <c r="N505">
        <v>0.46500000000000002</v>
      </c>
      <c r="O505">
        <v>0.51700000000000002</v>
      </c>
      <c r="P505">
        <v>3.9</v>
      </c>
      <c r="Q505">
        <v>0.86699999999999999</v>
      </c>
      <c r="R505">
        <v>3.5</v>
      </c>
      <c r="S505">
        <v>5.8</v>
      </c>
      <c r="T505">
        <v>0.7</v>
      </c>
      <c r="U505">
        <v>0.1</v>
      </c>
      <c r="V505">
        <v>1.8</v>
      </c>
      <c r="W505">
        <v>1.8</v>
      </c>
      <c r="X505">
        <v>17.100000000000001</v>
      </c>
      <c r="Y505">
        <v>4</v>
      </c>
      <c r="Z505">
        <v>2.2000000000000002</v>
      </c>
      <c r="AA505">
        <v>17.5</v>
      </c>
      <c r="AB505">
        <v>0.128</v>
      </c>
    </row>
    <row r="506" spans="1:28" x14ac:dyDescent="0.35">
      <c r="A506" s="1" t="s">
        <v>2</v>
      </c>
      <c r="B506" s="1" t="s">
        <v>598</v>
      </c>
      <c r="C506" s="1" t="s">
        <v>33</v>
      </c>
      <c r="D506" s="1" t="s">
        <v>50</v>
      </c>
      <c r="E506" s="4">
        <v>0.1</v>
      </c>
      <c r="F506">
        <v>32</v>
      </c>
      <c r="G506">
        <v>37</v>
      </c>
      <c r="H506">
        <v>26</v>
      </c>
      <c r="I506">
        <v>13.3</v>
      </c>
      <c r="J506">
        <v>0.40799999999999997</v>
      </c>
      <c r="K506">
        <v>6.3</v>
      </c>
      <c r="L506">
        <v>0.36199999999999999</v>
      </c>
      <c r="M506">
        <v>7.1</v>
      </c>
      <c r="N506">
        <v>0.44800000000000001</v>
      </c>
      <c r="O506">
        <v>0.49299999999999999</v>
      </c>
      <c r="P506">
        <v>3.9</v>
      </c>
      <c r="Q506">
        <v>0.79700000000000004</v>
      </c>
      <c r="R506">
        <v>3.2</v>
      </c>
      <c r="S506">
        <v>3.7</v>
      </c>
      <c r="T506">
        <v>0.8</v>
      </c>
      <c r="U506">
        <v>0.2</v>
      </c>
      <c r="V506">
        <v>2.2999999999999998</v>
      </c>
      <c r="W506">
        <v>1.4</v>
      </c>
      <c r="X506">
        <v>16.2</v>
      </c>
      <c r="Y506">
        <v>10</v>
      </c>
      <c r="Z506">
        <v>-1.5</v>
      </c>
      <c r="AA506">
        <v>14.5</v>
      </c>
      <c r="AB506">
        <v>2.1000000000000001E-2</v>
      </c>
    </row>
    <row r="507" spans="1:28" x14ac:dyDescent="0.35">
      <c r="A507" s="1" t="s">
        <v>2</v>
      </c>
      <c r="B507" s="1" t="s">
        <v>597</v>
      </c>
      <c r="C507" s="1" t="s">
        <v>23</v>
      </c>
      <c r="D507" s="1" t="s">
        <v>20</v>
      </c>
      <c r="E507" s="4">
        <v>0.5</v>
      </c>
      <c r="F507">
        <v>22</v>
      </c>
      <c r="G507">
        <v>30</v>
      </c>
      <c r="H507">
        <v>29.9</v>
      </c>
      <c r="I507">
        <v>13.8</v>
      </c>
      <c r="J507">
        <v>0.46</v>
      </c>
      <c r="K507">
        <v>5.0999999999999996</v>
      </c>
      <c r="L507">
        <v>0.40899999999999997</v>
      </c>
      <c r="M507">
        <v>8.6</v>
      </c>
      <c r="N507">
        <v>0.49</v>
      </c>
      <c r="O507">
        <v>0.53600000000000003</v>
      </c>
      <c r="P507">
        <v>3.9</v>
      </c>
      <c r="Q507">
        <v>0.73299999999999998</v>
      </c>
      <c r="R507">
        <v>4.0999999999999996</v>
      </c>
      <c r="S507">
        <v>4</v>
      </c>
      <c r="T507">
        <v>0.9</v>
      </c>
      <c r="U507">
        <v>0.4</v>
      </c>
      <c r="V507">
        <v>3</v>
      </c>
      <c r="W507">
        <v>2.2000000000000002</v>
      </c>
      <c r="X507">
        <v>17.600000000000001</v>
      </c>
      <c r="Y507">
        <v>2</v>
      </c>
      <c r="Z507">
        <v>0</v>
      </c>
      <c r="AA507">
        <v>14.7</v>
      </c>
      <c r="AB507">
        <v>6.2E-2</v>
      </c>
    </row>
    <row r="508" spans="1:28" x14ac:dyDescent="0.35">
      <c r="A508" s="1" t="s">
        <v>2</v>
      </c>
      <c r="B508" s="1" t="s">
        <v>35</v>
      </c>
      <c r="C508" s="1" t="s">
        <v>23</v>
      </c>
      <c r="D508" s="1" t="s">
        <v>20</v>
      </c>
      <c r="E508" s="4">
        <v>1.8</v>
      </c>
      <c r="F508">
        <v>29</v>
      </c>
      <c r="G508">
        <v>74</v>
      </c>
      <c r="H508">
        <v>35.200000000000003</v>
      </c>
      <c r="I508">
        <v>16.5</v>
      </c>
      <c r="J508">
        <v>0.51100000000000001</v>
      </c>
      <c r="K508">
        <v>7.2</v>
      </c>
      <c r="L508">
        <v>0.44600000000000001</v>
      </c>
      <c r="M508">
        <v>9.3000000000000007</v>
      </c>
      <c r="N508">
        <v>0.56200000000000006</v>
      </c>
      <c r="O508">
        <v>0.60899999999999999</v>
      </c>
      <c r="P508">
        <v>3.9</v>
      </c>
      <c r="Q508">
        <v>0.82499999999999996</v>
      </c>
      <c r="R508">
        <v>4.3</v>
      </c>
      <c r="S508">
        <v>4.2</v>
      </c>
      <c r="T508">
        <v>0.8</v>
      </c>
      <c r="U508">
        <v>0.2</v>
      </c>
      <c r="V508">
        <v>2.8</v>
      </c>
      <c r="W508">
        <v>1.6</v>
      </c>
      <c r="X508">
        <v>23.3</v>
      </c>
      <c r="Y508">
        <v>10</v>
      </c>
      <c r="Z508">
        <v>0.7</v>
      </c>
      <c r="AA508">
        <v>17.3</v>
      </c>
      <c r="AB508">
        <v>9.4E-2</v>
      </c>
    </row>
    <row r="509" spans="1:28" x14ac:dyDescent="0.35">
      <c r="A509" s="1" t="s">
        <v>26</v>
      </c>
      <c r="B509" s="1" t="s">
        <v>597</v>
      </c>
      <c r="C509" s="1" t="s">
        <v>19</v>
      </c>
      <c r="D509" s="1" t="s">
        <v>20</v>
      </c>
      <c r="E509" s="4">
        <v>2.4</v>
      </c>
      <c r="F509">
        <v>30</v>
      </c>
      <c r="G509">
        <v>78</v>
      </c>
      <c r="H509">
        <v>32.700000000000003</v>
      </c>
      <c r="I509">
        <v>15.2</v>
      </c>
      <c r="J509">
        <v>0.51900000000000002</v>
      </c>
      <c r="K509">
        <v>4.2</v>
      </c>
      <c r="L509">
        <v>0.38900000000000001</v>
      </c>
      <c r="M509">
        <v>11</v>
      </c>
      <c r="N509">
        <v>0.56799999999999995</v>
      </c>
      <c r="O509">
        <v>0.57199999999999995</v>
      </c>
      <c r="P509">
        <v>3.9</v>
      </c>
      <c r="Q509">
        <v>0.73399999999999999</v>
      </c>
      <c r="R509">
        <v>6.9</v>
      </c>
      <c r="S509">
        <v>3.4</v>
      </c>
      <c r="T509">
        <v>0.9</v>
      </c>
      <c r="U509">
        <v>0.5</v>
      </c>
      <c r="V509">
        <v>1.4</v>
      </c>
      <c r="W509">
        <v>2.4</v>
      </c>
      <c r="X509">
        <v>20.2</v>
      </c>
      <c r="Y509">
        <v>8</v>
      </c>
      <c r="Z509">
        <v>1.7</v>
      </c>
      <c r="AA509">
        <v>19.2</v>
      </c>
      <c r="AB509">
        <v>0.14199999999999999</v>
      </c>
    </row>
    <row r="510" spans="1:28" x14ac:dyDescent="0.35">
      <c r="A510" s="1" t="s">
        <v>26</v>
      </c>
      <c r="B510" s="1" t="s">
        <v>35</v>
      </c>
      <c r="C510" s="1" t="s">
        <v>23</v>
      </c>
      <c r="D510" s="1" t="s">
        <v>20</v>
      </c>
      <c r="E510" s="4">
        <v>1</v>
      </c>
      <c r="F510">
        <v>27</v>
      </c>
      <c r="G510">
        <v>64</v>
      </c>
      <c r="H510">
        <v>27.2</v>
      </c>
      <c r="I510">
        <v>11.9</v>
      </c>
      <c r="J510">
        <v>0.47</v>
      </c>
      <c r="K510">
        <v>6.1</v>
      </c>
      <c r="L510">
        <v>0.40500000000000003</v>
      </c>
      <c r="M510">
        <v>5.8</v>
      </c>
      <c r="N510">
        <v>0.53700000000000003</v>
      </c>
      <c r="O510">
        <v>0.57299999999999995</v>
      </c>
      <c r="P510">
        <v>4</v>
      </c>
      <c r="Q510">
        <v>0.84599999999999997</v>
      </c>
      <c r="R510">
        <v>4</v>
      </c>
      <c r="S510">
        <v>1.4</v>
      </c>
      <c r="T510">
        <v>0.8</v>
      </c>
      <c r="U510">
        <v>0.2</v>
      </c>
      <c r="V510">
        <v>1.3</v>
      </c>
      <c r="W510">
        <v>2.4</v>
      </c>
      <c r="X510">
        <v>17</v>
      </c>
      <c r="Y510">
        <v>5</v>
      </c>
      <c r="Z510">
        <v>0.4</v>
      </c>
      <c r="AA510">
        <v>15.9</v>
      </c>
      <c r="AB510">
        <v>0.122</v>
      </c>
    </row>
    <row r="511" spans="1:28" x14ac:dyDescent="0.35">
      <c r="A511" s="1" t="s">
        <v>2</v>
      </c>
      <c r="B511" s="1" t="s">
        <v>597</v>
      </c>
      <c r="C511" s="1" t="s">
        <v>23</v>
      </c>
      <c r="D511" s="1" t="s">
        <v>20</v>
      </c>
      <c r="E511" s="4">
        <v>1.2</v>
      </c>
      <c r="F511">
        <v>25</v>
      </c>
      <c r="G511">
        <v>68</v>
      </c>
      <c r="H511">
        <v>29.4</v>
      </c>
      <c r="I511">
        <v>15.5</v>
      </c>
      <c r="J511">
        <v>0.432</v>
      </c>
      <c r="K511">
        <v>9.1</v>
      </c>
      <c r="L511">
        <v>0.378</v>
      </c>
      <c r="M511">
        <v>6.4</v>
      </c>
      <c r="N511">
        <v>0.51</v>
      </c>
      <c r="O511">
        <v>0.54400000000000004</v>
      </c>
      <c r="P511">
        <v>4</v>
      </c>
      <c r="Q511">
        <v>0.88300000000000001</v>
      </c>
      <c r="R511">
        <v>3</v>
      </c>
      <c r="S511">
        <v>4.5</v>
      </c>
      <c r="T511">
        <v>1.3</v>
      </c>
      <c r="U511">
        <v>0.4</v>
      </c>
      <c r="V511">
        <v>3</v>
      </c>
      <c r="W511">
        <v>3</v>
      </c>
      <c r="X511">
        <v>20.5</v>
      </c>
      <c r="Y511">
        <v>5</v>
      </c>
      <c r="Z511">
        <v>0.4</v>
      </c>
      <c r="AA511">
        <v>16.600000000000001</v>
      </c>
      <c r="AB511">
        <v>4.7E-2</v>
      </c>
    </row>
    <row r="512" spans="1:28" x14ac:dyDescent="0.35">
      <c r="A512" s="1" t="s">
        <v>2</v>
      </c>
      <c r="B512" s="1" t="s">
        <v>598</v>
      </c>
      <c r="C512" s="1" t="s">
        <v>23</v>
      </c>
      <c r="D512" s="1" t="s">
        <v>20</v>
      </c>
      <c r="E512" s="4">
        <v>0.6</v>
      </c>
      <c r="F512">
        <v>26</v>
      </c>
      <c r="G512">
        <v>63</v>
      </c>
      <c r="H512">
        <v>27.9</v>
      </c>
      <c r="I512">
        <v>13.8</v>
      </c>
      <c r="J512">
        <v>0.48</v>
      </c>
      <c r="K512">
        <v>4.3</v>
      </c>
      <c r="L512">
        <v>0.40600000000000003</v>
      </c>
      <c r="M512">
        <v>9.5</v>
      </c>
      <c r="N512">
        <v>0.51300000000000001</v>
      </c>
      <c r="O512">
        <v>0.54300000000000004</v>
      </c>
      <c r="P512">
        <v>4</v>
      </c>
      <c r="Q512">
        <v>0.86499999999999999</v>
      </c>
      <c r="R512">
        <v>2.7</v>
      </c>
      <c r="S512">
        <v>4.2</v>
      </c>
      <c r="T512">
        <v>0.7</v>
      </c>
      <c r="U512">
        <v>0.1</v>
      </c>
      <c r="V512">
        <v>2.5</v>
      </c>
      <c r="W512">
        <v>2.2999999999999998</v>
      </c>
      <c r="X512">
        <v>18.399999999999999</v>
      </c>
      <c r="Y512">
        <v>6</v>
      </c>
      <c r="Z512">
        <v>-0.6</v>
      </c>
      <c r="AA512">
        <v>16.600000000000001</v>
      </c>
      <c r="AB512">
        <v>6.6000000000000003E-2</v>
      </c>
    </row>
    <row r="513" spans="1:28" x14ac:dyDescent="0.35">
      <c r="A513" s="1" t="s">
        <v>26</v>
      </c>
      <c r="B513" s="1" t="s">
        <v>597</v>
      </c>
      <c r="C513" s="1" t="s">
        <v>23</v>
      </c>
      <c r="D513" s="1" t="s">
        <v>20</v>
      </c>
      <c r="E513" s="4">
        <v>2</v>
      </c>
      <c r="F513">
        <v>26</v>
      </c>
      <c r="G513">
        <v>64</v>
      </c>
      <c r="H513">
        <v>31.7</v>
      </c>
      <c r="I513">
        <v>17</v>
      </c>
      <c r="J513">
        <v>0.43099999999999999</v>
      </c>
      <c r="K513">
        <v>7</v>
      </c>
      <c r="L513">
        <v>0.313</v>
      </c>
      <c r="M513">
        <v>10</v>
      </c>
      <c r="N513">
        <v>0.51300000000000001</v>
      </c>
      <c r="O513">
        <v>0.495</v>
      </c>
      <c r="P513">
        <v>4</v>
      </c>
      <c r="Q513">
        <v>0.87</v>
      </c>
      <c r="R513">
        <v>7.5</v>
      </c>
      <c r="S513">
        <v>3.9</v>
      </c>
      <c r="T513">
        <v>0.7</v>
      </c>
      <c r="U513">
        <v>0.7</v>
      </c>
      <c r="V513">
        <v>2.1</v>
      </c>
      <c r="W513">
        <v>1.5</v>
      </c>
      <c r="X513">
        <v>20.3</v>
      </c>
      <c r="Y513">
        <v>5</v>
      </c>
      <c r="Z513">
        <v>1.8</v>
      </c>
      <c r="AA513">
        <v>17.7</v>
      </c>
      <c r="AB513">
        <v>7.4999999999999997E-2</v>
      </c>
    </row>
    <row r="514" spans="1:28" x14ac:dyDescent="0.35">
      <c r="A514" s="1" t="s">
        <v>2</v>
      </c>
      <c r="B514" s="1" t="s">
        <v>598</v>
      </c>
      <c r="C514" s="1" t="s">
        <v>23</v>
      </c>
      <c r="D514" s="1" t="s">
        <v>20</v>
      </c>
      <c r="E514" s="4">
        <v>0.1</v>
      </c>
      <c r="F514">
        <v>28</v>
      </c>
      <c r="G514">
        <v>31</v>
      </c>
      <c r="H514">
        <v>32.6</v>
      </c>
      <c r="I514">
        <v>15.9</v>
      </c>
      <c r="J514">
        <v>0.39300000000000002</v>
      </c>
      <c r="K514">
        <v>5.6</v>
      </c>
      <c r="L514">
        <v>0.29899999999999999</v>
      </c>
      <c r="M514">
        <v>10.3</v>
      </c>
      <c r="N514">
        <v>0.44400000000000001</v>
      </c>
      <c r="O514">
        <v>0.44500000000000001</v>
      </c>
      <c r="P514">
        <v>4</v>
      </c>
      <c r="Q514">
        <v>0.82299999999999995</v>
      </c>
      <c r="R514">
        <v>6.5</v>
      </c>
      <c r="S514">
        <v>7.4</v>
      </c>
      <c r="T514">
        <v>2</v>
      </c>
      <c r="U514">
        <v>0.4</v>
      </c>
      <c r="V514">
        <v>3.4</v>
      </c>
      <c r="W514">
        <v>2</v>
      </c>
      <c r="X514">
        <v>17.5</v>
      </c>
      <c r="Y514">
        <v>8</v>
      </c>
      <c r="Z514">
        <v>-1.6</v>
      </c>
      <c r="AA514">
        <v>15.4</v>
      </c>
      <c r="AB514">
        <v>8.9999999999999993E-3</v>
      </c>
    </row>
    <row r="515" spans="1:28" x14ac:dyDescent="0.35">
      <c r="A515" s="1" t="s">
        <v>2</v>
      </c>
      <c r="B515" s="1" t="s">
        <v>597</v>
      </c>
      <c r="C515" s="1" t="s">
        <v>23</v>
      </c>
      <c r="D515" s="1" t="s">
        <v>20</v>
      </c>
      <c r="E515" s="4">
        <v>0.7</v>
      </c>
      <c r="F515">
        <v>24</v>
      </c>
      <c r="G515">
        <v>74</v>
      </c>
      <c r="H515">
        <v>33.1</v>
      </c>
      <c r="I515">
        <v>15.1</v>
      </c>
      <c r="J515">
        <v>0.45300000000000001</v>
      </c>
      <c r="K515">
        <v>7.9</v>
      </c>
      <c r="L515">
        <v>0.37</v>
      </c>
      <c r="M515">
        <v>7.3</v>
      </c>
      <c r="N515">
        <v>0.54400000000000004</v>
      </c>
      <c r="O515">
        <v>0.55000000000000004</v>
      </c>
      <c r="P515">
        <v>4.0999999999999996</v>
      </c>
      <c r="Q515">
        <v>0.90200000000000002</v>
      </c>
      <c r="R515">
        <v>3.7</v>
      </c>
      <c r="S515">
        <v>4.5</v>
      </c>
      <c r="T515">
        <v>0.9</v>
      </c>
      <c r="U515">
        <v>0.2</v>
      </c>
      <c r="V515">
        <v>2.4</v>
      </c>
      <c r="W515">
        <v>2.1</v>
      </c>
      <c r="X515">
        <v>20.399999999999999</v>
      </c>
      <c r="Y515">
        <v>5</v>
      </c>
      <c r="Z515">
        <v>-0.9</v>
      </c>
      <c r="AA515">
        <v>15.5</v>
      </c>
      <c r="AB515">
        <v>8.7999999999999995E-2</v>
      </c>
    </row>
    <row r="516" spans="1:28" x14ac:dyDescent="0.35">
      <c r="A516" s="1" t="s">
        <v>2</v>
      </c>
      <c r="B516" s="1" t="s">
        <v>598</v>
      </c>
      <c r="C516" s="1" t="s">
        <v>23</v>
      </c>
      <c r="D516" s="1" t="s">
        <v>20</v>
      </c>
      <c r="E516" s="4">
        <v>1.7</v>
      </c>
      <c r="F516">
        <v>22</v>
      </c>
      <c r="G516">
        <v>82</v>
      </c>
      <c r="H516">
        <v>32.9</v>
      </c>
      <c r="I516">
        <v>17.5</v>
      </c>
      <c r="J516">
        <v>0.42299999999999999</v>
      </c>
      <c r="K516">
        <v>8.1</v>
      </c>
      <c r="L516">
        <v>0.35399999999999998</v>
      </c>
      <c r="M516">
        <v>9.5</v>
      </c>
      <c r="N516">
        <v>0.48199999999999998</v>
      </c>
      <c r="O516">
        <v>0.505</v>
      </c>
      <c r="P516">
        <v>4.0999999999999996</v>
      </c>
      <c r="Q516">
        <v>0.81299999999999994</v>
      </c>
      <c r="R516">
        <v>4.5999999999999996</v>
      </c>
      <c r="S516">
        <v>3.4</v>
      </c>
      <c r="T516">
        <v>0.9</v>
      </c>
      <c r="U516">
        <v>0.3</v>
      </c>
      <c r="V516">
        <v>2.5</v>
      </c>
      <c r="W516">
        <v>1.5</v>
      </c>
      <c r="X516">
        <v>21</v>
      </c>
      <c r="Y516">
        <v>3</v>
      </c>
      <c r="Z516">
        <v>0.5</v>
      </c>
      <c r="AA516">
        <v>15.1</v>
      </c>
      <c r="AB516">
        <v>9.1999999999999998E-2</v>
      </c>
    </row>
    <row r="517" spans="1:28" x14ac:dyDescent="0.35">
      <c r="A517" s="1" t="s">
        <v>26</v>
      </c>
      <c r="B517" s="1" t="s">
        <v>598</v>
      </c>
      <c r="C517" s="1" t="s">
        <v>23</v>
      </c>
      <c r="D517" s="1" t="s">
        <v>20</v>
      </c>
      <c r="E517" s="4">
        <v>0.9</v>
      </c>
      <c r="F517">
        <v>27</v>
      </c>
      <c r="G517">
        <v>40</v>
      </c>
      <c r="H517">
        <v>30.5</v>
      </c>
      <c r="I517">
        <v>13.3</v>
      </c>
      <c r="J517">
        <v>0.52700000000000002</v>
      </c>
      <c r="K517">
        <v>3.7</v>
      </c>
      <c r="L517">
        <v>0.39900000000000002</v>
      </c>
      <c r="M517">
        <v>9.6</v>
      </c>
      <c r="N517">
        <v>0.57699999999999996</v>
      </c>
      <c r="O517">
        <v>0.58299999999999996</v>
      </c>
      <c r="P517">
        <v>4.0999999999999996</v>
      </c>
      <c r="Q517">
        <v>0.84799999999999998</v>
      </c>
      <c r="R517">
        <v>8.1999999999999993</v>
      </c>
      <c r="S517">
        <v>2</v>
      </c>
      <c r="T517">
        <v>1</v>
      </c>
      <c r="U517">
        <v>1</v>
      </c>
      <c r="V517">
        <v>2.6</v>
      </c>
      <c r="W517">
        <v>2.9</v>
      </c>
      <c r="X517">
        <v>19</v>
      </c>
      <c r="Y517">
        <v>7</v>
      </c>
      <c r="Z517">
        <v>1</v>
      </c>
      <c r="AA517">
        <v>19</v>
      </c>
      <c r="AB517">
        <v>9.8000000000000004E-2</v>
      </c>
    </row>
    <row r="518" spans="1:28" x14ac:dyDescent="0.35">
      <c r="A518" s="1" t="s">
        <v>18</v>
      </c>
      <c r="B518" s="1" t="s">
        <v>598</v>
      </c>
      <c r="C518" s="1" t="s">
        <v>19</v>
      </c>
      <c r="D518" s="1" t="s">
        <v>20</v>
      </c>
      <c r="E518" s="4">
        <v>3.3</v>
      </c>
      <c r="F518">
        <v>21</v>
      </c>
      <c r="G518">
        <v>46</v>
      </c>
      <c r="H518">
        <v>33.200000000000003</v>
      </c>
      <c r="I518">
        <v>18.600000000000001</v>
      </c>
      <c r="J518">
        <v>0.47599999999999998</v>
      </c>
      <c r="K518">
        <v>8.8000000000000007</v>
      </c>
      <c r="L518">
        <v>0.35199999999999998</v>
      </c>
      <c r="M518">
        <v>9.9</v>
      </c>
      <c r="N518">
        <v>0.58599999999999997</v>
      </c>
      <c r="O518">
        <v>0.55900000000000005</v>
      </c>
      <c r="P518">
        <v>4.0999999999999996</v>
      </c>
      <c r="Q518">
        <v>0.83599999999999997</v>
      </c>
      <c r="R518">
        <v>11</v>
      </c>
      <c r="S518">
        <v>3.7</v>
      </c>
      <c r="T518">
        <v>1.1000000000000001</v>
      </c>
      <c r="U518">
        <v>3.8</v>
      </c>
      <c r="V518">
        <v>3.2</v>
      </c>
      <c r="W518">
        <v>2.2999999999999998</v>
      </c>
      <c r="X518">
        <v>24.3</v>
      </c>
      <c r="Y518">
        <v>1</v>
      </c>
      <c r="Z518">
        <v>6.5</v>
      </c>
      <c r="AA518">
        <v>24.2</v>
      </c>
      <c r="AB518">
        <v>0.11799999999999999</v>
      </c>
    </row>
    <row r="519" spans="1:28" x14ac:dyDescent="0.35">
      <c r="A519" s="1" t="s">
        <v>18</v>
      </c>
      <c r="B519" s="1" t="s">
        <v>598</v>
      </c>
      <c r="C519" s="1" t="s">
        <v>33</v>
      </c>
      <c r="D519" s="1" t="s">
        <v>20</v>
      </c>
      <c r="E519" s="4">
        <v>4.4000000000000004</v>
      </c>
      <c r="F519">
        <v>28</v>
      </c>
      <c r="G519">
        <v>70</v>
      </c>
      <c r="H519">
        <v>34.700000000000003</v>
      </c>
      <c r="I519">
        <v>12.8</v>
      </c>
      <c r="J519">
        <v>0.59</v>
      </c>
      <c r="K519">
        <v>2.2000000000000002</v>
      </c>
      <c r="L519">
        <v>0.41699999999999998</v>
      </c>
      <c r="M519">
        <v>10.5</v>
      </c>
      <c r="N519">
        <v>0.627</v>
      </c>
      <c r="O519">
        <v>0.627</v>
      </c>
      <c r="P519">
        <v>4.0999999999999996</v>
      </c>
      <c r="Q519">
        <v>0.754</v>
      </c>
      <c r="R519">
        <v>13.9</v>
      </c>
      <c r="S519">
        <v>6</v>
      </c>
      <c r="T519">
        <v>0.7</v>
      </c>
      <c r="U519">
        <v>0.4</v>
      </c>
      <c r="V519">
        <v>2.9</v>
      </c>
      <c r="W519">
        <v>3.3</v>
      </c>
      <c r="X519">
        <v>19.100000000000001</v>
      </c>
      <c r="Y519">
        <v>8</v>
      </c>
      <c r="Z519">
        <v>5.2</v>
      </c>
      <c r="AA519">
        <v>22.9</v>
      </c>
      <c r="AB519">
        <v>0.19900000000000001</v>
      </c>
    </row>
    <row r="520" spans="1:28" x14ac:dyDescent="0.35">
      <c r="A520" s="1" t="s">
        <v>18</v>
      </c>
      <c r="B520" s="1" t="s">
        <v>598</v>
      </c>
      <c r="C520" s="1" t="s">
        <v>23</v>
      </c>
      <c r="D520" s="1" t="s">
        <v>20</v>
      </c>
      <c r="E520" s="4">
        <v>1</v>
      </c>
      <c r="F520">
        <v>22</v>
      </c>
      <c r="G520">
        <v>32</v>
      </c>
      <c r="H520">
        <v>27.4</v>
      </c>
      <c r="I520">
        <v>10.7</v>
      </c>
      <c r="J520">
        <v>0.49</v>
      </c>
      <c r="K520">
        <v>3.6</v>
      </c>
      <c r="L520">
        <v>0.379</v>
      </c>
      <c r="M520">
        <v>7</v>
      </c>
      <c r="N520">
        <v>0.54700000000000004</v>
      </c>
      <c r="O520">
        <v>0.55400000000000005</v>
      </c>
      <c r="P520">
        <v>4.2</v>
      </c>
      <c r="Q520">
        <v>0.754</v>
      </c>
      <c r="R520">
        <v>8</v>
      </c>
      <c r="S520">
        <v>2</v>
      </c>
      <c r="T520">
        <v>0.7</v>
      </c>
      <c r="U520">
        <v>2.2000000000000002</v>
      </c>
      <c r="V520">
        <v>1.8</v>
      </c>
      <c r="W520">
        <v>2.2999999999999998</v>
      </c>
      <c r="X520">
        <v>15</v>
      </c>
      <c r="Y520">
        <v>2</v>
      </c>
      <c r="Z520">
        <v>2.4</v>
      </c>
      <c r="AA520">
        <v>19.2</v>
      </c>
      <c r="AB520">
        <v>0.17299999999999999</v>
      </c>
    </row>
    <row r="521" spans="1:28" x14ac:dyDescent="0.35">
      <c r="A521" s="1" t="s">
        <v>2</v>
      </c>
      <c r="B521" s="1" t="s">
        <v>598</v>
      </c>
      <c r="C521" s="1" t="s">
        <v>23</v>
      </c>
      <c r="D521" s="1" t="s">
        <v>20</v>
      </c>
      <c r="E521" s="4">
        <v>-0.6</v>
      </c>
      <c r="F521">
        <v>20</v>
      </c>
      <c r="G521">
        <v>81</v>
      </c>
      <c r="H521">
        <v>26.7</v>
      </c>
      <c r="I521">
        <v>12.2</v>
      </c>
      <c r="J521">
        <v>0.42799999999999999</v>
      </c>
      <c r="K521">
        <v>4.0999999999999996</v>
      </c>
      <c r="L521">
        <v>0.28499999999999998</v>
      </c>
      <c r="M521">
        <v>8.1</v>
      </c>
      <c r="N521">
        <v>0.501</v>
      </c>
      <c r="O521">
        <v>0.47599999999999998</v>
      </c>
      <c r="P521">
        <v>4.2</v>
      </c>
      <c r="Q521">
        <v>0.72399999999999998</v>
      </c>
      <c r="R521">
        <v>3.7</v>
      </c>
      <c r="S521">
        <v>4.0999999999999996</v>
      </c>
      <c r="T521">
        <v>0.9</v>
      </c>
      <c r="U521">
        <v>0.3</v>
      </c>
      <c r="V521">
        <v>2.2000000000000002</v>
      </c>
      <c r="W521">
        <v>2</v>
      </c>
      <c r="X521">
        <v>14.7</v>
      </c>
      <c r="Y521">
        <v>0</v>
      </c>
      <c r="Z521">
        <v>-3.2</v>
      </c>
      <c r="AA521">
        <v>13.7</v>
      </c>
      <c r="AB521">
        <v>2.5000000000000001E-2</v>
      </c>
    </row>
    <row r="522" spans="1:28" x14ac:dyDescent="0.35">
      <c r="A522" s="1" t="s">
        <v>2</v>
      </c>
      <c r="B522" s="1" t="s">
        <v>597</v>
      </c>
      <c r="C522" s="1" t="s">
        <v>23</v>
      </c>
      <c r="D522" s="1" t="s">
        <v>20</v>
      </c>
      <c r="E522" s="4">
        <v>3.5</v>
      </c>
      <c r="F522">
        <v>25</v>
      </c>
      <c r="G522">
        <v>77</v>
      </c>
      <c r="H522">
        <v>35.4</v>
      </c>
      <c r="I522">
        <v>17.899999999999999</v>
      </c>
      <c r="J522">
        <v>0.47199999999999998</v>
      </c>
      <c r="K522">
        <v>8.6999999999999993</v>
      </c>
      <c r="L522">
        <v>0.375</v>
      </c>
      <c r="M522">
        <v>9.1999999999999993</v>
      </c>
      <c r="N522">
        <v>0.56499999999999995</v>
      </c>
      <c r="O522">
        <v>0.56299999999999994</v>
      </c>
      <c r="P522">
        <v>4.2</v>
      </c>
      <c r="Q522">
        <v>0.878</v>
      </c>
      <c r="R522">
        <v>5.2</v>
      </c>
      <c r="S522">
        <v>5.5</v>
      </c>
      <c r="T522">
        <v>0.9</v>
      </c>
      <c r="U522">
        <v>0.2</v>
      </c>
      <c r="V522">
        <v>2.6</v>
      </c>
      <c r="W522">
        <v>1.1000000000000001</v>
      </c>
      <c r="X522">
        <v>23.9</v>
      </c>
      <c r="Y522">
        <v>5</v>
      </c>
      <c r="Z522">
        <v>3.1</v>
      </c>
      <c r="AA522">
        <v>19.7</v>
      </c>
      <c r="AB522">
        <v>0.13100000000000001</v>
      </c>
    </row>
    <row r="523" spans="1:28" x14ac:dyDescent="0.35">
      <c r="A523" s="1" t="s">
        <v>18</v>
      </c>
      <c r="B523" s="1" t="s">
        <v>597</v>
      </c>
      <c r="C523" s="1" t="s">
        <v>23</v>
      </c>
      <c r="D523" s="1" t="s">
        <v>20</v>
      </c>
      <c r="E523" s="4">
        <v>2.7</v>
      </c>
      <c r="F523">
        <v>27</v>
      </c>
      <c r="G523">
        <v>78</v>
      </c>
      <c r="H523">
        <v>34.299999999999997</v>
      </c>
      <c r="I523">
        <v>14.3</v>
      </c>
      <c r="J523">
        <v>0.48499999999999999</v>
      </c>
      <c r="K523">
        <v>2.8</v>
      </c>
      <c r="L523">
        <v>0.35699999999999998</v>
      </c>
      <c r="M523">
        <v>11.4</v>
      </c>
      <c r="N523">
        <v>0.51700000000000002</v>
      </c>
      <c r="O523">
        <v>0.52100000000000002</v>
      </c>
      <c r="P523">
        <v>4.2</v>
      </c>
      <c r="Q523">
        <v>0.76500000000000001</v>
      </c>
      <c r="R523">
        <v>9.6</v>
      </c>
      <c r="S523">
        <v>4.3</v>
      </c>
      <c r="T523">
        <v>1.3</v>
      </c>
      <c r="U523">
        <v>0.7</v>
      </c>
      <c r="V523">
        <v>2.1</v>
      </c>
      <c r="W523">
        <v>2.1</v>
      </c>
      <c r="X523">
        <v>18.100000000000001</v>
      </c>
      <c r="Y523">
        <v>7</v>
      </c>
      <c r="Z523">
        <v>2</v>
      </c>
      <c r="AA523">
        <v>18.899999999999999</v>
      </c>
      <c r="AB523">
        <v>0.13500000000000001</v>
      </c>
    </row>
    <row r="524" spans="1:28" x14ac:dyDescent="0.35">
      <c r="A524" s="1" t="s">
        <v>2</v>
      </c>
      <c r="B524" s="1" t="s">
        <v>598</v>
      </c>
      <c r="C524" s="1" t="s">
        <v>23</v>
      </c>
      <c r="D524" s="1" t="s">
        <v>20</v>
      </c>
      <c r="E524" s="4">
        <v>-0.3</v>
      </c>
      <c r="F524">
        <v>21</v>
      </c>
      <c r="G524">
        <v>67</v>
      </c>
      <c r="H524">
        <v>31.5</v>
      </c>
      <c r="I524">
        <v>13.7</v>
      </c>
      <c r="J524">
        <v>0.39100000000000001</v>
      </c>
      <c r="K524">
        <v>7.6</v>
      </c>
      <c r="L524">
        <v>0.34300000000000003</v>
      </c>
      <c r="M524">
        <v>6.1</v>
      </c>
      <c r="N524">
        <v>0.44900000000000001</v>
      </c>
      <c r="O524">
        <v>0.48499999999999999</v>
      </c>
      <c r="P524">
        <v>4.3</v>
      </c>
      <c r="Q524">
        <v>0.81799999999999995</v>
      </c>
      <c r="R524">
        <v>3.8</v>
      </c>
      <c r="S524">
        <v>5.6</v>
      </c>
      <c r="T524">
        <v>0.7</v>
      </c>
      <c r="U524">
        <v>0.1</v>
      </c>
      <c r="V524">
        <v>2.7</v>
      </c>
      <c r="W524">
        <v>1.7</v>
      </c>
      <c r="X524">
        <v>16.8</v>
      </c>
      <c r="Y524">
        <v>1</v>
      </c>
      <c r="Z524">
        <v>-2.7</v>
      </c>
      <c r="AA524">
        <v>12.9</v>
      </c>
      <c r="AB524">
        <v>2.4E-2</v>
      </c>
    </row>
    <row r="525" spans="1:28" x14ac:dyDescent="0.35">
      <c r="A525" s="1" t="s">
        <v>2</v>
      </c>
      <c r="B525" s="1" t="s">
        <v>598</v>
      </c>
      <c r="C525" s="1" t="s">
        <v>23</v>
      </c>
      <c r="D525" s="1" t="s">
        <v>20</v>
      </c>
      <c r="E525" s="4">
        <v>4.8</v>
      </c>
      <c r="F525">
        <v>36</v>
      </c>
      <c r="G525">
        <v>70</v>
      </c>
      <c r="H525">
        <v>32.200000000000003</v>
      </c>
      <c r="I525">
        <v>18</v>
      </c>
      <c r="J525">
        <v>0.44800000000000001</v>
      </c>
      <c r="K525">
        <v>11.2</v>
      </c>
      <c r="L525">
        <v>0.39700000000000002</v>
      </c>
      <c r="M525">
        <v>6.8</v>
      </c>
      <c r="N525">
        <v>0.53400000000000003</v>
      </c>
      <c r="O525">
        <v>0.57199999999999995</v>
      </c>
      <c r="P525">
        <v>4.3</v>
      </c>
      <c r="Q525">
        <v>0.93300000000000005</v>
      </c>
      <c r="R525">
        <v>4.4000000000000004</v>
      </c>
      <c r="S525">
        <v>6</v>
      </c>
      <c r="T525">
        <v>1.1000000000000001</v>
      </c>
      <c r="U525">
        <v>0.4</v>
      </c>
      <c r="V525">
        <v>2.9</v>
      </c>
      <c r="W525">
        <v>1.4</v>
      </c>
      <c r="X525">
        <v>24.5</v>
      </c>
      <c r="Y525">
        <v>15</v>
      </c>
      <c r="Z525">
        <v>6.3</v>
      </c>
      <c r="AA525">
        <v>21.5</v>
      </c>
      <c r="AB525">
        <v>0.16800000000000001</v>
      </c>
    </row>
    <row r="526" spans="1:28" x14ac:dyDescent="0.35">
      <c r="A526" s="1" t="s">
        <v>26</v>
      </c>
      <c r="B526" s="1" t="s">
        <v>598</v>
      </c>
      <c r="C526" s="1" t="s">
        <v>23</v>
      </c>
      <c r="D526" s="1" t="s">
        <v>20</v>
      </c>
      <c r="E526" s="4">
        <v>1.3</v>
      </c>
      <c r="F526">
        <v>24</v>
      </c>
      <c r="G526">
        <v>53</v>
      </c>
      <c r="H526">
        <v>35</v>
      </c>
      <c r="I526">
        <v>15.8</v>
      </c>
      <c r="J526">
        <v>0.45400000000000001</v>
      </c>
      <c r="K526">
        <v>8.3000000000000007</v>
      </c>
      <c r="L526">
        <v>0.36099999999999999</v>
      </c>
      <c r="M526">
        <v>7.6</v>
      </c>
      <c r="N526">
        <v>0.55600000000000005</v>
      </c>
      <c r="O526">
        <v>0.54800000000000004</v>
      </c>
      <c r="P526">
        <v>4.3</v>
      </c>
      <c r="Q526">
        <v>0.88700000000000001</v>
      </c>
      <c r="R526">
        <v>5.0999999999999996</v>
      </c>
      <c r="S526">
        <v>3.5</v>
      </c>
      <c r="T526">
        <v>1.1000000000000001</v>
      </c>
      <c r="U526">
        <v>0.7</v>
      </c>
      <c r="V526">
        <v>1.9</v>
      </c>
      <c r="W526">
        <v>2.1</v>
      </c>
      <c r="X526">
        <v>21.2</v>
      </c>
      <c r="Y526">
        <v>3</v>
      </c>
      <c r="Z526">
        <v>0.8</v>
      </c>
      <c r="AA526">
        <v>17.3</v>
      </c>
      <c r="AB526">
        <v>9.0999999999999998E-2</v>
      </c>
    </row>
    <row r="527" spans="1:28" x14ac:dyDescent="0.35">
      <c r="A527" s="1" t="s">
        <v>26</v>
      </c>
      <c r="B527" s="1" t="s">
        <v>35</v>
      </c>
      <c r="C527" s="1" t="s">
        <v>19</v>
      </c>
      <c r="D527" s="1" t="s">
        <v>20</v>
      </c>
      <c r="E527" s="4">
        <v>1.4</v>
      </c>
      <c r="F527">
        <v>29</v>
      </c>
      <c r="G527">
        <v>60</v>
      </c>
      <c r="H527">
        <v>30.7</v>
      </c>
      <c r="I527">
        <v>14</v>
      </c>
      <c r="J527">
        <v>0.44800000000000001</v>
      </c>
      <c r="K527">
        <v>5.8</v>
      </c>
      <c r="L527">
        <v>0.374</v>
      </c>
      <c r="M527">
        <v>8.1999999999999993</v>
      </c>
      <c r="N527">
        <v>0.501</v>
      </c>
      <c r="O527">
        <v>0.52600000000000002</v>
      </c>
      <c r="P527">
        <v>4.3</v>
      </c>
      <c r="Q527">
        <v>0.76300000000000001</v>
      </c>
      <c r="R527">
        <v>4.5</v>
      </c>
      <c r="S527">
        <v>2.6</v>
      </c>
      <c r="T527">
        <v>1</v>
      </c>
      <c r="U527">
        <v>0.8</v>
      </c>
      <c r="V527">
        <v>1.7</v>
      </c>
      <c r="W527">
        <v>1.7</v>
      </c>
      <c r="X527">
        <v>18</v>
      </c>
      <c r="Y527">
        <v>10</v>
      </c>
      <c r="Z527">
        <v>0.9</v>
      </c>
      <c r="AA527">
        <v>16.399999999999999</v>
      </c>
      <c r="AB527">
        <v>0.104</v>
      </c>
    </row>
    <row r="528" spans="1:28" x14ac:dyDescent="0.35">
      <c r="A528" s="1" t="s">
        <v>26</v>
      </c>
      <c r="B528" s="1" t="s">
        <v>597</v>
      </c>
      <c r="C528" s="1" t="s">
        <v>23</v>
      </c>
      <c r="D528" s="1" t="s">
        <v>20</v>
      </c>
      <c r="E528" s="4">
        <v>3.6</v>
      </c>
      <c r="F528">
        <v>23</v>
      </c>
      <c r="G528">
        <v>71</v>
      </c>
      <c r="H528">
        <v>30.5</v>
      </c>
      <c r="I528">
        <v>12.8</v>
      </c>
      <c r="J528">
        <v>0.55700000000000005</v>
      </c>
      <c r="K528">
        <v>3.2</v>
      </c>
      <c r="L528">
        <v>0.37</v>
      </c>
      <c r="M528">
        <v>9.5</v>
      </c>
      <c r="N528">
        <v>0.621</v>
      </c>
      <c r="O528">
        <v>0.60399999999999998</v>
      </c>
      <c r="P528">
        <v>4.3</v>
      </c>
      <c r="Q528">
        <v>0.72499999999999998</v>
      </c>
      <c r="R528">
        <v>9.3000000000000007</v>
      </c>
      <c r="S528">
        <v>3.2</v>
      </c>
      <c r="T528">
        <v>0.9</v>
      </c>
      <c r="U528">
        <v>1.6</v>
      </c>
      <c r="V528">
        <v>2</v>
      </c>
      <c r="W528">
        <v>2</v>
      </c>
      <c r="X528">
        <v>18.5</v>
      </c>
      <c r="Y528">
        <v>3</v>
      </c>
      <c r="Z528">
        <v>4.5999999999999996</v>
      </c>
      <c r="AA528">
        <v>22.3</v>
      </c>
      <c r="AB528">
        <v>0.2</v>
      </c>
    </row>
    <row r="529" spans="1:28" x14ac:dyDescent="0.35">
      <c r="A529" s="1" t="s">
        <v>2</v>
      </c>
      <c r="B529" s="1" t="s">
        <v>598</v>
      </c>
      <c r="C529" s="1" t="s">
        <v>33</v>
      </c>
      <c r="D529" s="1" t="s">
        <v>20</v>
      </c>
      <c r="E529" s="4">
        <v>2.5</v>
      </c>
      <c r="F529">
        <v>32</v>
      </c>
      <c r="G529">
        <v>50</v>
      </c>
      <c r="H529">
        <v>36.1</v>
      </c>
      <c r="I529">
        <v>18.899999999999999</v>
      </c>
      <c r="J529">
        <v>0.47299999999999998</v>
      </c>
      <c r="K529">
        <v>7.2</v>
      </c>
      <c r="L529">
        <v>0.40100000000000002</v>
      </c>
      <c r="M529">
        <v>11.7</v>
      </c>
      <c r="N529">
        <v>0.51700000000000002</v>
      </c>
      <c r="O529">
        <v>0.54900000000000004</v>
      </c>
      <c r="P529">
        <v>4.3</v>
      </c>
      <c r="Q529">
        <v>0.91600000000000004</v>
      </c>
      <c r="R529">
        <v>4.8</v>
      </c>
      <c r="S529">
        <v>4.5999999999999996</v>
      </c>
      <c r="T529">
        <v>1.3</v>
      </c>
      <c r="U529">
        <v>0.5</v>
      </c>
      <c r="V529">
        <v>2.2000000000000002</v>
      </c>
      <c r="W529">
        <v>2</v>
      </c>
      <c r="X529">
        <v>24.7</v>
      </c>
      <c r="Y529">
        <v>13</v>
      </c>
      <c r="Z529">
        <v>3.4</v>
      </c>
      <c r="AA529">
        <v>19.899999999999999</v>
      </c>
      <c r="AB529">
        <v>0.124</v>
      </c>
    </row>
    <row r="530" spans="1:28" x14ac:dyDescent="0.35">
      <c r="A530" s="1" t="s">
        <v>2</v>
      </c>
      <c r="B530" s="1" t="s">
        <v>598</v>
      </c>
      <c r="C530" s="1" t="s">
        <v>23</v>
      </c>
      <c r="D530" s="1" t="s">
        <v>20</v>
      </c>
      <c r="E530" s="4">
        <v>3.4</v>
      </c>
      <c r="F530">
        <v>23</v>
      </c>
      <c r="G530">
        <v>69</v>
      </c>
      <c r="H530">
        <v>32.4</v>
      </c>
      <c r="I530">
        <v>16.899999999999999</v>
      </c>
      <c r="J530">
        <v>0.48399999999999999</v>
      </c>
      <c r="K530">
        <v>4.9000000000000004</v>
      </c>
      <c r="L530">
        <v>0.36499999999999999</v>
      </c>
      <c r="M530">
        <v>12</v>
      </c>
      <c r="N530">
        <v>0.53300000000000003</v>
      </c>
      <c r="O530">
        <v>0.53700000000000003</v>
      </c>
      <c r="P530">
        <v>4.3</v>
      </c>
      <c r="Q530">
        <v>0.78900000000000003</v>
      </c>
      <c r="R530">
        <v>5.3</v>
      </c>
      <c r="S530">
        <v>5.0999999999999996</v>
      </c>
      <c r="T530">
        <v>1.6</v>
      </c>
      <c r="U530">
        <v>0.7</v>
      </c>
      <c r="V530">
        <v>2.2000000000000002</v>
      </c>
      <c r="W530">
        <v>2.2999999999999998</v>
      </c>
      <c r="X530">
        <v>21.6</v>
      </c>
      <c r="Y530">
        <v>2</v>
      </c>
      <c r="Z530">
        <v>4</v>
      </c>
      <c r="AA530">
        <v>20.3</v>
      </c>
      <c r="AB530">
        <v>0.16800000000000001</v>
      </c>
    </row>
    <row r="531" spans="1:28" x14ac:dyDescent="0.35">
      <c r="A531" s="1" t="s">
        <v>2</v>
      </c>
      <c r="B531" s="1" t="s">
        <v>598</v>
      </c>
      <c r="C531" s="1" t="s">
        <v>23</v>
      </c>
      <c r="D531" s="1" t="s">
        <v>50</v>
      </c>
      <c r="E531" s="4">
        <v>1.8</v>
      </c>
      <c r="F531">
        <v>31</v>
      </c>
      <c r="G531">
        <v>60</v>
      </c>
      <c r="H531">
        <v>32.6</v>
      </c>
      <c r="I531">
        <v>15.8</v>
      </c>
      <c r="J531">
        <v>0.48399999999999999</v>
      </c>
      <c r="K531">
        <v>7.1</v>
      </c>
      <c r="L531">
        <v>0.41799999999999998</v>
      </c>
      <c r="M531">
        <v>8.6</v>
      </c>
      <c r="N531">
        <v>0.53800000000000003</v>
      </c>
      <c r="O531">
        <v>0.57799999999999996</v>
      </c>
      <c r="P531">
        <v>4.4000000000000004</v>
      </c>
      <c r="Q531">
        <v>0.80400000000000005</v>
      </c>
      <c r="R531">
        <v>3.2</v>
      </c>
      <c r="S531">
        <v>2.1</v>
      </c>
      <c r="T531">
        <v>1.2</v>
      </c>
      <c r="U531">
        <v>0.2</v>
      </c>
      <c r="V531">
        <v>1.8</v>
      </c>
      <c r="W531">
        <v>1.9</v>
      </c>
      <c r="X531">
        <v>21.8</v>
      </c>
      <c r="Y531">
        <v>9</v>
      </c>
      <c r="Z531">
        <v>1.5</v>
      </c>
      <c r="AA531">
        <v>17.5</v>
      </c>
      <c r="AB531">
        <v>0.129</v>
      </c>
    </row>
    <row r="532" spans="1:28" x14ac:dyDescent="0.35">
      <c r="A532" s="1" t="s">
        <v>26</v>
      </c>
      <c r="B532" s="1" t="s">
        <v>597</v>
      </c>
      <c r="C532" s="1" t="s">
        <v>19</v>
      </c>
      <c r="D532" s="1" t="s">
        <v>20</v>
      </c>
      <c r="E532" s="4">
        <v>-0.5</v>
      </c>
      <c r="F532">
        <v>22</v>
      </c>
      <c r="G532">
        <v>72</v>
      </c>
      <c r="H532">
        <v>29.8</v>
      </c>
      <c r="I532">
        <v>11.8</v>
      </c>
      <c r="J532">
        <v>0.45800000000000002</v>
      </c>
      <c r="K532">
        <v>4</v>
      </c>
      <c r="L532">
        <v>0.34</v>
      </c>
      <c r="M532">
        <v>7.8</v>
      </c>
      <c r="N532">
        <v>0.51900000000000002</v>
      </c>
      <c r="O532">
        <v>0.51600000000000001</v>
      </c>
      <c r="P532">
        <v>4.5999999999999996</v>
      </c>
      <c r="Q532">
        <v>0.83099999999999996</v>
      </c>
      <c r="R532">
        <v>5.3</v>
      </c>
      <c r="S532">
        <v>1.9</v>
      </c>
      <c r="T532">
        <v>0.7</v>
      </c>
      <c r="U532">
        <v>0.3</v>
      </c>
      <c r="V532">
        <v>1.9</v>
      </c>
      <c r="W532">
        <v>2.2999999999999998</v>
      </c>
      <c r="X532">
        <v>16.100000000000001</v>
      </c>
      <c r="Y532">
        <v>2</v>
      </c>
      <c r="Z532">
        <v>-2.9</v>
      </c>
      <c r="AA532">
        <v>13.6</v>
      </c>
      <c r="AB532">
        <v>6.8000000000000005E-2</v>
      </c>
    </row>
    <row r="533" spans="1:28" x14ac:dyDescent="0.35">
      <c r="A533" s="1" t="s">
        <v>26</v>
      </c>
      <c r="B533" s="1" t="s">
        <v>597</v>
      </c>
      <c r="C533" s="1" t="s">
        <v>23</v>
      </c>
      <c r="D533" s="1" t="s">
        <v>20</v>
      </c>
      <c r="E533" s="4">
        <v>2.2999999999999998</v>
      </c>
      <c r="F533">
        <v>23</v>
      </c>
      <c r="G533">
        <v>65</v>
      </c>
      <c r="H533">
        <v>32.799999999999997</v>
      </c>
      <c r="I533">
        <v>16.399999999999999</v>
      </c>
      <c r="J533">
        <v>0.44600000000000001</v>
      </c>
      <c r="K533">
        <v>4.3</v>
      </c>
      <c r="L533">
        <v>0.27100000000000002</v>
      </c>
      <c r="M533">
        <v>12</v>
      </c>
      <c r="N533">
        <v>0.50800000000000001</v>
      </c>
      <c r="O533">
        <v>0.48199999999999998</v>
      </c>
      <c r="P533">
        <v>4.5999999999999996</v>
      </c>
      <c r="Q533">
        <v>0.755</v>
      </c>
      <c r="R533">
        <v>7.7</v>
      </c>
      <c r="S533">
        <v>5.8</v>
      </c>
      <c r="T533">
        <v>1.4</v>
      </c>
      <c r="U533">
        <v>1</v>
      </c>
      <c r="V533">
        <v>2.8</v>
      </c>
      <c r="W533">
        <v>1.7</v>
      </c>
      <c r="X533">
        <v>19.3</v>
      </c>
      <c r="Y533">
        <v>3</v>
      </c>
      <c r="Z533">
        <v>2.4</v>
      </c>
      <c r="AA533">
        <v>17.8</v>
      </c>
      <c r="AB533">
        <v>7.8E-2</v>
      </c>
    </row>
    <row r="534" spans="1:28" x14ac:dyDescent="0.35">
      <c r="A534" s="1" t="s">
        <v>18</v>
      </c>
      <c r="B534" s="1" t="s">
        <v>597</v>
      </c>
      <c r="C534" s="1" t="s">
        <v>19</v>
      </c>
      <c r="D534" s="1" t="s">
        <v>20</v>
      </c>
      <c r="E534" s="4">
        <v>2.1</v>
      </c>
      <c r="F534">
        <v>29</v>
      </c>
      <c r="G534">
        <v>42</v>
      </c>
      <c r="H534">
        <v>28.8</v>
      </c>
      <c r="I534">
        <v>13.7</v>
      </c>
      <c r="J534">
        <v>0.48299999999999998</v>
      </c>
      <c r="K534">
        <v>6</v>
      </c>
      <c r="L534">
        <v>0.41199999999999998</v>
      </c>
      <c r="M534">
        <v>7.7</v>
      </c>
      <c r="N534">
        <v>0.53700000000000003</v>
      </c>
      <c r="O534">
        <v>0.57199999999999995</v>
      </c>
      <c r="P534">
        <v>4.7</v>
      </c>
      <c r="Q534">
        <v>0.80900000000000005</v>
      </c>
      <c r="R534">
        <v>6.8</v>
      </c>
      <c r="S534">
        <v>2.1</v>
      </c>
      <c r="T534">
        <v>0.7</v>
      </c>
      <c r="U534">
        <v>1.5</v>
      </c>
      <c r="V534">
        <v>1.3</v>
      </c>
      <c r="W534">
        <v>2.8</v>
      </c>
      <c r="X534">
        <v>19.5</v>
      </c>
      <c r="Y534">
        <v>9</v>
      </c>
      <c r="Z534">
        <v>4.7</v>
      </c>
      <c r="AA534">
        <v>22.3</v>
      </c>
      <c r="AB534">
        <v>0.21199999999999999</v>
      </c>
    </row>
    <row r="535" spans="1:28" x14ac:dyDescent="0.35">
      <c r="A535" s="1" t="s">
        <v>26</v>
      </c>
      <c r="B535" s="1" t="s">
        <v>598</v>
      </c>
      <c r="C535" s="1" t="s">
        <v>23</v>
      </c>
      <c r="D535" s="1" t="s">
        <v>20</v>
      </c>
      <c r="E535" s="4">
        <v>4.7</v>
      </c>
      <c r="F535">
        <v>40</v>
      </c>
      <c r="G535">
        <v>70</v>
      </c>
      <c r="H535">
        <v>34.9</v>
      </c>
      <c r="I535">
        <v>18.100000000000001</v>
      </c>
      <c r="J535">
        <v>0.51300000000000001</v>
      </c>
      <c r="K535">
        <v>5.7</v>
      </c>
      <c r="L535">
        <v>0.376</v>
      </c>
      <c r="M535">
        <v>12.5</v>
      </c>
      <c r="N535">
        <v>0.57399999999999995</v>
      </c>
      <c r="O535">
        <v>0.57099999999999995</v>
      </c>
      <c r="P535">
        <v>4.7</v>
      </c>
      <c r="Q535">
        <v>0.78200000000000003</v>
      </c>
      <c r="R535">
        <v>7.8</v>
      </c>
      <c r="S535">
        <v>8.1999999999999993</v>
      </c>
      <c r="T535">
        <v>1</v>
      </c>
      <c r="U535">
        <v>0.6</v>
      </c>
      <c r="V535">
        <v>3.7</v>
      </c>
      <c r="W535">
        <v>1.4</v>
      </c>
      <c r="X535">
        <v>24.4</v>
      </c>
      <c r="Y535">
        <v>21</v>
      </c>
      <c r="Z535">
        <v>5.6</v>
      </c>
      <c r="AA535">
        <v>22.7</v>
      </c>
      <c r="AB535">
        <v>0.152</v>
      </c>
    </row>
    <row r="536" spans="1:28" x14ac:dyDescent="0.35">
      <c r="A536" s="1" t="s">
        <v>26</v>
      </c>
      <c r="B536" s="1" t="s">
        <v>598</v>
      </c>
      <c r="C536" s="1" t="s">
        <v>23</v>
      </c>
      <c r="D536" s="1" t="s">
        <v>20</v>
      </c>
      <c r="E536" s="4">
        <v>1.8</v>
      </c>
      <c r="F536">
        <v>30</v>
      </c>
      <c r="G536">
        <v>69</v>
      </c>
      <c r="H536">
        <v>32.299999999999997</v>
      </c>
      <c r="I536">
        <v>13.6</v>
      </c>
      <c r="J536">
        <v>0.48499999999999999</v>
      </c>
      <c r="K536">
        <v>4.5999999999999996</v>
      </c>
      <c r="L536">
        <v>0.34399999999999997</v>
      </c>
      <c r="M536">
        <v>9.1</v>
      </c>
      <c r="N536">
        <v>0.55500000000000005</v>
      </c>
      <c r="O536">
        <v>0.54200000000000004</v>
      </c>
      <c r="P536">
        <v>4.9000000000000004</v>
      </c>
      <c r="Q536">
        <v>0.80600000000000005</v>
      </c>
      <c r="R536">
        <v>7.1</v>
      </c>
      <c r="S536">
        <v>4.7</v>
      </c>
      <c r="T536">
        <v>0.7</v>
      </c>
      <c r="U536">
        <v>0.2</v>
      </c>
      <c r="V536">
        <v>2.8</v>
      </c>
      <c r="W536">
        <v>2.5</v>
      </c>
      <c r="X536">
        <v>18.7</v>
      </c>
      <c r="Y536">
        <v>10</v>
      </c>
      <c r="Z536">
        <v>1.3</v>
      </c>
      <c r="AA536">
        <v>17.5</v>
      </c>
      <c r="AB536">
        <v>0.13400000000000001</v>
      </c>
    </row>
    <row r="537" spans="1:28" x14ac:dyDescent="0.35">
      <c r="A537" s="1" t="s">
        <v>2</v>
      </c>
      <c r="B537" s="1" t="s">
        <v>597</v>
      </c>
      <c r="C537" s="1" t="s">
        <v>23</v>
      </c>
      <c r="D537" s="1" t="s">
        <v>20</v>
      </c>
      <c r="E537" s="4">
        <v>2</v>
      </c>
      <c r="F537">
        <v>23</v>
      </c>
      <c r="G537">
        <v>47</v>
      </c>
      <c r="H537">
        <v>32</v>
      </c>
      <c r="I537">
        <v>21.3</v>
      </c>
      <c r="J537">
        <v>0.40500000000000003</v>
      </c>
      <c r="K537">
        <v>11.2</v>
      </c>
      <c r="L537">
        <v>0.33900000000000002</v>
      </c>
      <c r="M537">
        <v>10.1</v>
      </c>
      <c r="N537">
        <v>0.47799999999999998</v>
      </c>
      <c r="O537">
        <v>0.49399999999999999</v>
      </c>
      <c r="P537">
        <v>4.9000000000000004</v>
      </c>
      <c r="Q537">
        <v>0.84299999999999997</v>
      </c>
      <c r="R537">
        <v>4.9000000000000004</v>
      </c>
      <c r="S537">
        <v>7.4</v>
      </c>
      <c r="T537">
        <v>1.1000000000000001</v>
      </c>
      <c r="U537">
        <v>0.3</v>
      </c>
      <c r="V537">
        <v>3.6</v>
      </c>
      <c r="W537">
        <v>3.3</v>
      </c>
      <c r="X537">
        <v>25.2</v>
      </c>
      <c r="Y537">
        <v>4</v>
      </c>
      <c r="Z537">
        <v>3.2</v>
      </c>
      <c r="AA537">
        <v>19.100000000000001</v>
      </c>
      <c r="AB537">
        <v>6.5000000000000002E-2</v>
      </c>
    </row>
    <row r="538" spans="1:28" x14ac:dyDescent="0.35">
      <c r="A538" s="1" t="s">
        <v>2</v>
      </c>
      <c r="B538" s="1" t="s">
        <v>598</v>
      </c>
      <c r="C538" s="1" t="s">
        <v>23</v>
      </c>
      <c r="D538" s="1" t="s">
        <v>28</v>
      </c>
      <c r="E538" s="4">
        <v>2.6</v>
      </c>
      <c r="F538">
        <v>26</v>
      </c>
      <c r="G538">
        <v>73</v>
      </c>
      <c r="H538">
        <v>34.9</v>
      </c>
      <c r="I538">
        <v>14.2</v>
      </c>
      <c r="J538">
        <v>0.46</v>
      </c>
      <c r="K538">
        <v>7.3</v>
      </c>
      <c r="L538">
        <v>0.377</v>
      </c>
      <c r="M538">
        <v>6.9</v>
      </c>
      <c r="N538">
        <v>0.54700000000000004</v>
      </c>
      <c r="O538">
        <v>0.55600000000000005</v>
      </c>
      <c r="P538">
        <v>5</v>
      </c>
      <c r="Q538">
        <v>0.877</v>
      </c>
      <c r="R538">
        <v>4.5</v>
      </c>
      <c r="S538">
        <v>5.8</v>
      </c>
      <c r="T538">
        <v>1.1000000000000001</v>
      </c>
      <c r="U538">
        <v>0.3</v>
      </c>
      <c r="V538">
        <v>2.4</v>
      </c>
      <c r="W538">
        <v>2.1</v>
      </c>
      <c r="X538">
        <v>20.2</v>
      </c>
      <c r="Y538">
        <v>3</v>
      </c>
      <c r="Z538">
        <v>1.9</v>
      </c>
      <c r="AA538">
        <v>18.100000000000001</v>
      </c>
      <c r="AB538">
        <v>0.14399999999999999</v>
      </c>
    </row>
    <row r="539" spans="1:28" x14ac:dyDescent="0.35">
      <c r="A539" s="1" t="s">
        <v>26</v>
      </c>
      <c r="B539" s="1" t="s">
        <v>598</v>
      </c>
      <c r="C539" s="1" t="s">
        <v>19</v>
      </c>
      <c r="D539" s="1" t="s">
        <v>20</v>
      </c>
      <c r="E539" s="4">
        <v>0.4</v>
      </c>
      <c r="F539">
        <v>22</v>
      </c>
      <c r="G539">
        <v>47</v>
      </c>
      <c r="H539">
        <v>24.3</v>
      </c>
      <c r="I539">
        <v>12.1</v>
      </c>
      <c r="J539">
        <v>0.45400000000000001</v>
      </c>
      <c r="K539">
        <v>3.2</v>
      </c>
      <c r="L539">
        <v>0.30499999999999999</v>
      </c>
      <c r="M539">
        <v>8.9</v>
      </c>
      <c r="N539">
        <v>0.50800000000000001</v>
      </c>
      <c r="O539">
        <v>0.495</v>
      </c>
      <c r="P539">
        <v>5</v>
      </c>
      <c r="Q539">
        <v>0.66800000000000004</v>
      </c>
      <c r="R539">
        <v>4.5999999999999996</v>
      </c>
      <c r="S539">
        <v>2.2000000000000002</v>
      </c>
      <c r="T539">
        <v>0.8</v>
      </c>
      <c r="U539">
        <v>0.4</v>
      </c>
      <c r="V539">
        <v>1.5</v>
      </c>
      <c r="W539">
        <v>1.9</v>
      </c>
      <c r="X539">
        <v>15.3</v>
      </c>
      <c r="Y539">
        <v>3</v>
      </c>
      <c r="Z539">
        <v>-0.6</v>
      </c>
      <c r="AA539">
        <v>15.7</v>
      </c>
      <c r="AB539">
        <v>0.08</v>
      </c>
    </row>
    <row r="540" spans="1:28" x14ac:dyDescent="0.35">
      <c r="A540" s="1" t="s">
        <v>2</v>
      </c>
      <c r="B540" s="1" t="s">
        <v>597</v>
      </c>
      <c r="C540" s="1" t="s">
        <v>23</v>
      </c>
      <c r="D540" s="1" t="s">
        <v>20</v>
      </c>
      <c r="E540" s="4">
        <v>3.2</v>
      </c>
      <c r="F540">
        <v>28</v>
      </c>
      <c r="G540">
        <v>71</v>
      </c>
      <c r="H540">
        <v>31.4</v>
      </c>
      <c r="I540">
        <v>18.600000000000001</v>
      </c>
      <c r="J540">
        <v>0.443</v>
      </c>
      <c r="K540">
        <v>8.9</v>
      </c>
      <c r="L540">
        <v>0.36799999999999999</v>
      </c>
      <c r="M540">
        <v>9.6999999999999993</v>
      </c>
      <c r="N540">
        <v>0.51200000000000001</v>
      </c>
      <c r="O540">
        <v>0.53100000000000003</v>
      </c>
      <c r="P540">
        <v>5.0999999999999996</v>
      </c>
      <c r="Q540">
        <v>0.82299999999999995</v>
      </c>
      <c r="R540">
        <v>4.5</v>
      </c>
      <c r="S540">
        <v>5</v>
      </c>
      <c r="T540">
        <v>1.3</v>
      </c>
      <c r="U540">
        <v>0.2</v>
      </c>
      <c r="V540">
        <v>2.1</v>
      </c>
      <c r="W540">
        <v>2</v>
      </c>
      <c r="X540">
        <v>24</v>
      </c>
      <c r="Y540">
        <v>7</v>
      </c>
      <c r="Z540">
        <v>3.7</v>
      </c>
      <c r="AA540">
        <v>20.9</v>
      </c>
      <c r="AB540">
        <v>0.16300000000000001</v>
      </c>
    </row>
    <row r="541" spans="1:28" x14ac:dyDescent="0.35">
      <c r="A541" s="1" t="s">
        <v>26</v>
      </c>
      <c r="B541" s="1" t="s">
        <v>597</v>
      </c>
      <c r="C541" s="1" t="s">
        <v>23</v>
      </c>
      <c r="D541" s="1" t="s">
        <v>20</v>
      </c>
      <c r="E541" s="4">
        <v>1.1000000000000001</v>
      </c>
      <c r="F541">
        <v>28</v>
      </c>
      <c r="G541">
        <v>63</v>
      </c>
      <c r="H541">
        <v>34.299999999999997</v>
      </c>
      <c r="I541">
        <v>17.7</v>
      </c>
      <c r="J541">
        <v>0.46300000000000002</v>
      </c>
      <c r="K541">
        <v>5.7</v>
      </c>
      <c r="L541">
        <v>0.32400000000000001</v>
      </c>
      <c r="M541">
        <v>12.1</v>
      </c>
      <c r="N541">
        <v>0.52900000000000003</v>
      </c>
      <c r="O541">
        <v>0.51500000000000001</v>
      </c>
      <c r="P541">
        <v>5.0999999999999996</v>
      </c>
      <c r="Q541">
        <v>0.76400000000000001</v>
      </c>
      <c r="R541">
        <v>5.8</v>
      </c>
      <c r="S541">
        <v>4.5</v>
      </c>
      <c r="T541">
        <v>1.2</v>
      </c>
      <c r="U541">
        <v>0.3</v>
      </c>
      <c r="V541">
        <v>2.6</v>
      </c>
      <c r="W541">
        <v>2.4</v>
      </c>
      <c r="X541">
        <v>22.2</v>
      </c>
      <c r="Y541">
        <v>8</v>
      </c>
      <c r="Z541">
        <v>0</v>
      </c>
      <c r="AA541">
        <v>17.8</v>
      </c>
      <c r="AB541">
        <v>0.115</v>
      </c>
    </row>
    <row r="542" spans="1:28" x14ac:dyDescent="0.35">
      <c r="A542" s="1" t="s">
        <v>2</v>
      </c>
      <c r="B542" s="1" t="s">
        <v>35</v>
      </c>
      <c r="C542" s="1" t="s">
        <v>23</v>
      </c>
      <c r="D542" s="1" t="s">
        <v>20</v>
      </c>
      <c r="E542" s="4">
        <v>1.3</v>
      </c>
      <c r="F542">
        <v>27</v>
      </c>
      <c r="G542">
        <v>62</v>
      </c>
      <c r="H542">
        <v>36.1</v>
      </c>
      <c r="I542">
        <v>18.8</v>
      </c>
      <c r="J542">
        <v>0.46300000000000002</v>
      </c>
      <c r="K542">
        <v>6.1</v>
      </c>
      <c r="L542">
        <v>0.31</v>
      </c>
      <c r="M542">
        <v>12.6</v>
      </c>
      <c r="N542">
        <v>0.53800000000000003</v>
      </c>
      <c r="O542">
        <v>0.51400000000000001</v>
      </c>
      <c r="P542">
        <v>5.0999999999999996</v>
      </c>
      <c r="Q542">
        <v>0.82699999999999996</v>
      </c>
      <c r="R542">
        <v>4.8</v>
      </c>
      <c r="S542">
        <v>6.3</v>
      </c>
      <c r="T542">
        <v>1.5</v>
      </c>
      <c r="U542">
        <v>0.4</v>
      </c>
      <c r="V542">
        <v>2.8</v>
      </c>
      <c r="W542">
        <v>2.6</v>
      </c>
      <c r="X542">
        <v>23.5</v>
      </c>
      <c r="Y542">
        <v>7</v>
      </c>
      <c r="Z542">
        <v>0.4</v>
      </c>
      <c r="AA542">
        <v>18.3</v>
      </c>
      <c r="AB542">
        <v>9.2999999999999999E-2</v>
      </c>
    </row>
    <row r="543" spans="1:28" x14ac:dyDescent="0.35">
      <c r="A543" s="1" t="s">
        <v>26</v>
      </c>
      <c r="B543" s="1" t="s">
        <v>598</v>
      </c>
      <c r="C543" s="1" t="s">
        <v>19</v>
      </c>
      <c r="D543" s="1" t="s">
        <v>20</v>
      </c>
      <c r="E543" s="4">
        <v>2.2000000000000002</v>
      </c>
      <c r="F543">
        <v>24</v>
      </c>
      <c r="G543">
        <v>72</v>
      </c>
      <c r="H543">
        <v>30</v>
      </c>
      <c r="I543">
        <v>11.7</v>
      </c>
      <c r="J543">
        <v>0.47599999999999998</v>
      </c>
      <c r="K543">
        <v>4.8</v>
      </c>
      <c r="L543">
        <v>0.36499999999999999</v>
      </c>
      <c r="M543">
        <v>7</v>
      </c>
      <c r="N543">
        <v>0.55200000000000005</v>
      </c>
      <c r="O543">
        <v>0.55000000000000004</v>
      </c>
      <c r="P543">
        <v>5.2</v>
      </c>
      <c r="Q543">
        <v>0.78</v>
      </c>
      <c r="R543">
        <v>7.3</v>
      </c>
      <c r="S543">
        <v>3.9</v>
      </c>
      <c r="T543">
        <v>1</v>
      </c>
      <c r="U543">
        <v>0.5</v>
      </c>
      <c r="V543">
        <v>2.7</v>
      </c>
      <c r="W543">
        <v>2.4</v>
      </c>
      <c r="X543">
        <v>16.899999999999999</v>
      </c>
      <c r="Y543">
        <v>4</v>
      </c>
      <c r="Z543">
        <v>2.1</v>
      </c>
      <c r="AA543">
        <v>17.7</v>
      </c>
      <c r="AB543">
        <v>0.124</v>
      </c>
    </row>
    <row r="544" spans="1:28" x14ac:dyDescent="0.35">
      <c r="A544" s="1" t="s">
        <v>26</v>
      </c>
      <c r="B544" s="1" t="s">
        <v>597</v>
      </c>
      <c r="C544" s="1" t="s">
        <v>19</v>
      </c>
      <c r="D544" s="1" t="s">
        <v>20</v>
      </c>
      <c r="E544" s="4">
        <v>2.6</v>
      </c>
      <c r="F544">
        <v>23</v>
      </c>
      <c r="G544">
        <v>60</v>
      </c>
      <c r="H544">
        <v>33.700000000000003</v>
      </c>
      <c r="I544">
        <v>19.399999999999999</v>
      </c>
      <c r="J544">
        <v>0.46300000000000002</v>
      </c>
      <c r="K544">
        <v>5.9</v>
      </c>
      <c r="L544">
        <v>0.29499999999999998</v>
      </c>
      <c r="M544">
        <v>13.5</v>
      </c>
      <c r="N544">
        <v>0.53500000000000003</v>
      </c>
      <c r="O544">
        <v>0.50700000000000001</v>
      </c>
      <c r="P544">
        <v>5.2</v>
      </c>
      <c r="Q544">
        <v>0.871</v>
      </c>
      <c r="R544">
        <v>5.7</v>
      </c>
      <c r="S544">
        <v>4.7</v>
      </c>
      <c r="T544">
        <v>1.3</v>
      </c>
      <c r="U544">
        <v>0.4</v>
      </c>
      <c r="V544">
        <v>2.2999999999999998</v>
      </c>
      <c r="W544">
        <v>2.5</v>
      </c>
      <c r="X544">
        <v>24.2</v>
      </c>
      <c r="Y544">
        <v>3</v>
      </c>
      <c r="Z544">
        <v>3.1</v>
      </c>
      <c r="AA544">
        <v>20.100000000000001</v>
      </c>
      <c r="AB544">
        <v>0.13300000000000001</v>
      </c>
    </row>
    <row r="545" spans="1:28" x14ac:dyDescent="0.35">
      <c r="A545" s="1" t="s">
        <v>2</v>
      </c>
      <c r="B545" s="1" t="s">
        <v>597</v>
      </c>
      <c r="C545" s="1" t="s">
        <v>23</v>
      </c>
      <c r="D545" s="1" t="s">
        <v>20</v>
      </c>
      <c r="E545" s="4">
        <v>3.7</v>
      </c>
      <c r="F545">
        <v>23</v>
      </c>
      <c r="G545">
        <v>70</v>
      </c>
      <c r="H545">
        <v>35</v>
      </c>
      <c r="I545">
        <v>20.8</v>
      </c>
      <c r="J545">
        <v>0.46899999999999997</v>
      </c>
      <c r="K545">
        <v>6</v>
      </c>
      <c r="L545">
        <v>0.35599999999999998</v>
      </c>
      <c r="M545">
        <v>14.8</v>
      </c>
      <c r="N545">
        <v>0.51500000000000001</v>
      </c>
      <c r="O545">
        <v>0.52100000000000002</v>
      </c>
      <c r="P545">
        <v>5.3</v>
      </c>
      <c r="Q545">
        <v>0.84599999999999997</v>
      </c>
      <c r="R545">
        <v>6.1</v>
      </c>
      <c r="S545">
        <v>9.1</v>
      </c>
      <c r="T545">
        <v>1</v>
      </c>
      <c r="U545">
        <v>0.8</v>
      </c>
      <c r="V545">
        <v>4.4000000000000004</v>
      </c>
      <c r="W545">
        <v>2.8</v>
      </c>
      <c r="X545">
        <v>26.1</v>
      </c>
      <c r="Y545">
        <v>3</v>
      </c>
      <c r="Z545">
        <v>3.9</v>
      </c>
      <c r="AA545">
        <v>20.6</v>
      </c>
      <c r="AB545">
        <v>0.115</v>
      </c>
    </row>
    <row r="546" spans="1:28" x14ac:dyDescent="0.35">
      <c r="A546" s="1" t="s">
        <v>18</v>
      </c>
      <c r="B546" s="1" t="s">
        <v>598</v>
      </c>
      <c r="C546" s="1" t="s">
        <v>23</v>
      </c>
      <c r="D546" s="1" t="s">
        <v>20</v>
      </c>
      <c r="E546" s="4">
        <v>2.4</v>
      </c>
      <c r="F546">
        <v>25</v>
      </c>
      <c r="G546">
        <v>74</v>
      </c>
      <c r="H546">
        <v>29.8</v>
      </c>
      <c r="I546">
        <v>16.399999999999999</v>
      </c>
      <c r="J546">
        <v>0.48799999999999999</v>
      </c>
      <c r="K546">
        <v>5.3</v>
      </c>
      <c r="L546">
        <v>0.375</v>
      </c>
      <c r="M546">
        <v>11.1</v>
      </c>
      <c r="N546">
        <v>0.54100000000000004</v>
      </c>
      <c r="O546">
        <v>0.54800000000000004</v>
      </c>
      <c r="P546">
        <v>5.4</v>
      </c>
      <c r="Q546">
        <v>0.78100000000000003</v>
      </c>
      <c r="R546">
        <v>5.6</v>
      </c>
      <c r="S546">
        <v>2</v>
      </c>
      <c r="T546">
        <v>1.2</v>
      </c>
      <c r="U546">
        <v>1.5</v>
      </c>
      <c r="V546">
        <v>2.1</v>
      </c>
      <c r="W546">
        <v>3.5</v>
      </c>
      <c r="X546">
        <v>22.2</v>
      </c>
      <c r="Y546">
        <v>6</v>
      </c>
      <c r="Z546">
        <v>2.2999999999999998</v>
      </c>
      <c r="AA546">
        <v>19.600000000000001</v>
      </c>
      <c r="AB546">
        <v>0.13900000000000001</v>
      </c>
    </row>
    <row r="547" spans="1:28" x14ac:dyDescent="0.35">
      <c r="A547" s="1" t="s">
        <v>26</v>
      </c>
      <c r="B547" s="1" t="s">
        <v>597</v>
      </c>
      <c r="C547" s="1" t="s">
        <v>19</v>
      </c>
      <c r="D547" s="1" t="s">
        <v>20</v>
      </c>
      <c r="E547" s="4">
        <v>1.2</v>
      </c>
      <c r="F547">
        <v>24</v>
      </c>
      <c r="G547">
        <v>58</v>
      </c>
      <c r="H547">
        <v>32.200000000000003</v>
      </c>
      <c r="I547">
        <v>16.899999999999999</v>
      </c>
      <c r="J547">
        <v>0.46800000000000003</v>
      </c>
      <c r="K547">
        <v>5.3</v>
      </c>
      <c r="L547">
        <v>0.35</v>
      </c>
      <c r="M547">
        <v>11.7</v>
      </c>
      <c r="N547">
        <v>0.52200000000000002</v>
      </c>
      <c r="O547">
        <v>0.52300000000000002</v>
      </c>
      <c r="P547">
        <v>5.4</v>
      </c>
      <c r="Q547">
        <v>0.63</v>
      </c>
      <c r="R547">
        <v>6.3</v>
      </c>
      <c r="S547">
        <v>5.4</v>
      </c>
      <c r="T547">
        <v>0.8</v>
      </c>
      <c r="U547">
        <v>0.3</v>
      </c>
      <c r="V547">
        <v>2.8</v>
      </c>
      <c r="W547">
        <v>2.4</v>
      </c>
      <c r="X547">
        <v>21.1</v>
      </c>
      <c r="Y547">
        <v>5</v>
      </c>
      <c r="Z547">
        <v>0.6</v>
      </c>
      <c r="AA547">
        <v>16.5</v>
      </c>
      <c r="AB547">
        <v>6.0999999999999999E-2</v>
      </c>
    </row>
    <row r="548" spans="1:28" x14ac:dyDescent="0.35">
      <c r="A548" s="1" t="s">
        <v>2</v>
      </c>
      <c r="B548" s="1" t="s">
        <v>597</v>
      </c>
      <c r="C548" s="1" t="s">
        <v>23</v>
      </c>
      <c r="D548" s="1" t="s">
        <v>20</v>
      </c>
      <c r="E548" s="4">
        <v>2</v>
      </c>
      <c r="F548">
        <v>24</v>
      </c>
      <c r="G548">
        <v>52</v>
      </c>
      <c r="H548">
        <v>37.700000000000003</v>
      </c>
      <c r="I548">
        <v>21</v>
      </c>
      <c r="J548">
        <v>0.437</v>
      </c>
      <c r="K548">
        <v>9.1999999999999993</v>
      </c>
      <c r="L548">
        <v>0.33700000000000002</v>
      </c>
      <c r="M548">
        <v>11.8</v>
      </c>
      <c r="N548">
        <v>0.51500000000000001</v>
      </c>
      <c r="O548">
        <v>0.51100000000000001</v>
      </c>
      <c r="P548">
        <v>5.6</v>
      </c>
      <c r="Q548">
        <v>0.879</v>
      </c>
      <c r="R548">
        <v>3.3</v>
      </c>
      <c r="S548">
        <v>6.1</v>
      </c>
      <c r="T548">
        <v>1.8</v>
      </c>
      <c r="U548">
        <v>0.4</v>
      </c>
      <c r="V548">
        <v>2.4</v>
      </c>
      <c r="W548">
        <v>2.2000000000000002</v>
      </c>
      <c r="X548">
        <v>26.3</v>
      </c>
      <c r="Y548">
        <v>4</v>
      </c>
      <c r="Z548">
        <v>2</v>
      </c>
      <c r="AA548">
        <v>19.5</v>
      </c>
      <c r="AB548">
        <v>9.4E-2</v>
      </c>
    </row>
    <row r="549" spans="1:28" x14ac:dyDescent="0.35">
      <c r="A549" s="1" t="s">
        <v>18</v>
      </c>
      <c r="B549" s="1" t="s">
        <v>598</v>
      </c>
      <c r="C549" s="1" t="s">
        <v>19</v>
      </c>
      <c r="D549" s="1" t="s">
        <v>20</v>
      </c>
      <c r="E549" s="4">
        <v>3.9</v>
      </c>
      <c r="F549">
        <v>22</v>
      </c>
      <c r="G549">
        <v>76</v>
      </c>
      <c r="H549">
        <v>31.5</v>
      </c>
      <c r="I549">
        <v>15</v>
      </c>
      <c r="J549">
        <v>0.496</v>
      </c>
      <c r="K549">
        <v>1.2</v>
      </c>
      <c r="L549">
        <v>0.23300000000000001</v>
      </c>
      <c r="M549">
        <v>13.9</v>
      </c>
      <c r="N549">
        <v>0.51900000000000002</v>
      </c>
      <c r="O549">
        <v>0.505</v>
      </c>
      <c r="P549">
        <v>5.6</v>
      </c>
      <c r="Q549">
        <v>0.69199999999999995</v>
      </c>
      <c r="R549">
        <v>10.3</v>
      </c>
      <c r="S549">
        <v>4.9000000000000004</v>
      </c>
      <c r="T549">
        <v>1.1000000000000001</v>
      </c>
      <c r="U549">
        <v>0.8</v>
      </c>
      <c r="V549">
        <v>2.6</v>
      </c>
      <c r="W549">
        <v>2.8</v>
      </c>
      <c r="X549">
        <v>19.100000000000001</v>
      </c>
      <c r="Y549">
        <v>3</v>
      </c>
      <c r="Z549">
        <v>4.4000000000000004</v>
      </c>
      <c r="AA549">
        <v>21.4</v>
      </c>
      <c r="AB549">
        <v>0.16600000000000001</v>
      </c>
    </row>
    <row r="550" spans="1:28" x14ac:dyDescent="0.35">
      <c r="A550" s="1" t="s">
        <v>18</v>
      </c>
      <c r="B550" s="1" t="s">
        <v>597</v>
      </c>
      <c r="C550" s="1" t="s">
        <v>33</v>
      </c>
      <c r="D550" s="1" t="s">
        <v>20</v>
      </c>
      <c r="E550" s="4">
        <v>3.5</v>
      </c>
      <c r="F550">
        <v>29</v>
      </c>
      <c r="G550">
        <v>72</v>
      </c>
      <c r="H550">
        <v>35</v>
      </c>
      <c r="I550">
        <v>16.899999999999999</v>
      </c>
      <c r="J550">
        <v>0.52600000000000002</v>
      </c>
      <c r="K550">
        <v>4.7</v>
      </c>
      <c r="L550">
        <v>0.42</v>
      </c>
      <c r="M550">
        <v>12.2</v>
      </c>
      <c r="N550">
        <v>0.56699999999999995</v>
      </c>
      <c r="O550">
        <v>0.58399999999999996</v>
      </c>
      <c r="P550">
        <v>5.7</v>
      </c>
      <c r="Q550">
        <v>0.82899999999999996</v>
      </c>
      <c r="R550">
        <v>12.8</v>
      </c>
      <c r="S550">
        <v>3.1</v>
      </c>
      <c r="T550">
        <v>1</v>
      </c>
      <c r="U550">
        <v>0.7</v>
      </c>
      <c r="V550">
        <v>2.7</v>
      </c>
      <c r="W550">
        <v>3.5</v>
      </c>
      <c r="X550">
        <v>24.4</v>
      </c>
      <c r="Y550">
        <v>9</v>
      </c>
      <c r="Z550">
        <v>3.6</v>
      </c>
      <c r="AA550">
        <v>23.4</v>
      </c>
      <c r="AB550">
        <v>0.193</v>
      </c>
    </row>
    <row r="551" spans="1:28" x14ac:dyDescent="0.35">
      <c r="A551" s="1" t="s">
        <v>26</v>
      </c>
      <c r="B551" s="1" t="s">
        <v>598</v>
      </c>
      <c r="C551" s="1" t="s">
        <v>23</v>
      </c>
      <c r="D551" s="1" t="s">
        <v>20</v>
      </c>
      <c r="E551" s="4">
        <v>1.3</v>
      </c>
      <c r="F551">
        <v>35</v>
      </c>
      <c r="G551">
        <v>77</v>
      </c>
      <c r="H551">
        <v>35.9</v>
      </c>
      <c r="I551">
        <v>17</v>
      </c>
      <c r="J551">
        <v>0.47699999999999998</v>
      </c>
      <c r="K551">
        <v>3.3</v>
      </c>
      <c r="L551">
        <v>0.32800000000000001</v>
      </c>
      <c r="M551">
        <v>13.7</v>
      </c>
      <c r="N551">
        <v>0.51300000000000001</v>
      </c>
      <c r="O551">
        <v>0.50900000000000001</v>
      </c>
      <c r="P551">
        <v>5.7</v>
      </c>
      <c r="Q551">
        <v>0.85699999999999998</v>
      </c>
      <c r="R551">
        <v>3.9</v>
      </c>
      <c r="S551">
        <v>4.4000000000000004</v>
      </c>
      <c r="T551">
        <v>0.8</v>
      </c>
      <c r="U551">
        <v>0.4</v>
      </c>
      <c r="V551">
        <v>1.4</v>
      </c>
      <c r="W551">
        <v>1.9</v>
      </c>
      <c r="X551">
        <v>22.2</v>
      </c>
      <c r="Y551">
        <v>15</v>
      </c>
      <c r="Z551">
        <v>-0.1</v>
      </c>
      <c r="AA551">
        <v>17.7</v>
      </c>
      <c r="AB551">
        <v>0.123</v>
      </c>
    </row>
    <row r="552" spans="1:28" x14ac:dyDescent="0.35">
      <c r="A552" s="1" t="s">
        <v>26</v>
      </c>
      <c r="B552" s="1" t="s">
        <v>598</v>
      </c>
      <c r="C552" s="1" t="s">
        <v>23</v>
      </c>
      <c r="D552" s="1" t="s">
        <v>20</v>
      </c>
      <c r="E552" s="4">
        <v>3</v>
      </c>
      <c r="F552">
        <v>36</v>
      </c>
      <c r="G552">
        <v>62</v>
      </c>
      <c r="H552">
        <v>36.5</v>
      </c>
      <c r="I552">
        <v>18.100000000000001</v>
      </c>
      <c r="J552">
        <v>0.52700000000000002</v>
      </c>
      <c r="K552">
        <v>6</v>
      </c>
      <c r="L552">
        <v>0.43</v>
      </c>
      <c r="M552">
        <v>12.1</v>
      </c>
      <c r="N552">
        <v>0.57399999999999995</v>
      </c>
      <c r="O552">
        <v>0.59799999999999998</v>
      </c>
      <c r="P552">
        <v>5.8</v>
      </c>
      <c r="Q552">
        <v>0.83899999999999997</v>
      </c>
      <c r="R552">
        <v>6</v>
      </c>
      <c r="S552">
        <v>4.2</v>
      </c>
      <c r="T552">
        <v>0.8</v>
      </c>
      <c r="U552">
        <v>1.2</v>
      </c>
      <c r="V552">
        <v>3.1</v>
      </c>
      <c r="W552">
        <v>1.7</v>
      </c>
      <c r="X552">
        <v>26.6</v>
      </c>
      <c r="Y552">
        <v>17</v>
      </c>
      <c r="Z552">
        <v>3.2</v>
      </c>
      <c r="AA552">
        <v>21.2</v>
      </c>
      <c r="AB552">
        <v>0.111</v>
      </c>
    </row>
    <row r="553" spans="1:28" x14ac:dyDescent="0.35">
      <c r="A553" s="1" t="s">
        <v>2</v>
      </c>
      <c r="B553" s="1" t="s">
        <v>597</v>
      </c>
      <c r="C553" s="1" t="s">
        <v>23</v>
      </c>
      <c r="D553" s="1" t="s">
        <v>20</v>
      </c>
      <c r="E553" s="4">
        <v>0.5</v>
      </c>
      <c r="F553">
        <v>23</v>
      </c>
      <c r="G553">
        <v>25</v>
      </c>
      <c r="H553">
        <v>31.2</v>
      </c>
      <c r="I553">
        <v>18.2</v>
      </c>
      <c r="J553">
        <v>0.438</v>
      </c>
      <c r="K553">
        <v>7.8</v>
      </c>
      <c r="L553">
        <v>0.34899999999999998</v>
      </c>
      <c r="M553">
        <v>10.4</v>
      </c>
      <c r="N553">
        <v>0.50600000000000001</v>
      </c>
      <c r="O553">
        <v>0.51300000000000001</v>
      </c>
      <c r="P553">
        <v>6</v>
      </c>
      <c r="Q553">
        <v>0.88100000000000001</v>
      </c>
      <c r="R553">
        <v>3.3</v>
      </c>
      <c r="S553">
        <v>3.8</v>
      </c>
      <c r="T553">
        <v>0.6</v>
      </c>
      <c r="U553">
        <v>0.1</v>
      </c>
      <c r="V553">
        <v>2.5</v>
      </c>
      <c r="W553">
        <v>1.8</v>
      </c>
      <c r="X553">
        <v>24</v>
      </c>
      <c r="Y553">
        <v>3</v>
      </c>
      <c r="Z553">
        <v>0.3</v>
      </c>
      <c r="AA553">
        <v>18</v>
      </c>
      <c r="AB553">
        <v>7.0999999999999994E-2</v>
      </c>
    </row>
    <row r="554" spans="1:28" x14ac:dyDescent="0.35">
      <c r="A554" s="1" t="s">
        <v>26</v>
      </c>
      <c r="B554" s="1" t="s">
        <v>597</v>
      </c>
      <c r="C554" s="1" t="s">
        <v>23</v>
      </c>
      <c r="D554" s="1" t="s">
        <v>20</v>
      </c>
      <c r="E554" s="4">
        <v>4.8</v>
      </c>
      <c r="F554">
        <v>26</v>
      </c>
      <c r="G554">
        <v>72</v>
      </c>
      <c r="H554">
        <v>36.4</v>
      </c>
      <c r="I554">
        <v>20.3</v>
      </c>
      <c r="J554">
        <v>0.45200000000000001</v>
      </c>
      <c r="K554">
        <v>10.1</v>
      </c>
      <c r="L554">
        <v>0.34300000000000003</v>
      </c>
      <c r="M554">
        <v>10.199999999999999</v>
      </c>
      <c r="N554">
        <v>0.55900000000000005</v>
      </c>
      <c r="O554">
        <v>0.53700000000000003</v>
      </c>
      <c r="P554">
        <v>6.1</v>
      </c>
      <c r="Q554">
        <v>0.81399999999999995</v>
      </c>
      <c r="R554">
        <v>8.6999999999999993</v>
      </c>
      <c r="S554">
        <v>6</v>
      </c>
      <c r="T554">
        <v>1.1000000000000001</v>
      </c>
      <c r="U554">
        <v>0.5</v>
      </c>
      <c r="V554">
        <v>2.9</v>
      </c>
      <c r="W554">
        <v>2.2000000000000002</v>
      </c>
      <c r="X554">
        <v>26.8</v>
      </c>
      <c r="Y554">
        <v>7</v>
      </c>
      <c r="Z554">
        <v>5.2</v>
      </c>
      <c r="AA554">
        <v>21.7</v>
      </c>
      <c r="AB554">
        <v>0.17399999999999999</v>
      </c>
    </row>
    <row r="555" spans="1:28" x14ac:dyDescent="0.35">
      <c r="A555" s="1" t="s">
        <v>2</v>
      </c>
      <c r="B555" s="1" t="s">
        <v>598</v>
      </c>
      <c r="C555" s="1" t="s">
        <v>23</v>
      </c>
      <c r="D555" s="1" t="s">
        <v>20</v>
      </c>
      <c r="E555" s="4">
        <v>4.5999999999999996</v>
      </c>
      <c r="F555">
        <v>23</v>
      </c>
      <c r="G555">
        <v>79</v>
      </c>
      <c r="H555">
        <v>36.299999999999997</v>
      </c>
      <c r="I555">
        <v>20.399999999999999</v>
      </c>
      <c r="J555">
        <v>0.44700000000000001</v>
      </c>
      <c r="K555">
        <v>10.3</v>
      </c>
      <c r="L555">
        <v>0.39500000000000002</v>
      </c>
      <c r="M555">
        <v>10.1</v>
      </c>
      <c r="N555">
        <v>0.501</v>
      </c>
      <c r="O555">
        <v>0.54700000000000004</v>
      </c>
      <c r="P555">
        <v>6.3</v>
      </c>
      <c r="Q555">
        <v>0.83699999999999997</v>
      </c>
      <c r="R555">
        <v>5.7</v>
      </c>
      <c r="S555">
        <v>4.5</v>
      </c>
      <c r="T555">
        <v>1.2</v>
      </c>
      <c r="U555">
        <v>0.6</v>
      </c>
      <c r="V555">
        <v>3.2</v>
      </c>
      <c r="W555">
        <v>1.9</v>
      </c>
      <c r="X555">
        <v>27.6</v>
      </c>
      <c r="Y555">
        <v>4</v>
      </c>
      <c r="Z555">
        <v>4.3</v>
      </c>
      <c r="AA555">
        <v>20.100000000000001</v>
      </c>
      <c r="AB555">
        <v>0.14000000000000001</v>
      </c>
    </row>
    <row r="556" spans="1:28" x14ac:dyDescent="0.35">
      <c r="A556" s="1" t="s">
        <v>2</v>
      </c>
      <c r="B556" s="1" t="s">
        <v>598</v>
      </c>
      <c r="C556" s="1" t="s">
        <v>23</v>
      </c>
      <c r="D556" s="1" t="s">
        <v>20</v>
      </c>
      <c r="E556" s="4">
        <v>1.7</v>
      </c>
      <c r="F556">
        <v>28</v>
      </c>
      <c r="G556">
        <v>75</v>
      </c>
      <c r="H556">
        <v>37.299999999999997</v>
      </c>
      <c r="I556">
        <v>18.899999999999999</v>
      </c>
      <c r="J556">
        <v>0.46100000000000002</v>
      </c>
      <c r="K556">
        <v>7.3</v>
      </c>
      <c r="L556">
        <v>0.33200000000000002</v>
      </c>
      <c r="M556">
        <v>11.6</v>
      </c>
      <c r="N556">
        <v>0.54200000000000004</v>
      </c>
      <c r="O556">
        <v>0.52500000000000002</v>
      </c>
      <c r="P556">
        <v>6.4</v>
      </c>
      <c r="Q556">
        <v>0.89400000000000002</v>
      </c>
      <c r="R556">
        <v>4.0999999999999996</v>
      </c>
      <c r="S556">
        <v>7.1</v>
      </c>
      <c r="T556">
        <v>0.9</v>
      </c>
      <c r="U556">
        <v>0.2</v>
      </c>
      <c r="V556">
        <v>2.9</v>
      </c>
      <c r="W556">
        <v>2.6</v>
      </c>
      <c r="X556">
        <v>25.6</v>
      </c>
      <c r="Y556">
        <v>9</v>
      </c>
      <c r="Z556">
        <v>0.4</v>
      </c>
      <c r="AA556">
        <v>19.3</v>
      </c>
      <c r="AB556">
        <v>0.111</v>
      </c>
    </row>
    <row r="557" spans="1:28" x14ac:dyDescent="0.35">
      <c r="A557" s="1" t="s">
        <v>2</v>
      </c>
      <c r="B557" s="1" t="s">
        <v>598</v>
      </c>
      <c r="C557" s="1" t="s">
        <v>23</v>
      </c>
      <c r="D557" s="1" t="s">
        <v>20</v>
      </c>
      <c r="E557" s="4">
        <v>1.7</v>
      </c>
      <c r="F557">
        <v>25</v>
      </c>
      <c r="G557">
        <v>50</v>
      </c>
      <c r="H557">
        <v>30.4</v>
      </c>
      <c r="I557">
        <v>17.8</v>
      </c>
      <c r="J557">
        <v>0.45400000000000001</v>
      </c>
      <c r="K557">
        <v>5.7</v>
      </c>
      <c r="L557">
        <v>0.309</v>
      </c>
      <c r="M557">
        <v>12.1</v>
      </c>
      <c r="N557">
        <v>0.52300000000000002</v>
      </c>
      <c r="O557">
        <v>0.504</v>
      </c>
      <c r="P557">
        <v>6.4</v>
      </c>
      <c r="Q557">
        <v>0.82399999999999995</v>
      </c>
      <c r="R557">
        <v>4.0999999999999996</v>
      </c>
      <c r="S557">
        <v>7.3</v>
      </c>
      <c r="T557">
        <v>1.2</v>
      </c>
      <c r="U557">
        <v>0.2</v>
      </c>
      <c r="V557">
        <v>3.7</v>
      </c>
      <c r="W557">
        <v>2.2999999999999998</v>
      </c>
      <c r="X557">
        <v>23.2</v>
      </c>
      <c r="Y557">
        <v>5</v>
      </c>
      <c r="Z557">
        <v>2.4</v>
      </c>
      <c r="AA557">
        <v>19.3</v>
      </c>
      <c r="AB557">
        <v>0.112</v>
      </c>
    </row>
    <row r="558" spans="1:28" x14ac:dyDescent="0.35">
      <c r="A558" s="1" t="s">
        <v>18</v>
      </c>
      <c r="B558" s="1" t="s">
        <v>598</v>
      </c>
      <c r="C558" s="1" t="s">
        <v>19</v>
      </c>
      <c r="D558" s="1" t="s">
        <v>50</v>
      </c>
      <c r="E558" s="4">
        <v>9.8000000000000007</v>
      </c>
      <c r="F558">
        <v>29</v>
      </c>
      <c r="G558">
        <v>70</v>
      </c>
      <c r="H558">
        <v>36.700000000000003</v>
      </c>
      <c r="I558">
        <v>19.5</v>
      </c>
      <c r="J558">
        <v>0.57599999999999996</v>
      </c>
      <c r="K558">
        <v>4.7</v>
      </c>
      <c r="L558">
        <v>0.41699999999999998</v>
      </c>
      <c r="M558">
        <v>14.8</v>
      </c>
      <c r="N558">
        <v>0.627</v>
      </c>
      <c r="O558">
        <v>0.627</v>
      </c>
      <c r="P558">
        <v>6.4</v>
      </c>
      <c r="Q558">
        <v>0.8</v>
      </c>
      <c r="R558">
        <v>12.7</v>
      </c>
      <c r="S558">
        <v>10.199999999999999</v>
      </c>
      <c r="T558">
        <v>1.8</v>
      </c>
      <c r="U558">
        <v>0.6</v>
      </c>
      <c r="V558">
        <v>3.3</v>
      </c>
      <c r="W558">
        <v>2.2999999999999998</v>
      </c>
      <c r="X558">
        <v>29.6</v>
      </c>
      <c r="Y558">
        <v>9</v>
      </c>
      <c r="Z558">
        <v>13.3</v>
      </c>
      <c r="AA558">
        <v>32</v>
      </c>
      <c r="AB558">
        <v>0.307</v>
      </c>
    </row>
    <row r="559" spans="1:28" x14ac:dyDescent="0.35">
      <c r="A559" s="1" t="s">
        <v>2</v>
      </c>
      <c r="B559" s="1" t="s">
        <v>597</v>
      </c>
      <c r="C559" s="1" t="s">
        <v>23</v>
      </c>
      <c r="D559" s="1" t="s">
        <v>20</v>
      </c>
      <c r="E559" s="4">
        <v>3.2</v>
      </c>
      <c r="F559">
        <v>34</v>
      </c>
      <c r="G559">
        <v>58</v>
      </c>
      <c r="H559">
        <v>36.1</v>
      </c>
      <c r="I559">
        <v>17.100000000000001</v>
      </c>
      <c r="J559">
        <v>0.44800000000000001</v>
      </c>
      <c r="K559">
        <v>9</v>
      </c>
      <c r="L559">
        <v>0.376</v>
      </c>
      <c r="M559">
        <v>8.1</v>
      </c>
      <c r="N559">
        <v>0.52800000000000002</v>
      </c>
      <c r="O559">
        <v>0.54700000000000004</v>
      </c>
      <c r="P559">
        <v>6.8</v>
      </c>
      <c r="Q559">
        <v>0.92100000000000004</v>
      </c>
      <c r="R559">
        <v>4.7</v>
      </c>
      <c r="S559">
        <v>7.1</v>
      </c>
      <c r="T559">
        <v>1.2</v>
      </c>
      <c r="U559">
        <v>0.2</v>
      </c>
      <c r="V559">
        <v>2.8</v>
      </c>
      <c r="W559">
        <v>1.7</v>
      </c>
      <c r="X559">
        <v>24.9</v>
      </c>
      <c r="Y559">
        <v>12</v>
      </c>
      <c r="Z559">
        <v>4</v>
      </c>
      <c r="AA559">
        <v>21.3</v>
      </c>
      <c r="AB559">
        <v>0.17499999999999999</v>
      </c>
    </row>
    <row r="560" spans="1:28" x14ac:dyDescent="0.35">
      <c r="A560" s="1" t="s">
        <v>2</v>
      </c>
      <c r="B560" s="1" t="s">
        <v>597</v>
      </c>
      <c r="C560" s="1" t="s">
        <v>23</v>
      </c>
      <c r="D560" s="1" t="s">
        <v>50</v>
      </c>
      <c r="E560" s="4">
        <v>3.1</v>
      </c>
      <c r="F560">
        <v>28</v>
      </c>
      <c r="G560">
        <v>65</v>
      </c>
      <c r="H560">
        <v>35.4</v>
      </c>
      <c r="I560">
        <v>18.5</v>
      </c>
      <c r="J560">
        <v>0.48799999999999999</v>
      </c>
      <c r="K560">
        <v>6.1</v>
      </c>
      <c r="L560">
        <v>0.38300000000000001</v>
      </c>
      <c r="M560">
        <v>12.4</v>
      </c>
      <c r="N560">
        <v>0.53900000000000003</v>
      </c>
      <c r="O560">
        <v>0.55100000000000005</v>
      </c>
      <c r="P560">
        <v>6.9</v>
      </c>
      <c r="Q560">
        <v>0.82099999999999995</v>
      </c>
      <c r="R560">
        <v>2.9</v>
      </c>
      <c r="S560">
        <v>7.3</v>
      </c>
      <c r="T560">
        <v>0.9</v>
      </c>
      <c r="U560">
        <v>0.1</v>
      </c>
      <c r="V560">
        <v>2.5</v>
      </c>
      <c r="W560">
        <v>2.1</v>
      </c>
      <c r="X560">
        <v>26</v>
      </c>
      <c r="Y560">
        <v>6</v>
      </c>
      <c r="Z560">
        <v>3.3</v>
      </c>
      <c r="AA560">
        <v>21.6</v>
      </c>
      <c r="AB560">
        <v>0.17199999999999999</v>
      </c>
    </row>
    <row r="561" spans="1:28" x14ac:dyDescent="0.35">
      <c r="A561" s="1" t="s">
        <v>26</v>
      </c>
      <c r="B561" s="1" t="s">
        <v>35</v>
      </c>
      <c r="C561" s="1" t="s">
        <v>23</v>
      </c>
      <c r="D561" s="1" t="s">
        <v>20</v>
      </c>
      <c r="E561" s="4">
        <v>3</v>
      </c>
      <c r="F561">
        <v>35</v>
      </c>
      <c r="G561">
        <v>55</v>
      </c>
      <c r="H561">
        <v>31.7</v>
      </c>
      <c r="I561">
        <v>10.9</v>
      </c>
      <c r="J561">
        <v>0.504</v>
      </c>
      <c r="K561">
        <v>1.9</v>
      </c>
      <c r="L561">
        <v>0.308</v>
      </c>
      <c r="M561">
        <v>9</v>
      </c>
      <c r="N561">
        <v>0.54600000000000004</v>
      </c>
      <c r="O561">
        <v>0.53100000000000003</v>
      </c>
      <c r="P561">
        <v>7.1</v>
      </c>
      <c r="Q561">
        <v>0.84199999999999997</v>
      </c>
      <c r="R561">
        <v>5.4</v>
      </c>
      <c r="S561">
        <v>5.4</v>
      </c>
      <c r="T561">
        <v>1.4</v>
      </c>
      <c r="U561">
        <v>0.3</v>
      </c>
      <c r="V561">
        <v>1.3</v>
      </c>
      <c r="W561">
        <v>0.9</v>
      </c>
      <c r="X561">
        <v>17.5</v>
      </c>
      <c r="Y561">
        <v>13</v>
      </c>
      <c r="Z561">
        <v>4.9000000000000004</v>
      </c>
      <c r="AA561">
        <v>22.4</v>
      </c>
      <c r="AB561">
        <v>0.23799999999999999</v>
      </c>
    </row>
    <row r="562" spans="1:28" x14ac:dyDescent="0.35">
      <c r="A562" s="1" t="s">
        <v>18</v>
      </c>
      <c r="B562" s="1" t="s">
        <v>35</v>
      </c>
      <c r="C562" s="1" t="s">
        <v>23</v>
      </c>
      <c r="D562" s="1" t="s">
        <v>20</v>
      </c>
      <c r="E562" s="4">
        <v>3.2</v>
      </c>
      <c r="F562">
        <v>31</v>
      </c>
      <c r="G562">
        <v>51</v>
      </c>
      <c r="H562">
        <v>33.5</v>
      </c>
      <c r="I562">
        <v>17.8</v>
      </c>
      <c r="J562">
        <v>0.51600000000000001</v>
      </c>
      <c r="K562">
        <v>2.4</v>
      </c>
      <c r="L562">
        <v>0.28199999999999997</v>
      </c>
      <c r="M562">
        <v>15.4</v>
      </c>
      <c r="N562">
        <v>0.55300000000000005</v>
      </c>
      <c r="O562">
        <v>0.53600000000000003</v>
      </c>
      <c r="P562">
        <v>7.2</v>
      </c>
      <c r="Q562">
        <v>0.77500000000000002</v>
      </c>
      <c r="R562">
        <v>11.6</v>
      </c>
      <c r="S562">
        <v>3.5</v>
      </c>
      <c r="T562">
        <v>1.2</v>
      </c>
      <c r="U562">
        <v>2.2000000000000002</v>
      </c>
      <c r="V562">
        <v>2.2000000000000002</v>
      </c>
      <c r="W562">
        <v>1.9</v>
      </c>
      <c r="X562">
        <v>24.7</v>
      </c>
      <c r="Y562">
        <v>12</v>
      </c>
      <c r="Z562">
        <v>5.4</v>
      </c>
      <c r="AA562">
        <v>26.3</v>
      </c>
      <c r="AB562">
        <v>0.188</v>
      </c>
    </row>
    <row r="563" spans="1:28" x14ac:dyDescent="0.35">
      <c r="A563" s="1" t="s">
        <v>2</v>
      </c>
      <c r="B563" s="1" t="s">
        <v>598</v>
      </c>
      <c r="C563" s="1" t="s">
        <v>23</v>
      </c>
      <c r="D563" s="1" t="s">
        <v>20</v>
      </c>
      <c r="E563" s="4">
        <v>4.4000000000000004</v>
      </c>
      <c r="F563">
        <v>35</v>
      </c>
      <c r="G563">
        <v>79</v>
      </c>
      <c r="H563">
        <v>35.299999999999997</v>
      </c>
      <c r="I563">
        <v>16.399999999999999</v>
      </c>
      <c r="J563">
        <v>0.41</v>
      </c>
      <c r="K563">
        <v>8.5</v>
      </c>
      <c r="L563">
        <v>0.35199999999999998</v>
      </c>
      <c r="M563">
        <v>7.9</v>
      </c>
      <c r="N563">
        <v>0.47199999999999998</v>
      </c>
      <c r="O563">
        <v>0.501</v>
      </c>
      <c r="P563">
        <v>7.3</v>
      </c>
      <c r="Q563">
        <v>0.874</v>
      </c>
      <c r="R563">
        <v>5.8</v>
      </c>
      <c r="S563">
        <v>8.6999999999999993</v>
      </c>
      <c r="T563">
        <v>1.5</v>
      </c>
      <c r="U563">
        <v>0.7</v>
      </c>
      <c r="V563">
        <v>4.3</v>
      </c>
      <c r="W563">
        <v>2.1</v>
      </c>
      <c r="X563">
        <v>22.8</v>
      </c>
      <c r="Y563">
        <v>15</v>
      </c>
      <c r="Z563">
        <v>4.3</v>
      </c>
      <c r="AA563">
        <v>20</v>
      </c>
      <c r="AB563">
        <v>0.14299999999999999</v>
      </c>
    </row>
    <row r="564" spans="1:28" x14ac:dyDescent="0.35">
      <c r="A564" s="1" t="s">
        <v>2</v>
      </c>
      <c r="B564" s="1" t="s">
        <v>597</v>
      </c>
      <c r="C564" s="1" t="s">
        <v>23</v>
      </c>
      <c r="D564" s="1" t="s">
        <v>20</v>
      </c>
      <c r="E564" s="4">
        <v>1.7</v>
      </c>
      <c r="F564">
        <v>26</v>
      </c>
      <c r="G564">
        <v>76</v>
      </c>
      <c r="H564">
        <v>36</v>
      </c>
      <c r="I564">
        <v>18.100000000000001</v>
      </c>
      <c r="J564">
        <v>0.41099999999999998</v>
      </c>
      <c r="K564">
        <v>8.4</v>
      </c>
      <c r="L564">
        <v>0.34</v>
      </c>
      <c r="M564">
        <v>9.6999999999999993</v>
      </c>
      <c r="N564">
        <v>0.47399999999999998</v>
      </c>
      <c r="O564">
        <v>0.49099999999999999</v>
      </c>
      <c r="P564">
        <v>7.4</v>
      </c>
      <c r="Q564">
        <v>0.875</v>
      </c>
      <c r="R564">
        <v>3.1</v>
      </c>
      <c r="S564">
        <v>11.6</v>
      </c>
      <c r="T564">
        <v>1.2</v>
      </c>
      <c r="U564">
        <v>0.2</v>
      </c>
      <c r="V564">
        <v>4.7</v>
      </c>
      <c r="W564">
        <v>1.9</v>
      </c>
      <c r="X564">
        <v>24.2</v>
      </c>
      <c r="Y564">
        <v>6</v>
      </c>
      <c r="Z564">
        <v>0.5</v>
      </c>
      <c r="AA564">
        <v>18.3</v>
      </c>
      <c r="AB564">
        <v>0.1</v>
      </c>
    </row>
    <row r="565" spans="1:28" x14ac:dyDescent="0.35">
      <c r="A565" s="1" t="s">
        <v>2</v>
      </c>
      <c r="B565" s="1" t="s">
        <v>35</v>
      </c>
      <c r="C565" s="1" t="s">
        <v>19</v>
      </c>
      <c r="D565" s="1" t="s">
        <v>20</v>
      </c>
      <c r="E565" s="4">
        <v>3.9</v>
      </c>
      <c r="F565">
        <v>25</v>
      </c>
      <c r="G565">
        <v>50</v>
      </c>
      <c r="H565">
        <v>35.4</v>
      </c>
      <c r="I565">
        <v>20.5</v>
      </c>
      <c r="J565">
        <v>0.45</v>
      </c>
      <c r="K565">
        <v>9.6</v>
      </c>
      <c r="L565">
        <v>0.36799999999999999</v>
      </c>
      <c r="M565">
        <v>10.9</v>
      </c>
      <c r="N565">
        <v>0.52200000000000002</v>
      </c>
      <c r="O565">
        <v>0.53600000000000003</v>
      </c>
      <c r="P565">
        <v>7.9</v>
      </c>
      <c r="Q565">
        <v>0.78200000000000003</v>
      </c>
      <c r="R565">
        <v>8.1999999999999993</v>
      </c>
      <c r="S565">
        <v>7.7</v>
      </c>
      <c r="T565">
        <v>1.8</v>
      </c>
      <c r="U565">
        <v>0.4</v>
      </c>
      <c r="V565">
        <v>3.6</v>
      </c>
      <c r="W565">
        <v>2.5</v>
      </c>
      <c r="X565">
        <v>28.2</v>
      </c>
      <c r="Y565">
        <v>6</v>
      </c>
      <c r="Z565">
        <v>6.7</v>
      </c>
      <c r="AA565">
        <v>24.1</v>
      </c>
      <c r="AB565">
        <v>0.16</v>
      </c>
    </row>
    <row r="566" spans="1:28" x14ac:dyDescent="0.35">
      <c r="A566" s="1" t="s">
        <v>26</v>
      </c>
      <c r="B566" s="1" t="s">
        <v>598</v>
      </c>
      <c r="C566" s="1" t="s">
        <v>23</v>
      </c>
      <c r="D566" s="1" t="s">
        <v>20</v>
      </c>
      <c r="E566" s="4">
        <v>1.9</v>
      </c>
      <c r="F566">
        <v>24</v>
      </c>
      <c r="G566">
        <v>30</v>
      </c>
      <c r="H566">
        <v>28.6</v>
      </c>
      <c r="I566">
        <v>16.899999999999999</v>
      </c>
      <c r="J566">
        <v>0.56699999999999995</v>
      </c>
      <c r="K566">
        <v>0.4</v>
      </c>
      <c r="L566">
        <v>0.23100000000000001</v>
      </c>
      <c r="M566">
        <v>16.5</v>
      </c>
      <c r="N566">
        <v>0.57599999999999996</v>
      </c>
      <c r="O566">
        <v>0.56999999999999995</v>
      </c>
      <c r="P566">
        <v>8</v>
      </c>
      <c r="Q566">
        <v>0.65600000000000003</v>
      </c>
      <c r="R566">
        <v>7.2</v>
      </c>
      <c r="S566">
        <v>5.3</v>
      </c>
      <c r="T566">
        <v>1.2</v>
      </c>
      <c r="U566">
        <v>0.9</v>
      </c>
      <c r="V566">
        <v>3</v>
      </c>
      <c r="W566">
        <v>2.7</v>
      </c>
      <c r="X566">
        <v>24.6</v>
      </c>
      <c r="Y566">
        <v>5</v>
      </c>
      <c r="Z566">
        <v>7</v>
      </c>
      <c r="AA566">
        <v>27.3</v>
      </c>
      <c r="AB566">
        <v>0.14099999999999999</v>
      </c>
    </row>
    <row r="567" spans="1:28" x14ac:dyDescent="0.35">
      <c r="A567" s="1" t="s">
        <v>26</v>
      </c>
      <c r="B567" s="1" t="s">
        <v>597</v>
      </c>
      <c r="C567" s="1" t="s">
        <v>33</v>
      </c>
      <c r="D567" s="1" t="s">
        <v>20</v>
      </c>
      <c r="E567" s="4">
        <v>2.2000000000000002</v>
      </c>
      <c r="F567">
        <v>22</v>
      </c>
      <c r="G567">
        <v>46</v>
      </c>
      <c r="H567">
        <v>34.4</v>
      </c>
      <c r="I567">
        <v>19.8</v>
      </c>
      <c r="J567">
        <v>0.45200000000000001</v>
      </c>
      <c r="K567">
        <v>5.9</v>
      </c>
      <c r="L567">
        <v>0.32</v>
      </c>
      <c r="M567">
        <v>13.9</v>
      </c>
      <c r="N567">
        <v>0.50900000000000001</v>
      </c>
      <c r="O567">
        <v>0.5</v>
      </c>
      <c r="P567">
        <v>8.4</v>
      </c>
      <c r="Q567">
        <v>0.72699999999999998</v>
      </c>
      <c r="R567">
        <v>7.5</v>
      </c>
      <c r="S567">
        <v>4.8</v>
      </c>
      <c r="T567">
        <v>0.8</v>
      </c>
      <c r="U567">
        <v>0.6</v>
      </c>
      <c r="V567">
        <v>3</v>
      </c>
      <c r="W567">
        <v>2.1</v>
      </c>
      <c r="X567">
        <v>25.9</v>
      </c>
      <c r="Y567">
        <v>2</v>
      </c>
      <c r="Z567">
        <v>3.5</v>
      </c>
      <c r="AA567">
        <v>20</v>
      </c>
      <c r="AB567">
        <v>0.106</v>
      </c>
    </row>
    <row r="568" spans="1:28" x14ac:dyDescent="0.35">
      <c r="A568" s="1" t="s">
        <v>2</v>
      </c>
      <c r="B568" s="1" t="s">
        <v>598</v>
      </c>
      <c r="C568" s="1" t="s">
        <v>19</v>
      </c>
      <c r="D568" s="1" t="s">
        <v>20</v>
      </c>
      <c r="E568" s="4">
        <v>8.9</v>
      </c>
      <c r="F568">
        <v>26</v>
      </c>
      <c r="G568">
        <v>76</v>
      </c>
      <c r="H568">
        <v>34.200000000000003</v>
      </c>
      <c r="I568">
        <v>21.8</v>
      </c>
      <c r="J568">
        <v>0.51900000000000002</v>
      </c>
      <c r="K568">
        <v>5.7</v>
      </c>
      <c r="L568">
        <v>0.375</v>
      </c>
      <c r="M568">
        <v>16.100000000000001</v>
      </c>
      <c r="N568">
        <v>0.57099999999999995</v>
      </c>
      <c r="O568">
        <v>0.56899999999999995</v>
      </c>
      <c r="P568">
        <v>8.8000000000000007</v>
      </c>
      <c r="Q568">
        <v>0.89800000000000002</v>
      </c>
      <c r="R568">
        <v>5</v>
      </c>
      <c r="S568">
        <v>6.4</v>
      </c>
      <c r="T568">
        <v>1.7</v>
      </c>
      <c r="U568">
        <v>1</v>
      </c>
      <c r="V568">
        <v>2.4</v>
      </c>
      <c r="W568">
        <v>2.2000000000000002</v>
      </c>
      <c r="X568">
        <v>32.700000000000003</v>
      </c>
      <c r="Y568">
        <v>6</v>
      </c>
      <c r="Z568">
        <v>11.5</v>
      </c>
      <c r="AA568">
        <v>30.7</v>
      </c>
      <c r="AB568">
        <v>0.309</v>
      </c>
    </row>
    <row r="569" spans="1:28" x14ac:dyDescent="0.35">
      <c r="A569" s="1" t="s">
        <v>18</v>
      </c>
      <c r="B569" s="1" t="s">
        <v>597</v>
      </c>
      <c r="C569" s="1" t="s">
        <v>33</v>
      </c>
      <c r="D569" s="1" t="s">
        <v>20</v>
      </c>
      <c r="E569" s="4">
        <v>0.8</v>
      </c>
      <c r="F569">
        <v>30</v>
      </c>
      <c r="G569">
        <v>19</v>
      </c>
      <c r="H569">
        <v>30.2</v>
      </c>
      <c r="I569">
        <v>16.600000000000001</v>
      </c>
      <c r="J569">
        <v>0.44400000000000001</v>
      </c>
      <c r="K569">
        <v>4.0999999999999996</v>
      </c>
      <c r="L569">
        <v>0.29899999999999999</v>
      </c>
      <c r="M569">
        <v>12.5</v>
      </c>
      <c r="N569">
        <v>0.49199999999999999</v>
      </c>
      <c r="O569">
        <v>0.48099999999999998</v>
      </c>
      <c r="P569">
        <v>8.9</v>
      </c>
      <c r="Q569">
        <v>0.88200000000000001</v>
      </c>
      <c r="R569">
        <v>8.1999999999999993</v>
      </c>
      <c r="S569">
        <v>4.5</v>
      </c>
      <c r="T569">
        <v>0.7</v>
      </c>
      <c r="U569">
        <v>0.9</v>
      </c>
      <c r="V569">
        <v>3.3</v>
      </c>
      <c r="W569">
        <v>2.2000000000000002</v>
      </c>
      <c r="X569">
        <v>23.8</v>
      </c>
      <c r="Y569">
        <v>10</v>
      </c>
      <c r="Z569">
        <v>3.5</v>
      </c>
      <c r="AA569">
        <v>23.4</v>
      </c>
      <c r="AB569">
        <v>0.11799999999999999</v>
      </c>
    </row>
    <row r="570" spans="1:28" x14ac:dyDescent="0.35">
      <c r="A570" s="1" t="s">
        <v>26</v>
      </c>
      <c r="B570" s="1" t="s">
        <v>597</v>
      </c>
      <c r="C570" s="1" t="s">
        <v>19</v>
      </c>
      <c r="D570" s="1" t="s">
        <v>20</v>
      </c>
      <c r="E570" s="4">
        <v>6.6</v>
      </c>
      <c r="F570">
        <v>30</v>
      </c>
      <c r="G570">
        <v>67</v>
      </c>
      <c r="H570">
        <v>34.200000000000003</v>
      </c>
      <c r="I570">
        <v>19.7</v>
      </c>
      <c r="J570">
        <v>0.60099999999999998</v>
      </c>
      <c r="K570">
        <v>0.9</v>
      </c>
      <c r="L570">
        <v>0.222</v>
      </c>
      <c r="M570">
        <v>18.7</v>
      </c>
      <c r="N570">
        <v>0.62</v>
      </c>
      <c r="O570">
        <v>0.60699999999999998</v>
      </c>
      <c r="P570">
        <v>10.6</v>
      </c>
      <c r="Q570">
        <v>0.61699999999999999</v>
      </c>
      <c r="R570">
        <v>11.9</v>
      </c>
      <c r="S570">
        <v>6.5</v>
      </c>
      <c r="T570">
        <v>0.9</v>
      </c>
      <c r="U570">
        <v>1.2</v>
      </c>
      <c r="V570">
        <v>3.1</v>
      </c>
      <c r="W570">
        <v>2.2999999999999998</v>
      </c>
      <c r="X570">
        <v>30.4</v>
      </c>
      <c r="Y570">
        <v>11</v>
      </c>
      <c r="Z570">
        <v>9.5</v>
      </c>
      <c r="AA570">
        <v>30.5</v>
      </c>
      <c r="AB570">
        <v>0.24099999999999999</v>
      </c>
    </row>
  </sheetData>
  <mergeCells count="30">
    <mergeCell ref="AE39:AU44"/>
    <mergeCell ref="AY2:AZ2"/>
    <mergeCell ref="AY12:AZ12"/>
    <mergeCell ref="BB2:BC2"/>
    <mergeCell ref="BB12:BC12"/>
    <mergeCell ref="AY22:BC24"/>
    <mergeCell ref="AQ2:AR2"/>
    <mergeCell ref="AQ11:AR11"/>
    <mergeCell ref="AQ20:AR20"/>
    <mergeCell ref="AQ29:AR29"/>
    <mergeCell ref="AT2:AU2"/>
    <mergeCell ref="AT11:AU11"/>
    <mergeCell ref="AT20:AU20"/>
    <mergeCell ref="AT29:AU29"/>
    <mergeCell ref="AK2:AL2"/>
    <mergeCell ref="AK11:AL11"/>
    <mergeCell ref="AK20:AL20"/>
    <mergeCell ref="AK29:AL29"/>
    <mergeCell ref="AN2:AO2"/>
    <mergeCell ref="AN11:AO11"/>
    <mergeCell ref="AN20:AO20"/>
    <mergeCell ref="AN29:AO29"/>
    <mergeCell ref="AE2:AF2"/>
    <mergeCell ref="AE11:AF11"/>
    <mergeCell ref="AE20:AF20"/>
    <mergeCell ref="AE29:AF29"/>
    <mergeCell ref="AH2:AI2"/>
    <mergeCell ref="AH11:AI11"/>
    <mergeCell ref="AH20:AI20"/>
    <mergeCell ref="AH29:AI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3CE5-9998-4438-B34A-355EC6022391}">
  <dimension ref="A1:T570"/>
  <sheetViews>
    <sheetView topLeftCell="L1" zoomScale="67" workbookViewId="0">
      <selection activeCell="T17" sqref="T17"/>
    </sheetView>
  </sheetViews>
  <sheetFormatPr defaultColWidth="8.81640625" defaultRowHeight="14.5" x14ac:dyDescent="0.35"/>
  <cols>
    <col min="1" max="1" width="10.81640625" style="1" bestFit="1" customWidth="1"/>
    <col min="2" max="2" width="14.81640625" style="1" bestFit="1" customWidth="1"/>
    <col min="3" max="3" width="16.36328125" style="1" bestFit="1" customWidth="1"/>
    <col min="4" max="4" width="14.6328125" style="1" bestFit="1" customWidth="1"/>
    <col min="6" max="6" width="19.453125" bestFit="1" customWidth="1"/>
    <col min="7" max="7" width="13.6328125" bestFit="1" customWidth="1"/>
    <col min="8" max="8" width="23.6328125" bestFit="1" customWidth="1"/>
    <col min="10" max="10" width="19.453125" bestFit="1" customWidth="1"/>
    <col min="11" max="11" width="13.6328125" bestFit="1" customWidth="1"/>
    <col min="12" max="12" width="23.6328125" bestFit="1" customWidth="1"/>
    <col min="14" max="14" width="13.6328125" bestFit="1" customWidth="1"/>
    <col min="15" max="15" width="9.7265625" bestFit="1" customWidth="1"/>
    <col min="16" max="16" width="17.36328125" bestFit="1" customWidth="1"/>
    <col min="18" max="18" width="19.453125" bestFit="1" customWidth="1"/>
    <col min="19" max="19" width="13.6328125" bestFit="1" customWidth="1"/>
    <col min="20" max="20" width="23.6328125" bestFit="1" customWidth="1"/>
  </cols>
  <sheetData>
    <row r="1" spans="1:20" ht="14.5" customHeight="1" x14ac:dyDescent="0.35">
      <c r="A1" s="2" t="s">
        <v>596</v>
      </c>
      <c r="B1" s="2" t="s">
        <v>595</v>
      </c>
      <c r="C1" s="2" t="s">
        <v>13</v>
      </c>
      <c r="D1" s="2" t="s">
        <v>607</v>
      </c>
      <c r="F1" s="48" t="s">
        <v>596</v>
      </c>
      <c r="G1" s="49"/>
      <c r="H1" s="49"/>
      <c r="J1" s="48" t="s">
        <v>595</v>
      </c>
      <c r="K1" s="48"/>
      <c r="L1" s="48"/>
      <c r="N1" s="48" t="s">
        <v>13</v>
      </c>
      <c r="O1" s="48"/>
      <c r="P1" s="48"/>
      <c r="R1" s="48" t="s">
        <v>607</v>
      </c>
      <c r="S1" s="48"/>
      <c r="T1" s="48"/>
    </row>
    <row r="2" spans="1:20" ht="14.5" customHeight="1" x14ac:dyDescent="0.35">
      <c r="A2" s="1" t="s">
        <v>18</v>
      </c>
      <c r="B2" s="1" t="s">
        <v>598</v>
      </c>
      <c r="C2" s="1" t="s">
        <v>602</v>
      </c>
      <c r="D2" s="1" t="s">
        <v>28</v>
      </c>
      <c r="F2" s="49"/>
      <c r="G2" s="49"/>
      <c r="H2" s="49"/>
      <c r="J2" s="48"/>
      <c r="K2" s="48"/>
      <c r="L2" s="48"/>
      <c r="N2" s="48"/>
      <c r="O2" s="48"/>
      <c r="P2" s="48"/>
      <c r="R2" s="48"/>
      <c r="S2" s="48"/>
      <c r="T2" s="48"/>
    </row>
    <row r="3" spans="1:20" ht="14.5" customHeight="1" x14ac:dyDescent="0.35">
      <c r="A3" s="1" t="s">
        <v>26</v>
      </c>
      <c r="B3" s="1" t="s">
        <v>597</v>
      </c>
      <c r="C3" s="1" t="s">
        <v>23</v>
      </c>
      <c r="D3" s="1" t="s">
        <v>50</v>
      </c>
      <c r="F3" s="10" t="s">
        <v>603</v>
      </c>
      <c r="G3" s="9" t="s">
        <v>606</v>
      </c>
      <c r="H3" s="9" t="s">
        <v>605</v>
      </c>
      <c r="J3" s="5" t="s">
        <v>603</v>
      </c>
      <c r="K3" s="8" t="s">
        <v>606</v>
      </c>
      <c r="L3" s="8" t="s">
        <v>605</v>
      </c>
      <c r="N3" s="5" t="s">
        <v>603</v>
      </c>
      <c r="O3" t="s">
        <v>606</v>
      </c>
      <c r="P3" t="s">
        <v>605</v>
      </c>
      <c r="R3" s="5" t="s">
        <v>603</v>
      </c>
      <c r="S3" t="s">
        <v>606</v>
      </c>
      <c r="T3" t="s">
        <v>605</v>
      </c>
    </row>
    <row r="4" spans="1:20" x14ac:dyDescent="0.35">
      <c r="A4" s="1" t="s">
        <v>18</v>
      </c>
      <c r="B4" s="1" t="s">
        <v>597</v>
      </c>
      <c r="C4" s="1" t="s">
        <v>601</v>
      </c>
      <c r="D4" s="1" t="s">
        <v>20</v>
      </c>
      <c r="F4" s="6" t="s">
        <v>18</v>
      </c>
      <c r="G4">
        <v>103</v>
      </c>
      <c r="H4" s="7">
        <v>0.18101933216168717</v>
      </c>
      <c r="J4" s="6" t="s">
        <v>600</v>
      </c>
      <c r="K4">
        <v>81</v>
      </c>
      <c r="L4" s="7">
        <v>0.14235500878734622</v>
      </c>
      <c r="N4" s="6" t="s">
        <v>602</v>
      </c>
      <c r="O4">
        <v>119</v>
      </c>
      <c r="P4" s="7">
        <v>0.20913884007029876</v>
      </c>
      <c r="R4" s="6" t="s">
        <v>20</v>
      </c>
      <c r="S4">
        <v>293</v>
      </c>
      <c r="T4" s="7">
        <v>0.51493848857644986</v>
      </c>
    </row>
    <row r="5" spans="1:20" x14ac:dyDescent="0.35">
      <c r="A5" s="1" t="s">
        <v>26</v>
      </c>
      <c r="B5" s="1" t="s">
        <v>598</v>
      </c>
      <c r="C5" s="1" t="s">
        <v>23</v>
      </c>
      <c r="D5" s="1" t="s">
        <v>28</v>
      </c>
      <c r="F5" s="6" t="s">
        <v>26</v>
      </c>
      <c r="G5">
        <v>212</v>
      </c>
      <c r="H5" s="7">
        <v>0.37258347978910367</v>
      </c>
      <c r="J5" s="6" t="s">
        <v>597</v>
      </c>
      <c r="K5">
        <v>246</v>
      </c>
      <c r="L5" s="7">
        <v>0.43233743409490333</v>
      </c>
      <c r="N5" s="6" t="s">
        <v>23</v>
      </c>
      <c r="O5">
        <v>415</v>
      </c>
      <c r="P5" s="7">
        <v>0.72934973637961331</v>
      </c>
      <c r="R5" s="6" t="s">
        <v>50</v>
      </c>
      <c r="S5">
        <v>130</v>
      </c>
      <c r="T5" s="7">
        <v>0.22847100175746923</v>
      </c>
    </row>
    <row r="6" spans="1:20" x14ac:dyDescent="0.35">
      <c r="A6" s="1" t="s">
        <v>2</v>
      </c>
      <c r="B6" s="1" t="s">
        <v>598</v>
      </c>
      <c r="C6" s="1" t="s">
        <v>23</v>
      </c>
      <c r="D6" s="1" t="s">
        <v>28</v>
      </c>
      <c r="F6" s="6" t="s">
        <v>2</v>
      </c>
      <c r="G6">
        <v>254</v>
      </c>
      <c r="H6" s="7">
        <v>0.44639718804920914</v>
      </c>
      <c r="J6" s="6" t="s">
        <v>598</v>
      </c>
      <c r="K6">
        <v>242</v>
      </c>
      <c r="L6" s="7">
        <v>0.42530755711775042</v>
      </c>
      <c r="N6" s="6" t="s">
        <v>601</v>
      </c>
      <c r="O6">
        <v>35</v>
      </c>
      <c r="P6" s="7">
        <v>6.1511423550087874E-2</v>
      </c>
      <c r="R6" s="6" t="s">
        <v>28</v>
      </c>
      <c r="S6">
        <v>146</v>
      </c>
      <c r="T6" s="7">
        <v>0.25659050966608082</v>
      </c>
    </row>
    <row r="7" spans="1:20" x14ac:dyDescent="0.35">
      <c r="A7" s="1" t="s">
        <v>2</v>
      </c>
      <c r="B7" s="1" t="s">
        <v>598</v>
      </c>
      <c r="C7" s="1" t="s">
        <v>23</v>
      </c>
      <c r="D7" s="1" t="s">
        <v>28</v>
      </c>
      <c r="F7" s="6" t="s">
        <v>604</v>
      </c>
      <c r="G7">
        <v>569</v>
      </c>
      <c r="H7" s="7">
        <v>1</v>
      </c>
      <c r="J7" s="6" t="s">
        <v>604</v>
      </c>
      <c r="K7">
        <v>569</v>
      </c>
      <c r="L7" s="7">
        <v>1</v>
      </c>
      <c r="N7" s="6" t="s">
        <v>604</v>
      </c>
      <c r="O7">
        <v>569</v>
      </c>
      <c r="P7" s="7">
        <v>1</v>
      </c>
      <c r="R7" s="6" t="s">
        <v>604</v>
      </c>
      <c r="S7">
        <v>569</v>
      </c>
      <c r="T7" s="7">
        <v>1</v>
      </c>
    </row>
    <row r="8" spans="1:20" x14ac:dyDescent="0.35">
      <c r="A8" s="1" t="s">
        <v>26</v>
      </c>
      <c r="B8" s="1" t="s">
        <v>598</v>
      </c>
      <c r="C8" s="1" t="s">
        <v>23</v>
      </c>
      <c r="D8" s="1" t="s">
        <v>28</v>
      </c>
    </row>
    <row r="9" spans="1:20" x14ac:dyDescent="0.35">
      <c r="A9" s="1" t="s">
        <v>2</v>
      </c>
      <c r="B9" s="1" t="s">
        <v>597</v>
      </c>
      <c r="C9" s="1" t="s">
        <v>23</v>
      </c>
      <c r="D9" s="1" t="s">
        <v>28</v>
      </c>
      <c r="F9" s="50" t="s">
        <v>629</v>
      </c>
      <c r="G9" s="50"/>
      <c r="H9" s="50"/>
      <c r="J9" s="50" t="s">
        <v>627</v>
      </c>
      <c r="K9" s="50"/>
      <c r="L9" s="50"/>
      <c r="N9" s="50" t="s">
        <v>628</v>
      </c>
      <c r="O9" s="50"/>
      <c r="P9" s="50"/>
      <c r="R9" s="50" t="s">
        <v>630</v>
      </c>
      <c r="S9" s="50"/>
      <c r="T9" s="50"/>
    </row>
    <row r="10" spans="1:20" x14ac:dyDescent="0.35">
      <c r="A10" s="1" t="s">
        <v>26</v>
      </c>
      <c r="B10" s="1" t="s">
        <v>597</v>
      </c>
      <c r="C10" s="1" t="s">
        <v>23</v>
      </c>
      <c r="D10" s="1" t="s">
        <v>50</v>
      </c>
      <c r="F10" s="50"/>
      <c r="G10" s="50"/>
      <c r="H10" s="50"/>
      <c r="J10" s="50"/>
      <c r="K10" s="50"/>
      <c r="L10" s="50"/>
      <c r="N10" s="50"/>
      <c r="O10" s="50"/>
      <c r="P10" s="50"/>
      <c r="R10" s="50"/>
      <c r="S10" s="50"/>
      <c r="T10" s="50"/>
    </row>
    <row r="11" spans="1:20" x14ac:dyDescent="0.35">
      <c r="A11" s="1" t="s">
        <v>26</v>
      </c>
      <c r="B11" s="1" t="s">
        <v>598</v>
      </c>
      <c r="C11" s="1" t="s">
        <v>602</v>
      </c>
      <c r="D11" s="1" t="s">
        <v>28</v>
      </c>
      <c r="F11" s="50"/>
      <c r="G11" s="50"/>
      <c r="H11" s="50"/>
      <c r="J11" s="50"/>
      <c r="K11" s="50"/>
      <c r="L11" s="50"/>
      <c r="N11" s="50"/>
      <c r="O11" s="50"/>
      <c r="P11" s="50"/>
      <c r="R11" s="50"/>
      <c r="S11" s="50"/>
      <c r="T11" s="50"/>
    </row>
    <row r="12" spans="1:20" x14ac:dyDescent="0.35">
      <c r="A12" s="1" t="s">
        <v>26</v>
      </c>
      <c r="B12" s="1" t="s">
        <v>598</v>
      </c>
      <c r="C12" s="1" t="s">
        <v>602</v>
      </c>
      <c r="D12" s="1" t="s">
        <v>28</v>
      </c>
      <c r="F12" s="50"/>
      <c r="G12" s="50"/>
      <c r="H12" s="50"/>
      <c r="J12" s="50"/>
      <c r="K12" s="50"/>
      <c r="L12" s="50"/>
      <c r="N12" s="50"/>
      <c r="O12" s="50"/>
      <c r="P12" s="50"/>
      <c r="R12" s="50"/>
      <c r="S12" s="50"/>
      <c r="T12" s="50"/>
    </row>
    <row r="13" spans="1:20" x14ac:dyDescent="0.35">
      <c r="A13" s="1" t="s">
        <v>2</v>
      </c>
      <c r="B13" s="1" t="s">
        <v>597</v>
      </c>
      <c r="C13" s="1" t="s">
        <v>23</v>
      </c>
      <c r="D13" s="1" t="s">
        <v>28</v>
      </c>
    </row>
    <row r="14" spans="1:20" x14ac:dyDescent="0.35">
      <c r="A14" s="1" t="s">
        <v>26</v>
      </c>
      <c r="B14" s="1" t="s">
        <v>598</v>
      </c>
      <c r="C14" s="1" t="s">
        <v>23</v>
      </c>
      <c r="D14" s="1" t="s">
        <v>50</v>
      </c>
    </row>
    <row r="15" spans="1:20" x14ac:dyDescent="0.35">
      <c r="A15" s="1" t="s">
        <v>26</v>
      </c>
      <c r="B15" s="1" t="s">
        <v>600</v>
      </c>
      <c r="C15" s="1" t="s">
        <v>23</v>
      </c>
      <c r="D15" s="1" t="s">
        <v>28</v>
      </c>
    </row>
    <row r="16" spans="1:20" x14ac:dyDescent="0.35">
      <c r="A16" s="1" t="s">
        <v>26</v>
      </c>
      <c r="B16" s="1" t="s">
        <v>598</v>
      </c>
      <c r="C16" s="1" t="s">
        <v>602</v>
      </c>
      <c r="D16" s="1" t="s">
        <v>20</v>
      </c>
    </row>
    <row r="17" spans="1:4" x14ac:dyDescent="0.35">
      <c r="A17" s="1" t="s">
        <v>26</v>
      </c>
      <c r="B17" s="1" t="s">
        <v>598</v>
      </c>
      <c r="C17" s="1" t="s">
        <v>602</v>
      </c>
      <c r="D17" s="1" t="s">
        <v>50</v>
      </c>
    </row>
    <row r="18" spans="1:4" x14ac:dyDescent="0.35">
      <c r="A18" s="1" t="s">
        <v>26</v>
      </c>
      <c r="B18" s="1" t="s">
        <v>597</v>
      </c>
      <c r="C18" s="1" t="s">
        <v>23</v>
      </c>
      <c r="D18" s="1" t="s">
        <v>50</v>
      </c>
    </row>
    <row r="19" spans="1:4" x14ac:dyDescent="0.35">
      <c r="A19" s="1" t="s">
        <v>26</v>
      </c>
      <c r="B19" s="1" t="s">
        <v>597</v>
      </c>
      <c r="C19" s="1" t="s">
        <v>23</v>
      </c>
      <c r="D19" s="1" t="s">
        <v>50</v>
      </c>
    </row>
    <row r="20" spans="1:4" x14ac:dyDescent="0.35">
      <c r="A20" s="1" t="s">
        <v>2</v>
      </c>
      <c r="B20" s="1" t="s">
        <v>598</v>
      </c>
      <c r="C20" s="1" t="s">
        <v>23</v>
      </c>
      <c r="D20" s="1" t="s">
        <v>28</v>
      </c>
    </row>
    <row r="21" spans="1:4" x14ac:dyDescent="0.35">
      <c r="A21" s="1" t="s">
        <v>2</v>
      </c>
      <c r="B21" s="1" t="s">
        <v>597</v>
      </c>
      <c r="C21" s="1" t="s">
        <v>23</v>
      </c>
      <c r="D21" s="1" t="s">
        <v>28</v>
      </c>
    </row>
    <row r="22" spans="1:4" x14ac:dyDescent="0.35">
      <c r="A22" s="1" t="s">
        <v>2</v>
      </c>
      <c r="B22" s="1" t="s">
        <v>598</v>
      </c>
      <c r="C22" s="1" t="s">
        <v>23</v>
      </c>
      <c r="D22" s="1" t="s">
        <v>28</v>
      </c>
    </row>
    <row r="23" spans="1:4" x14ac:dyDescent="0.35">
      <c r="A23" s="1" t="s">
        <v>18</v>
      </c>
      <c r="B23" s="1" t="s">
        <v>597</v>
      </c>
      <c r="C23" s="1" t="s">
        <v>602</v>
      </c>
      <c r="D23" s="1" t="s">
        <v>28</v>
      </c>
    </row>
    <row r="24" spans="1:4" x14ac:dyDescent="0.35">
      <c r="A24" s="1" t="s">
        <v>2</v>
      </c>
      <c r="B24" s="1" t="s">
        <v>598</v>
      </c>
      <c r="C24" s="1" t="s">
        <v>23</v>
      </c>
      <c r="D24" s="1" t="s">
        <v>20</v>
      </c>
    </row>
    <row r="25" spans="1:4" x14ac:dyDescent="0.35">
      <c r="A25" s="1" t="s">
        <v>2</v>
      </c>
      <c r="B25" s="1" t="s">
        <v>598</v>
      </c>
      <c r="C25" s="1" t="s">
        <v>602</v>
      </c>
      <c r="D25" s="1" t="s">
        <v>28</v>
      </c>
    </row>
    <row r="26" spans="1:4" x14ac:dyDescent="0.35">
      <c r="A26" s="1" t="s">
        <v>26</v>
      </c>
      <c r="B26" s="1" t="s">
        <v>598</v>
      </c>
      <c r="C26" s="1" t="s">
        <v>23</v>
      </c>
      <c r="D26" s="1" t="s">
        <v>20</v>
      </c>
    </row>
    <row r="27" spans="1:4" x14ac:dyDescent="0.35">
      <c r="A27" s="1" t="s">
        <v>2</v>
      </c>
      <c r="B27" s="1" t="s">
        <v>600</v>
      </c>
      <c r="C27" s="1" t="s">
        <v>23</v>
      </c>
      <c r="D27" s="1" t="s">
        <v>50</v>
      </c>
    </row>
    <row r="28" spans="1:4" x14ac:dyDescent="0.35">
      <c r="A28" s="1" t="s">
        <v>26</v>
      </c>
      <c r="B28" s="1" t="s">
        <v>598</v>
      </c>
      <c r="C28" s="1" t="s">
        <v>601</v>
      </c>
      <c r="D28" s="1" t="s">
        <v>28</v>
      </c>
    </row>
    <row r="29" spans="1:4" x14ac:dyDescent="0.35">
      <c r="A29" s="1" t="s">
        <v>26</v>
      </c>
      <c r="B29" s="1" t="s">
        <v>597</v>
      </c>
      <c r="C29" s="1" t="s">
        <v>23</v>
      </c>
      <c r="D29" s="1" t="s">
        <v>28</v>
      </c>
    </row>
    <row r="30" spans="1:4" x14ac:dyDescent="0.35">
      <c r="A30" s="1" t="s">
        <v>18</v>
      </c>
      <c r="B30" s="1" t="s">
        <v>597</v>
      </c>
      <c r="C30" s="1" t="s">
        <v>23</v>
      </c>
      <c r="D30" s="1" t="s">
        <v>50</v>
      </c>
    </row>
    <row r="31" spans="1:4" x14ac:dyDescent="0.35">
      <c r="A31" s="1" t="s">
        <v>2</v>
      </c>
      <c r="B31" s="1" t="s">
        <v>598</v>
      </c>
      <c r="C31" s="1" t="s">
        <v>23</v>
      </c>
      <c r="D31" s="1" t="s">
        <v>28</v>
      </c>
    </row>
    <row r="32" spans="1:4" x14ac:dyDescent="0.35">
      <c r="A32" s="1" t="s">
        <v>26</v>
      </c>
      <c r="B32" s="1" t="s">
        <v>597</v>
      </c>
      <c r="C32" s="1" t="s">
        <v>23</v>
      </c>
      <c r="D32" s="1" t="s">
        <v>20</v>
      </c>
    </row>
    <row r="33" spans="1:4" x14ac:dyDescent="0.35">
      <c r="A33" s="1" t="s">
        <v>26</v>
      </c>
      <c r="B33" s="1" t="s">
        <v>600</v>
      </c>
      <c r="C33" s="1" t="s">
        <v>23</v>
      </c>
      <c r="D33" s="1" t="s">
        <v>28</v>
      </c>
    </row>
    <row r="34" spans="1:4" x14ac:dyDescent="0.35">
      <c r="A34" s="1" t="s">
        <v>26</v>
      </c>
      <c r="B34" s="1" t="s">
        <v>597</v>
      </c>
      <c r="C34" s="1" t="s">
        <v>23</v>
      </c>
      <c r="D34" s="1" t="s">
        <v>50</v>
      </c>
    </row>
    <row r="35" spans="1:4" x14ac:dyDescent="0.35">
      <c r="A35" s="1" t="s">
        <v>2</v>
      </c>
      <c r="B35" s="1" t="s">
        <v>597</v>
      </c>
      <c r="C35" s="1" t="s">
        <v>23</v>
      </c>
      <c r="D35" s="1" t="s">
        <v>28</v>
      </c>
    </row>
    <row r="36" spans="1:4" x14ac:dyDescent="0.35">
      <c r="A36" s="1" t="s">
        <v>26</v>
      </c>
      <c r="B36" s="1" t="s">
        <v>600</v>
      </c>
      <c r="C36" s="1" t="s">
        <v>23</v>
      </c>
      <c r="D36" s="1" t="s">
        <v>20</v>
      </c>
    </row>
    <row r="37" spans="1:4" x14ac:dyDescent="0.35">
      <c r="A37" s="1" t="s">
        <v>26</v>
      </c>
      <c r="B37" s="1" t="s">
        <v>597</v>
      </c>
      <c r="C37" s="1" t="s">
        <v>23</v>
      </c>
      <c r="D37" s="1" t="s">
        <v>50</v>
      </c>
    </row>
    <row r="38" spans="1:4" x14ac:dyDescent="0.35">
      <c r="A38" s="1" t="s">
        <v>2</v>
      </c>
      <c r="B38" s="1" t="s">
        <v>598</v>
      </c>
      <c r="C38" s="1" t="s">
        <v>23</v>
      </c>
      <c r="D38" s="1" t="s">
        <v>28</v>
      </c>
    </row>
    <row r="39" spans="1:4" x14ac:dyDescent="0.35">
      <c r="A39" s="1" t="s">
        <v>18</v>
      </c>
      <c r="B39" s="1" t="s">
        <v>600</v>
      </c>
      <c r="C39" s="1" t="s">
        <v>23</v>
      </c>
      <c r="D39" s="1" t="s">
        <v>28</v>
      </c>
    </row>
    <row r="40" spans="1:4" x14ac:dyDescent="0.35">
      <c r="A40" s="1" t="s">
        <v>18</v>
      </c>
      <c r="B40" s="1" t="s">
        <v>598</v>
      </c>
      <c r="C40" s="1" t="s">
        <v>23</v>
      </c>
      <c r="D40" s="1" t="s">
        <v>28</v>
      </c>
    </row>
    <row r="41" spans="1:4" x14ac:dyDescent="0.35">
      <c r="A41" s="1" t="s">
        <v>2</v>
      </c>
      <c r="B41" s="1" t="s">
        <v>597</v>
      </c>
      <c r="C41" s="1" t="s">
        <v>602</v>
      </c>
      <c r="D41" s="1" t="s">
        <v>50</v>
      </c>
    </row>
    <row r="42" spans="1:4" x14ac:dyDescent="0.35">
      <c r="A42" s="1" t="s">
        <v>26</v>
      </c>
      <c r="B42" s="1" t="s">
        <v>598</v>
      </c>
      <c r="C42" s="1" t="s">
        <v>23</v>
      </c>
      <c r="D42" s="1" t="s">
        <v>28</v>
      </c>
    </row>
    <row r="43" spans="1:4" x14ac:dyDescent="0.35">
      <c r="A43" s="1" t="s">
        <v>2</v>
      </c>
      <c r="B43" s="1" t="s">
        <v>598</v>
      </c>
      <c r="C43" s="1" t="s">
        <v>23</v>
      </c>
      <c r="D43" s="1" t="s">
        <v>28</v>
      </c>
    </row>
    <row r="44" spans="1:4" x14ac:dyDescent="0.35">
      <c r="A44" s="1" t="s">
        <v>2</v>
      </c>
      <c r="B44" s="1" t="s">
        <v>597</v>
      </c>
      <c r="C44" s="1" t="s">
        <v>23</v>
      </c>
      <c r="D44" s="1" t="s">
        <v>28</v>
      </c>
    </row>
    <row r="45" spans="1:4" x14ac:dyDescent="0.35">
      <c r="A45" s="1" t="s">
        <v>26</v>
      </c>
      <c r="B45" s="1" t="s">
        <v>597</v>
      </c>
      <c r="C45" s="1" t="s">
        <v>23</v>
      </c>
      <c r="D45" s="1" t="s">
        <v>28</v>
      </c>
    </row>
    <row r="46" spans="1:4" x14ac:dyDescent="0.35">
      <c r="A46" s="1" t="s">
        <v>26</v>
      </c>
      <c r="B46" s="1" t="s">
        <v>598</v>
      </c>
      <c r="C46" s="1" t="s">
        <v>23</v>
      </c>
      <c r="D46" s="1" t="s">
        <v>20</v>
      </c>
    </row>
    <row r="47" spans="1:4" x14ac:dyDescent="0.35">
      <c r="A47" s="1" t="s">
        <v>2</v>
      </c>
      <c r="B47" s="1" t="s">
        <v>600</v>
      </c>
      <c r="C47" s="1" t="s">
        <v>23</v>
      </c>
      <c r="D47" s="1" t="s">
        <v>28</v>
      </c>
    </row>
    <row r="48" spans="1:4" x14ac:dyDescent="0.35">
      <c r="A48" s="1" t="s">
        <v>18</v>
      </c>
      <c r="B48" s="1" t="s">
        <v>600</v>
      </c>
      <c r="C48" s="1" t="s">
        <v>23</v>
      </c>
      <c r="D48" s="1" t="s">
        <v>50</v>
      </c>
    </row>
    <row r="49" spans="1:4" x14ac:dyDescent="0.35">
      <c r="A49" s="1" t="s">
        <v>2</v>
      </c>
      <c r="B49" s="1" t="s">
        <v>598</v>
      </c>
      <c r="C49" s="1" t="s">
        <v>23</v>
      </c>
      <c r="D49" s="1" t="s">
        <v>50</v>
      </c>
    </row>
    <row r="50" spans="1:4" x14ac:dyDescent="0.35">
      <c r="A50" s="1" t="s">
        <v>26</v>
      </c>
      <c r="B50" s="1" t="s">
        <v>598</v>
      </c>
      <c r="C50" s="1" t="s">
        <v>23</v>
      </c>
      <c r="D50" s="1" t="s">
        <v>28</v>
      </c>
    </row>
    <row r="51" spans="1:4" x14ac:dyDescent="0.35">
      <c r="A51" s="1" t="s">
        <v>2</v>
      </c>
      <c r="B51" s="1" t="s">
        <v>597</v>
      </c>
      <c r="C51" s="1" t="s">
        <v>23</v>
      </c>
      <c r="D51" s="1" t="s">
        <v>28</v>
      </c>
    </row>
    <row r="52" spans="1:4" x14ac:dyDescent="0.35">
      <c r="A52" s="1" t="s">
        <v>26</v>
      </c>
      <c r="B52" s="1" t="s">
        <v>598</v>
      </c>
      <c r="C52" s="1" t="s">
        <v>602</v>
      </c>
      <c r="D52" s="1" t="s">
        <v>20</v>
      </c>
    </row>
    <row r="53" spans="1:4" x14ac:dyDescent="0.35">
      <c r="A53" s="1" t="s">
        <v>2</v>
      </c>
      <c r="B53" s="1" t="s">
        <v>597</v>
      </c>
      <c r="C53" s="1" t="s">
        <v>23</v>
      </c>
      <c r="D53" s="1" t="s">
        <v>28</v>
      </c>
    </row>
    <row r="54" spans="1:4" x14ac:dyDescent="0.35">
      <c r="A54" s="1" t="s">
        <v>26</v>
      </c>
      <c r="B54" s="1" t="s">
        <v>597</v>
      </c>
      <c r="C54" s="1" t="s">
        <v>602</v>
      </c>
      <c r="D54" s="1" t="s">
        <v>50</v>
      </c>
    </row>
    <row r="55" spans="1:4" x14ac:dyDescent="0.35">
      <c r="A55" s="1" t="s">
        <v>26</v>
      </c>
      <c r="B55" s="1" t="s">
        <v>597</v>
      </c>
      <c r="C55" s="1" t="s">
        <v>602</v>
      </c>
      <c r="D55" s="1" t="s">
        <v>50</v>
      </c>
    </row>
    <row r="56" spans="1:4" x14ac:dyDescent="0.35">
      <c r="A56" s="1" t="s">
        <v>26</v>
      </c>
      <c r="B56" s="1" t="s">
        <v>597</v>
      </c>
      <c r="C56" s="1" t="s">
        <v>602</v>
      </c>
      <c r="D56" s="1" t="s">
        <v>50</v>
      </c>
    </row>
    <row r="57" spans="1:4" x14ac:dyDescent="0.35">
      <c r="A57" s="1" t="s">
        <v>2</v>
      </c>
      <c r="B57" s="1" t="s">
        <v>597</v>
      </c>
      <c r="C57" s="1" t="s">
        <v>602</v>
      </c>
      <c r="D57" s="1" t="s">
        <v>20</v>
      </c>
    </row>
    <row r="58" spans="1:4" x14ac:dyDescent="0.35">
      <c r="A58" s="1" t="s">
        <v>2</v>
      </c>
      <c r="B58" s="1" t="s">
        <v>597</v>
      </c>
      <c r="C58" s="1" t="s">
        <v>23</v>
      </c>
      <c r="D58" s="1" t="s">
        <v>20</v>
      </c>
    </row>
    <row r="59" spans="1:4" x14ac:dyDescent="0.35">
      <c r="A59" s="1" t="s">
        <v>2</v>
      </c>
      <c r="B59" s="1" t="s">
        <v>598</v>
      </c>
      <c r="C59" s="1" t="s">
        <v>23</v>
      </c>
      <c r="D59" s="1" t="s">
        <v>28</v>
      </c>
    </row>
    <row r="60" spans="1:4" x14ac:dyDescent="0.35">
      <c r="A60" s="1" t="s">
        <v>2</v>
      </c>
      <c r="B60" s="1" t="s">
        <v>598</v>
      </c>
      <c r="C60" s="1" t="s">
        <v>23</v>
      </c>
      <c r="D60" s="1" t="s">
        <v>50</v>
      </c>
    </row>
    <row r="61" spans="1:4" x14ac:dyDescent="0.35">
      <c r="A61" s="1" t="s">
        <v>26</v>
      </c>
      <c r="B61" s="1" t="s">
        <v>597</v>
      </c>
      <c r="C61" s="1" t="s">
        <v>23</v>
      </c>
      <c r="D61" s="1" t="s">
        <v>50</v>
      </c>
    </row>
    <row r="62" spans="1:4" x14ac:dyDescent="0.35">
      <c r="A62" s="1" t="s">
        <v>2</v>
      </c>
      <c r="B62" s="1" t="s">
        <v>597</v>
      </c>
      <c r="C62" s="1" t="s">
        <v>23</v>
      </c>
      <c r="D62" s="1" t="s">
        <v>28</v>
      </c>
    </row>
    <row r="63" spans="1:4" x14ac:dyDescent="0.35">
      <c r="A63" s="1" t="s">
        <v>2</v>
      </c>
      <c r="B63" s="1" t="s">
        <v>597</v>
      </c>
      <c r="C63" s="1" t="s">
        <v>23</v>
      </c>
      <c r="D63" s="1" t="s">
        <v>50</v>
      </c>
    </row>
    <row r="64" spans="1:4" x14ac:dyDescent="0.35">
      <c r="A64" s="1" t="s">
        <v>26</v>
      </c>
      <c r="B64" s="1" t="s">
        <v>597</v>
      </c>
      <c r="C64" s="1" t="s">
        <v>23</v>
      </c>
      <c r="D64" s="1" t="s">
        <v>20</v>
      </c>
    </row>
    <row r="65" spans="1:4" x14ac:dyDescent="0.35">
      <c r="A65" s="1" t="s">
        <v>26</v>
      </c>
      <c r="B65" s="1" t="s">
        <v>597</v>
      </c>
      <c r="C65" s="1" t="s">
        <v>602</v>
      </c>
      <c r="D65" s="1" t="s">
        <v>28</v>
      </c>
    </row>
    <row r="66" spans="1:4" x14ac:dyDescent="0.35">
      <c r="A66" s="1" t="s">
        <v>2</v>
      </c>
      <c r="B66" s="1" t="s">
        <v>598</v>
      </c>
      <c r="C66" s="1" t="s">
        <v>23</v>
      </c>
      <c r="D66" s="1" t="s">
        <v>28</v>
      </c>
    </row>
    <row r="67" spans="1:4" x14ac:dyDescent="0.35">
      <c r="A67" s="1" t="s">
        <v>2</v>
      </c>
      <c r="B67" s="1" t="s">
        <v>597</v>
      </c>
      <c r="C67" s="1" t="s">
        <v>23</v>
      </c>
      <c r="D67" s="1" t="s">
        <v>28</v>
      </c>
    </row>
    <row r="68" spans="1:4" x14ac:dyDescent="0.35">
      <c r="A68" s="1" t="s">
        <v>26</v>
      </c>
      <c r="B68" s="1" t="s">
        <v>600</v>
      </c>
      <c r="C68" s="1" t="s">
        <v>23</v>
      </c>
      <c r="D68" s="1" t="s">
        <v>20</v>
      </c>
    </row>
    <row r="69" spans="1:4" x14ac:dyDescent="0.35">
      <c r="A69" s="1" t="s">
        <v>2</v>
      </c>
      <c r="B69" s="1" t="s">
        <v>598</v>
      </c>
      <c r="C69" s="1" t="s">
        <v>601</v>
      </c>
      <c r="D69" s="1" t="s">
        <v>28</v>
      </c>
    </row>
    <row r="70" spans="1:4" x14ac:dyDescent="0.35">
      <c r="A70" s="1" t="s">
        <v>26</v>
      </c>
      <c r="B70" s="1" t="s">
        <v>597</v>
      </c>
      <c r="C70" s="1" t="s">
        <v>23</v>
      </c>
      <c r="D70" s="1" t="s">
        <v>28</v>
      </c>
    </row>
    <row r="71" spans="1:4" x14ac:dyDescent="0.35">
      <c r="A71" s="1" t="s">
        <v>26</v>
      </c>
      <c r="B71" s="1" t="s">
        <v>598</v>
      </c>
      <c r="C71" s="1" t="s">
        <v>23</v>
      </c>
      <c r="D71" s="1" t="s">
        <v>28</v>
      </c>
    </row>
    <row r="72" spans="1:4" x14ac:dyDescent="0.35">
      <c r="A72" s="1" t="s">
        <v>2</v>
      </c>
      <c r="B72" s="1" t="s">
        <v>597</v>
      </c>
      <c r="C72" s="1" t="s">
        <v>601</v>
      </c>
      <c r="D72" s="1" t="s">
        <v>20</v>
      </c>
    </row>
    <row r="73" spans="1:4" x14ac:dyDescent="0.35">
      <c r="A73" s="1" t="s">
        <v>2</v>
      </c>
      <c r="B73" s="1" t="s">
        <v>598</v>
      </c>
      <c r="C73" s="1" t="s">
        <v>23</v>
      </c>
      <c r="D73" s="1" t="s">
        <v>20</v>
      </c>
    </row>
    <row r="74" spans="1:4" x14ac:dyDescent="0.35">
      <c r="A74" s="1" t="s">
        <v>26</v>
      </c>
      <c r="B74" s="1" t="s">
        <v>598</v>
      </c>
      <c r="C74" s="1" t="s">
        <v>23</v>
      </c>
      <c r="D74" s="1" t="s">
        <v>50</v>
      </c>
    </row>
    <row r="75" spans="1:4" x14ac:dyDescent="0.35">
      <c r="A75" s="1" t="s">
        <v>2</v>
      </c>
      <c r="B75" s="1" t="s">
        <v>598</v>
      </c>
      <c r="C75" s="1" t="s">
        <v>23</v>
      </c>
      <c r="D75" s="1" t="s">
        <v>20</v>
      </c>
    </row>
    <row r="76" spans="1:4" x14ac:dyDescent="0.35">
      <c r="A76" s="1" t="s">
        <v>2</v>
      </c>
      <c r="B76" s="1" t="s">
        <v>598</v>
      </c>
      <c r="C76" s="1" t="s">
        <v>23</v>
      </c>
      <c r="D76" s="1" t="s">
        <v>20</v>
      </c>
    </row>
    <row r="77" spans="1:4" x14ac:dyDescent="0.35">
      <c r="A77" s="1" t="s">
        <v>2</v>
      </c>
      <c r="B77" s="1" t="s">
        <v>600</v>
      </c>
      <c r="C77" s="1" t="s">
        <v>23</v>
      </c>
      <c r="D77" s="1" t="s">
        <v>20</v>
      </c>
    </row>
    <row r="78" spans="1:4" x14ac:dyDescent="0.35">
      <c r="A78" s="1" t="s">
        <v>2</v>
      </c>
      <c r="B78" s="1" t="s">
        <v>598</v>
      </c>
      <c r="C78" s="1" t="s">
        <v>602</v>
      </c>
      <c r="D78" s="1" t="s">
        <v>28</v>
      </c>
    </row>
    <row r="79" spans="1:4" x14ac:dyDescent="0.35">
      <c r="A79" s="1" t="s">
        <v>26</v>
      </c>
      <c r="B79" s="1" t="s">
        <v>597</v>
      </c>
      <c r="C79" s="1" t="s">
        <v>23</v>
      </c>
      <c r="D79" s="1" t="s">
        <v>28</v>
      </c>
    </row>
    <row r="80" spans="1:4" x14ac:dyDescent="0.35">
      <c r="A80" s="1" t="s">
        <v>26</v>
      </c>
      <c r="B80" s="1" t="s">
        <v>600</v>
      </c>
      <c r="C80" s="1" t="s">
        <v>602</v>
      </c>
      <c r="D80" s="1" t="s">
        <v>50</v>
      </c>
    </row>
    <row r="81" spans="1:4" x14ac:dyDescent="0.35">
      <c r="A81" s="1" t="s">
        <v>2</v>
      </c>
      <c r="B81" s="1" t="s">
        <v>597</v>
      </c>
      <c r="C81" s="1" t="s">
        <v>602</v>
      </c>
      <c r="D81" s="1" t="s">
        <v>28</v>
      </c>
    </row>
    <row r="82" spans="1:4" x14ac:dyDescent="0.35">
      <c r="A82" s="1" t="s">
        <v>2</v>
      </c>
      <c r="B82" s="1" t="s">
        <v>597</v>
      </c>
      <c r="C82" s="1" t="s">
        <v>602</v>
      </c>
      <c r="D82" s="1" t="s">
        <v>50</v>
      </c>
    </row>
    <row r="83" spans="1:4" x14ac:dyDescent="0.35">
      <c r="A83" s="1" t="s">
        <v>2</v>
      </c>
      <c r="B83" s="1" t="s">
        <v>597</v>
      </c>
      <c r="C83" s="1" t="s">
        <v>23</v>
      </c>
      <c r="D83" s="1" t="s">
        <v>28</v>
      </c>
    </row>
    <row r="84" spans="1:4" x14ac:dyDescent="0.35">
      <c r="A84" s="1" t="s">
        <v>2</v>
      </c>
      <c r="B84" s="1" t="s">
        <v>597</v>
      </c>
      <c r="C84" s="1" t="s">
        <v>23</v>
      </c>
      <c r="D84" s="1" t="s">
        <v>50</v>
      </c>
    </row>
    <row r="85" spans="1:4" x14ac:dyDescent="0.35">
      <c r="A85" s="1" t="s">
        <v>2</v>
      </c>
      <c r="B85" s="1" t="s">
        <v>597</v>
      </c>
      <c r="C85" s="1" t="s">
        <v>23</v>
      </c>
      <c r="D85" s="1" t="s">
        <v>50</v>
      </c>
    </row>
    <row r="86" spans="1:4" x14ac:dyDescent="0.35">
      <c r="A86" s="1" t="s">
        <v>2</v>
      </c>
      <c r="B86" s="1" t="s">
        <v>597</v>
      </c>
      <c r="C86" s="1" t="s">
        <v>602</v>
      </c>
      <c r="D86" s="1" t="s">
        <v>20</v>
      </c>
    </row>
    <row r="87" spans="1:4" x14ac:dyDescent="0.35">
      <c r="A87" s="1" t="s">
        <v>2</v>
      </c>
      <c r="B87" s="1" t="s">
        <v>597</v>
      </c>
      <c r="C87" s="1" t="s">
        <v>23</v>
      </c>
      <c r="D87" s="1" t="s">
        <v>20</v>
      </c>
    </row>
    <row r="88" spans="1:4" x14ac:dyDescent="0.35">
      <c r="A88" s="1" t="s">
        <v>26</v>
      </c>
      <c r="B88" s="1" t="s">
        <v>598</v>
      </c>
      <c r="C88" s="1" t="s">
        <v>23</v>
      </c>
      <c r="D88" s="1" t="s">
        <v>50</v>
      </c>
    </row>
    <row r="89" spans="1:4" x14ac:dyDescent="0.35">
      <c r="A89" s="1" t="s">
        <v>2</v>
      </c>
      <c r="B89" s="1" t="s">
        <v>597</v>
      </c>
      <c r="C89" s="1" t="s">
        <v>23</v>
      </c>
      <c r="D89" s="1" t="s">
        <v>50</v>
      </c>
    </row>
    <row r="90" spans="1:4" x14ac:dyDescent="0.35">
      <c r="A90" s="1" t="s">
        <v>2</v>
      </c>
      <c r="B90" s="1" t="s">
        <v>597</v>
      </c>
      <c r="C90" s="1" t="s">
        <v>23</v>
      </c>
      <c r="D90" s="1" t="s">
        <v>28</v>
      </c>
    </row>
    <row r="91" spans="1:4" x14ac:dyDescent="0.35">
      <c r="A91" s="1" t="s">
        <v>18</v>
      </c>
      <c r="B91" s="1" t="s">
        <v>600</v>
      </c>
      <c r="C91" s="1" t="s">
        <v>602</v>
      </c>
      <c r="D91" s="1" t="s">
        <v>20</v>
      </c>
    </row>
    <row r="92" spans="1:4" x14ac:dyDescent="0.35">
      <c r="A92" s="1" t="s">
        <v>26</v>
      </c>
      <c r="B92" s="1" t="s">
        <v>597</v>
      </c>
      <c r="C92" s="1" t="s">
        <v>23</v>
      </c>
      <c r="D92" s="1" t="s">
        <v>20</v>
      </c>
    </row>
    <row r="93" spans="1:4" x14ac:dyDescent="0.35">
      <c r="A93" s="1" t="s">
        <v>2</v>
      </c>
      <c r="B93" s="1" t="s">
        <v>597</v>
      </c>
      <c r="C93" s="1" t="s">
        <v>23</v>
      </c>
      <c r="D93" s="1" t="s">
        <v>20</v>
      </c>
    </row>
    <row r="94" spans="1:4" x14ac:dyDescent="0.35">
      <c r="A94" s="1" t="s">
        <v>2</v>
      </c>
      <c r="B94" s="1" t="s">
        <v>597</v>
      </c>
      <c r="C94" s="1" t="s">
        <v>23</v>
      </c>
      <c r="D94" s="1" t="s">
        <v>20</v>
      </c>
    </row>
    <row r="95" spans="1:4" x14ac:dyDescent="0.35">
      <c r="A95" s="1" t="s">
        <v>2</v>
      </c>
      <c r="B95" s="1" t="s">
        <v>597</v>
      </c>
      <c r="C95" s="1" t="s">
        <v>23</v>
      </c>
      <c r="D95" s="1" t="s">
        <v>20</v>
      </c>
    </row>
    <row r="96" spans="1:4" x14ac:dyDescent="0.35">
      <c r="A96" s="1" t="s">
        <v>2</v>
      </c>
      <c r="B96" s="1" t="s">
        <v>598</v>
      </c>
      <c r="C96" s="1" t="s">
        <v>23</v>
      </c>
      <c r="D96" s="1" t="s">
        <v>20</v>
      </c>
    </row>
    <row r="97" spans="1:4" x14ac:dyDescent="0.35">
      <c r="A97" s="1" t="s">
        <v>18</v>
      </c>
      <c r="B97" s="1" t="s">
        <v>598</v>
      </c>
      <c r="C97" s="1" t="s">
        <v>602</v>
      </c>
      <c r="D97" s="1" t="s">
        <v>20</v>
      </c>
    </row>
    <row r="98" spans="1:4" x14ac:dyDescent="0.35">
      <c r="A98" s="1" t="s">
        <v>2</v>
      </c>
      <c r="B98" s="1" t="s">
        <v>597</v>
      </c>
      <c r="C98" s="1" t="s">
        <v>23</v>
      </c>
      <c r="D98" s="1" t="s">
        <v>20</v>
      </c>
    </row>
    <row r="99" spans="1:4" x14ac:dyDescent="0.35">
      <c r="A99" s="1" t="s">
        <v>18</v>
      </c>
      <c r="B99" s="1" t="s">
        <v>598</v>
      </c>
      <c r="C99" s="1" t="s">
        <v>602</v>
      </c>
      <c r="D99" s="1" t="s">
        <v>50</v>
      </c>
    </row>
    <row r="100" spans="1:4" x14ac:dyDescent="0.35">
      <c r="A100" s="1" t="s">
        <v>2</v>
      </c>
      <c r="B100" s="1" t="s">
        <v>597</v>
      </c>
      <c r="C100" s="1" t="s">
        <v>23</v>
      </c>
      <c r="D100" s="1" t="s">
        <v>50</v>
      </c>
    </row>
    <row r="101" spans="1:4" x14ac:dyDescent="0.35">
      <c r="A101" s="1" t="s">
        <v>2</v>
      </c>
      <c r="B101" s="1" t="s">
        <v>598</v>
      </c>
      <c r="C101" s="1" t="s">
        <v>23</v>
      </c>
      <c r="D101" s="1" t="s">
        <v>28</v>
      </c>
    </row>
    <row r="102" spans="1:4" x14ac:dyDescent="0.35">
      <c r="A102" s="1" t="s">
        <v>2</v>
      </c>
      <c r="B102" s="1" t="s">
        <v>598</v>
      </c>
      <c r="C102" s="1" t="s">
        <v>601</v>
      </c>
      <c r="D102" s="1" t="s">
        <v>28</v>
      </c>
    </row>
    <row r="103" spans="1:4" x14ac:dyDescent="0.35">
      <c r="A103" s="1" t="s">
        <v>26</v>
      </c>
      <c r="B103" s="1" t="s">
        <v>600</v>
      </c>
      <c r="C103" s="1" t="s">
        <v>23</v>
      </c>
      <c r="D103" s="1" t="s">
        <v>50</v>
      </c>
    </row>
    <row r="104" spans="1:4" x14ac:dyDescent="0.35">
      <c r="A104" s="1" t="s">
        <v>26</v>
      </c>
      <c r="B104" s="1" t="s">
        <v>597</v>
      </c>
      <c r="C104" s="1" t="s">
        <v>601</v>
      </c>
      <c r="D104" s="1" t="s">
        <v>28</v>
      </c>
    </row>
    <row r="105" spans="1:4" x14ac:dyDescent="0.35">
      <c r="A105" s="1" t="s">
        <v>26</v>
      </c>
      <c r="B105" s="1" t="s">
        <v>600</v>
      </c>
      <c r="C105" s="1" t="s">
        <v>23</v>
      </c>
      <c r="D105" s="1" t="s">
        <v>20</v>
      </c>
    </row>
    <row r="106" spans="1:4" x14ac:dyDescent="0.35">
      <c r="A106" s="1" t="s">
        <v>2</v>
      </c>
      <c r="B106" s="1" t="s">
        <v>598</v>
      </c>
      <c r="C106" s="1" t="s">
        <v>23</v>
      </c>
      <c r="D106" s="1" t="s">
        <v>28</v>
      </c>
    </row>
    <row r="107" spans="1:4" x14ac:dyDescent="0.35">
      <c r="A107" s="1" t="s">
        <v>2</v>
      </c>
      <c r="B107" s="1" t="s">
        <v>597</v>
      </c>
      <c r="C107" s="1" t="s">
        <v>23</v>
      </c>
      <c r="D107" s="1" t="s">
        <v>28</v>
      </c>
    </row>
    <row r="108" spans="1:4" x14ac:dyDescent="0.35">
      <c r="A108" s="1" t="s">
        <v>18</v>
      </c>
      <c r="B108" s="1" t="s">
        <v>597</v>
      </c>
      <c r="C108" s="1" t="s">
        <v>23</v>
      </c>
      <c r="D108" s="1" t="s">
        <v>20</v>
      </c>
    </row>
    <row r="109" spans="1:4" x14ac:dyDescent="0.35">
      <c r="A109" s="1" t="s">
        <v>26</v>
      </c>
      <c r="B109" s="1" t="s">
        <v>598</v>
      </c>
      <c r="C109" s="1" t="s">
        <v>23</v>
      </c>
      <c r="D109" s="1" t="s">
        <v>28</v>
      </c>
    </row>
    <row r="110" spans="1:4" x14ac:dyDescent="0.35">
      <c r="A110" s="1" t="s">
        <v>2</v>
      </c>
      <c r="B110" s="1" t="s">
        <v>597</v>
      </c>
      <c r="C110" s="1" t="s">
        <v>602</v>
      </c>
      <c r="D110" s="1" t="s">
        <v>20</v>
      </c>
    </row>
    <row r="111" spans="1:4" x14ac:dyDescent="0.35">
      <c r="A111" s="1" t="s">
        <v>2</v>
      </c>
      <c r="B111" s="1" t="s">
        <v>600</v>
      </c>
      <c r="C111" s="1" t="s">
        <v>23</v>
      </c>
      <c r="D111" s="1" t="s">
        <v>28</v>
      </c>
    </row>
    <row r="112" spans="1:4" x14ac:dyDescent="0.35">
      <c r="A112" s="1" t="s">
        <v>2</v>
      </c>
      <c r="B112" s="1" t="s">
        <v>600</v>
      </c>
      <c r="C112" s="1" t="s">
        <v>602</v>
      </c>
      <c r="D112" s="1" t="s">
        <v>50</v>
      </c>
    </row>
    <row r="113" spans="1:4" x14ac:dyDescent="0.35">
      <c r="A113" s="1" t="s">
        <v>2</v>
      </c>
      <c r="B113" s="1" t="s">
        <v>598</v>
      </c>
      <c r="C113" s="1" t="s">
        <v>23</v>
      </c>
      <c r="D113" s="1" t="s">
        <v>50</v>
      </c>
    </row>
    <row r="114" spans="1:4" x14ac:dyDescent="0.35">
      <c r="A114" s="1" t="s">
        <v>26</v>
      </c>
      <c r="B114" s="1" t="s">
        <v>597</v>
      </c>
      <c r="C114" s="1" t="s">
        <v>23</v>
      </c>
      <c r="D114" s="1" t="s">
        <v>28</v>
      </c>
    </row>
    <row r="115" spans="1:4" x14ac:dyDescent="0.35">
      <c r="A115" s="1" t="s">
        <v>26</v>
      </c>
      <c r="B115" s="1" t="s">
        <v>598</v>
      </c>
      <c r="C115" s="1" t="s">
        <v>23</v>
      </c>
      <c r="D115" s="1" t="s">
        <v>50</v>
      </c>
    </row>
    <row r="116" spans="1:4" x14ac:dyDescent="0.35">
      <c r="A116" s="1" t="s">
        <v>26</v>
      </c>
      <c r="B116" s="1" t="s">
        <v>600</v>
      </c>
      <c r="C116" s="1" t="s">
        <v>23</v>
      </c>
      <c r="D116" s="1" t="s">
        <v>28</v>
      </c>
    </row>
    <row r="117" spans="1:4" x14ac:dyDescent="0.35">
      <c r="A117" s="1" t="s">
        <v>2</v>
      </c>
      <c r="B117" s="1" t="s">
        <v>598</v>
      </c>
      <c r="C117" s="1" t="s">
        <v>23</v>
      </c>
      <c r="D117" s="1" t="s">
        <v>28</v>
      </c>
    </row>
    <row r="118" spans="1:4" x14ac:dyDescent="0.35">
      <c r="A118" s="1" t="s">
        <v>18</v>
      </c>
      <c r="B118" s="1" t="s">
        <v>598</v>
      </c>
      <c r="C118" s="1" t="s">
        <v>23</v>
      </c>
      <c r="D118" s="1" t="s">
        <v>28</v>
      </c>
    </row>
    <row r="119" spans="1:4" x14ac:dyDescent="0.35">
      <c r="A119" s="1" t="s">
        <v>18</v>
      </c>
      <c r="B119" s="1" t="s">
        <v>597</v>
      </c>
      <c r="C119" s="1" t="s">
        <v>602</v>
      </c>
      <c r="D119" s="1" t="s">
        <v>50</v>
      </c>
    </row>
    <row r="120" spans="1:4" x14ac:dyDescent="0.35">
      <c r="A120" s="1" t="s">
        <v>2</v>
      </c>
      <c r="B120" s="1" t="s">
        <v>598</v>
      </c>
      <c r="C120" s="1" t="s">
        <v>23</v>
      </c>
      <c r="D120" s="1" t="s">
        <v>50</v>
      </c>
    </row>
    <row r="121" spans="1:4" x14ac:dyDescent="0.35">
      <c r="A121" s="1" t="s">
        <v>26</v>
      </c>
      <c r="B121" s="1" t="s">
        <v>598</v>
      </c>
      <c r="C121" s="1" t="s">
        <v>23</v>
      </c>
      <c r="D121" s="1" t="s">
        <v>20</v>
      </c>
    </row>
    <row r="122" spans="1:4" x14ac:dyDescent="0.35">
      <c r="A122" s="1" t="s">
        <v>18</v>
      </c>
      <c r="B122" s="1" t="s">
        <v>598</v>
      </c>
      <c r="C122" s="1" t="s">
        <v>602</v>
      </c>
      <c r="D122" s="1" t="s">
        <v>28</v>
      </c>
    </row>
    <row r="123" spans="1:4" x14ac:dyDescent="0.35">
      <c r="A123" s="1" t="s">
        <v>26</v>
      </c>
      <c r="B123" s="1" t="s">
        <v>598</v>
      </c>
      <c r="C123" s="1" t="s">
        <v>23</v>
      </c>
      <c r="D123" s="1" t="s">
        <v>28</v>
      </c>
    </row>
    <row r="124" spans="1:4" x14ac:dyDescent="0.35">
      <c r="A124" s="1" t="s">
        <v>26</v>
      </c>
      <c r="B124" s="1" t="s">
        <v>597</v>
      </c>
      <c r="C124" s="1" t="s">
        <v>23</v>
      </c>
      <c r="D124" s="1" t="s">
        <v>50</v>
      </c>
    </row>
    <row r="125" spans="1:4" x14ac:dyDescent="0.35">
      <c r="A125" s="1" t="s">
        <v>2</v>
      </c>
      <c r="B125" s="1" t="s">
        <v>597</v>
      </c>
      <c r="C125" s="1" t="s">
        <v>23</v>
      </c>
      <c r="D125" s="1" t="s">
        <v>20</v>
      </c>
    </row>
    <row r="126" spans="1:4" x14ac:dyDescent="0.35">
      <c r="A126" s="1" t="s">
        <v>2</v>
      </c>
      <c r="B126" s="1" t="s">
        <v>597</v>
      </c>
      <c r="C126" s="1" t="s">
        <v>23</v>
      </c>
      <c r="D126" s="1" t="s">
        <v>50</v>
      </c>
    </row>
    <row r="127" spans="1:4" x14ac:dyDescent="0.35">
      <c r="A127" s="1" t="s">
        <v>18</v>
      </c>
      <c r="B127" s="1" t="s">
        <v>597</v>
      </c>
      <c r="C127" s="1" t="s">
        <v>23</v>
      </c>
      <c r="D127" s="1" t="s">
        <v>20</v>
      </c>
    </row>
    <row r="128" spans="1:4" x14ac:dyDescent="0.35">
      <c r="A128" s="1" t="s">
        <v>18</v>
      </c>
      <c r="B128" s="1" t="s">
        <v>597</v>
      </c>
      <c r="C128" s="1" t="s">
        <v>602</v>
      </c>
      <c r="D128" s="1" t="s">
        <v>50</v>
      </c>
    </row>
    <row r="129" spans="1:4" x14ac:dyDescent="0.35">
      <c r="A129" s="1" t="s">
        <v>26</v>
      </c>
      <c r="B129" s="1" t="s">
        <v>598</v>
      </c>
      <c r="C129" s="1" t="s">
        <v>23</v>
      </c>
      <c r="D129" s="1" t="s">
        <v>20</v>
      </c>
    </row>
    <row r="130" spans="1:4" x14ac:dyDescent="0.35">
      <c r="A130" s="1" t="s">
        <v>26</v>
      </c>
      <c r="B130" s="1" t="s">
        <v>597</v>
      </c>
      <c r="C130" s="1" t="s">
        <v>23</v>
      </c>
      <c r="D130" s="1" t="s">
        <v>20</v>
      </c>
    </row>
    <row r="131" spans="1:4" x14ac:dyDescent="0.35">
      <c r="A131" s="1" t="s">
        <v>2</v>
      </c>
      <c r="B131" s="1" t="s">
        <v>598</v>
      </c>
      <c r="C131" s="1" t="s">
        <v>23</v>
      </c>
      <c r="D131" s="1" t="s">
        <v>20</v>
      </c>
    </row>
    <row r="132" spans="1:4" x14ac:dyDescent="0.35">
      <c r="A132" s="1" t="s">
        <v>26</v>
      </c>
      <c r="B132" s="1" t="s">
        <v>598</v>
      </c>
      <c r="C132" s="1" t="s">
        <v>602</v>
      </c>
      <c r="D132" s="1" t="s">
        <v>50</v>
      </c>
    </row>
    <row r="133" spans="1:4" x14ac:dyDescent="0.35">
      <c r="A133" s="1" t="s">
        <v>26</v>
      </c>
      <c r="B133" s="1" t="s">
        <v>600</v>
      </c>
      <c r="C133" s="1" t="s">
        <v>23</v>
      </c>
      <c r="D133" s="1" t="s">
        <v>20</v>
      </c>
    </row>
    <row r="134" spans="1:4" x14ac:dyDescent="0.35">
      <c r="A134" s="1" t="s">
        <v>18</v>
      </c>
      <c r="B134" s="1" t="s">
        <v>598</v>
      </c>
      <c r="C134" s="1" t="s">
        <v>23</v>
      </c>
      <c r="D134" s="1" t="s">
        <v>28</v>
      </c>
    </row>
    <row r="135" spans="1:4" x14ac:dyDescent="0.35">
      <c r="A135" s="1" t="s">
        <v>2</v>
      </c>
      <c r="B135" s="1" t="s">
        <v>598</v>
      </c>
      <c r="C135" s="1" t="s">
        <v>23</v>
      </c>
      <c r="D135" s="1" t="s">
        <v>28</v>
      </c>
    </row>
    <row r="136" spans="1:4" x14ac:dyDescent="0.35">
      <c r="A136" s="1" t="s">
        <v>26</v>
      </c>
      <c r="B136" s="1" t="s">
        <v>597</v>
      </c>
      <c r="C136" s="1" t="s">
        <v>23</v>
      </c>
      <c r="D136" s="1" t="s">
        <v>28</v>
      </c>
    </row>
    <row r="137" spans="1:4" x14ac:dyDescent="0.35">
      <c r="A137" s="1" t="s">
        <v>26</v>
      </c>
      <c r="B137" s="1" t="s">
        <v>598</v>
      </c>
      <c r="C137" s="1" t="s">
        <v>602</v>
      </c>
      <c r="D137" s="1" t="s">
        <v>28</v>
      </c>
    </row>
    <row r="138" spans="1:4" x14ac:dyDescent="0.35">
      <c r="A138" s="1" t="s">
        <v>26</v>
      </c>
      <c r="B138" s="1" t="s">
        <v>598</v>
      </c>
      <c r="C138" s="1" t="s">
        <v>23</v>
      </c>
      <c r="D138" s="1" t="s">
        <v>50</v>
      </c>
    </row>
    <row r="139" spans="1:4" x14ac:dyDescent="0.35">
      <c r="A139" s="1" t="s">
        <v>26</v>
      </c>
      <c r="B139" s="1" t="s">
        <v>598</v>
      </c>
      <c r="C139" s="1" t="s">
        <v>23</v>
      </c>
      <c r="D139" s="1" t="s">
        <v>20</v>
      </c>
    </row>
    <row r="140" spans="1:4" x14ac:dyDescent="0.35">
      <c r="A140" s="1" t="s">
        <v>2</v>
      </c>
      <c r="B140" s="1" t="s">
        <v>600</v>
      </c>
      <c r="C140" s="1" t="s">
        <v>23</v>
      </c>
      <c r="D140" s="1" t="s">
        <v>20</v>
      </c>
    </row>
    <row r="141" spans="1:4" x14ac:dyDescent="0.35">
      <c r="A141" s="1" t="s">
        <v>2</v>
      </c>
      <c r="B141" s="1" t="s">
        <v>598</v>
      </c>
      <c r="C141" s="1" t="s">
        <v>602</v>
      </c>
      <c r="D141" s="1" t="s">
        <v>50</v>
      </c>
    </row>
    <row r="142" spans="1:4" x14ac:dyDescent="0.35">
      <c r="A142" s="1" t="s">
        <v>2</v>
      </c>
      <c r="B142" s="1" t="s">
        <v>597</v>
      </c>
      <c r="C142" s="1" t="s">
        <v>23</v>
      </c>
      <c r="D142" s="1" t="s">
        <v>28</v>
      </c>
    </row>
    <row r="143" spans="1:4" x14ac:dyDescent="0.35">
      <c r="A143" s="1" t="s">
        <v>2</v>
      </c>
      <c r="B143" s="1" t="s">
        <v>600</v>
      </c>
      <c r="C143" s="1" t="s">
        <v>23</v>
      </c>
      <c r="D143" s="1" t="s">
        <v>28</v>
      </c>
    </row>
    <row r="144" spans="1:4" x14ac:dyDescent="0.35">
      <c r="A144" s="1" t="s">
        <v>18</v>
      </c>
      <c r="B144" s="1" t="s">
        <v>598</v>
      </c>
      <c r="C144" s="1" t="s">
        <v>602</v>
      </c>
      <c r="D144" s="1" t="s">
        <v>20</v>
      </c>
    </row>
    <row r="145" spans="1:4" x14ac:dyDescent="0.35">
      <c r="A145" s="1" t="s">
        <v>26</v>
      </c>
      <c r="B145" s="1" t="s">
        <v>598</v>
      </c>
      <c r="C145" s="1" t="s">
        <v>23</v>
      </c>
      <c r="D145" s="1" t="s">
        <v>28</v>
      </c>
    </row>
    <row r="146" spans="1:4" x14ac:dyDescent="0.35">
      <c r="A146" s="1" t="s">
        <v>26</v>
      </c>
      <c r="B146" s="1" t="s">
        <v>597</v>
      </c>
      <c r="C146" s="1" t="s">
        <v>23</v>
      </c>
      <c r="D146" s="1" t="s">
        <v>28</v>
      </c>
    </row>
    <row r="147" spans="1:4" x14ac:dyDescent="0.35">
      <c r="A147" s="1" t="s">
        <v>26</v>
      </c>
      <c r="B147" s="1" t="s">
        <v>597</v>
      </c>
      <c r="C147" s="1" t="s">
        <v>23</v>
      </c>
      <c r="D147" s="1" t="s">
        <v>20</v>
      </c>
    </row>
    <row r="148" spans="1:4" x14ac:dyDescent="0.35">
      <c r="A148" s="1" t="s">
        <v>26</v>
      </c>
      <c r="B148" s="1" t="s">
        <v>598</v>
      </c>
      <c r="C148" s="1" t="s">
        <v>602</v>
      </c>
      <c r="D148" s="1" t="s">
        <v>50</v>
      </c>
    </row>
    <row r="149" spans="1:4" x14ac:dyDescent="0.35">
      <c r="A149" s="1" t="s">
        <v>2</v>
      </c>
      <c r="B149" s="1" t="s">
        <v>600</v>
      </c>
      <c r="C149" s="1" t="s">
        <v>23</v>
      </c>
      <c r="D149" s="1" t="s">
        <v>20</v>
      </c>
    </row>
    <row r="150" spans="1:4" x14ac:dyDescent="0.35">
      <c r="A150" s="1" t="s">
        <v>2</v>
      </c>
      <c r="B150" s="1" t="s">
        <v>597</v>
      </c>
      <c r="C150" s="1" t="s">
        <v>23</v>
      </c>
      <c r="D150" s="1" t="s">
        <v>28</v>
      </c>
    </row>
    <row r="151" spans="1:4" x14ac:dyDescent="0.35">
      <c r="A151" s="1" t="s">
        <v>18</v>
      </c>
      <c r="B151" s="1" t="s">
        <v>597</v>
      </c>
      <c r="C151" s="1" t="s">
        <v>601</v>
      </c>
      <c r="D151" s="1" t="s">
        <v>20</v>
      </c>
    </row>
    <row r="152" spans="1:4" x14ac:dyDescent="0.35">
      <c r="A152" s="1" t="s">
        <v>26</v>
      </c>
      <c r="B152" s="1" t="s">
        <v>598</v>
      </c>
      <c r="C152" s="1" t="s">
        <v>602</v>
      </c>
      <c r="D152" s="1" t="s">
        <v>28</v>
      </c>
    </row>
    <row r="153" spans="1:4" x14ac:dyDescent="0.35">
      <c r="A153" s="1" t="s">
        <v>26</v>
      </c>
      <c r="B153" s="1" t="s">
        <v>598</v>
      </c>
      <c r="C153" s="1" t="s">
        <v>23</v>
      </c>
      <c r="D153" s="1" t="s">
        <v>28</v>
      </c>
    </row>
    <row r="154" spans="1:4" x14ac:dyDescent="0.35">
      <c r="A154" s="1" t="s">
        <v>2</v>
      </c>
      <c r="B154" s="1" t="s">
        <v>597</v>
      </c>
      <c r="C154" s="1" t="s">
        <v>23</v>
      </c>
      <c r="D154" s="1" t="s">
        <v>28</v>
      </c>
    </row>
    <row r="155" spans="1:4" x14ac:dyDescent="0.35">
      <c r="A155" s="1" t="s">
        <v>26</v>
      </c>
      <c r="B155" s="1" t="s">
        <v>600</v>
      </c>
      <c r="C155" s="1" t="s">
        <v>23</v>
      </c>
      <c r="D155" s="1" t="s">
        <v>28</v>
      </c>
    </row>
    <row r="156" spans="1:4" x14ac:dyDescent="0.35">
      <c r="A156" s="1" t="s">
        <v>2</v>
      </c>
      <c r="B156" s="1" t="s">
        <v>598</v>
      </c>
      <c r="C156" s="1" t="s">
        <v>23</v>
      </c>
      <c r="D156" s="1" t="s">
        <v>28</v>
      </c>
    </row>
    <row r="157" spans="1:4" x14ac:dyDescent="0.35">
      <c r="A157" s="1" t="s">
        <v>2</v>
      </c>
      <c r="B157" s="1" t="s">
        <v>600</v>
      </c>
      <c r="C157" s="1" t="s">
        <v>602</v>
      </c>
      <c r="D157" s="1" t="s">
        <v>20</v>
      </c>
    </row>
    <row r="158" spans="1:4" x14ac:dyDescent="0.35">
      <c r="A158" s="1" t="s">
        <v>2</v>
      </c>
      <c r="B158" s="1" t="s">
        <v>598</v>
      </c>
      <c r="C158" s="1" t="s">
        <v>23</v>
      </c>
      <c r="D158" s="1" t="s">
        <v>28</v>
      </c>
    </row>
    <row r="159" spans="1:4" x14ac:dyDescent="0.35">
      <c r="A159" s="1" t="s">
        <v>2</v>
      </c>
      <c r="B159" s="1" t="s">
        <v>598</v>
      </c>
      <c r="C159" s="1" t="s">
        <v>23</v>
      </c>
      <c r="D159" s="1" t="s">
        <v>28</v>
      </c>
    </row>
    <row r="160" spans="1:4" x14ac:dyDescent="0.35">
      <c r="A160" s="1" t="s">
        <v>26</v>
      </c>
      <c r="B160" s="1" t="s">
        <v>598</v>
      </c>
      <c r="C160" s="1" t="s">
        <v>602</v>
      </c>
      <c r="D160" s="1" t="s">
        <v>28</v>
      </c>
    </row>
    <row r="161" spans="1:4" x14ac:dyDescent="0.35">
      <c r="A161" s="1" t="s">
        <v>26</v>
      </c>
      <c r="B161" s="1" t="s">
        <v>597</v>
      </c>
      <c r="C161" s="1" t="s">
        <v>23</v>
      </c>
      <c r="D161" s="1" t="s">
        <v>28</v>
      </c>
    </row>
    <row r="162" spans="1:4" x14ac:dyDescent="0.35">
      <c r="A162" s="1" t="s">
        <v>26</v>
      </c>
      <c r="B162" s="1" t="s">
        <v>598</v>
      </c>
      <c r="C162" s="1" t="s">
        <v>23</v>
      </c>
      <c r="D162" s="1" t="s">
        <v>50</v>
      </c>
    </row>
    <row r="163" spans="1:4" x14ac:dyDescent="0.35">
      <c r="A163" s="1" t="s">
        <v>2</v>
      </c>
      <c r="B163" s="1" t="s">
        <v>598</v>
      </c>
      <c r="C163" s="1" t="s">
        <v>23</v>
      </c>
      <c r="D163" s="1" t="s">
        <v>20</v>
      </c>
    </row>
    <row r="164" spans="1:4" x14ac:dyDescent="0.35">
      <c r="A164" s="1" t="s">
        <v>26</v>
      </c>
      <c r="B164" s="1" t="s">
        <v>597</v>
      </c>
      <c r="C164" s="1" t="s">
        <v>23</v>
      </c>
      <c r="D164" s="1" t="s">
        <v>28</v>
      </c>
    </row>
    <row r="165" spans="1:4" x14ac:dyDescent="0.35">
      <c r="A165" s="1" t="s">
        <v>26</v>
      </c>
      <c r="B165" s="1" t="s">
        <v>600</v>
      </c>
      <c r="C165" s="1" t="s">
        <v>23</v>
      </c>
      <c r="D165" s="1" t="s">
        <v>28</v>
      </c>
    </row>
    <row r="166" spans="1:4" x14ac:dyDescent="0.35">
      <c r="A166" s="1" t="s">
        <v>2</v>
      </c>
      <c r="B166" s="1" t="s">
        <v>598</v>
      </c>
      <c r="C166" s="1" t="s">
        <v>23</v>
      </c>
      <c r="D166" s="1" t="s">
        <v>28</v>
      </c>
    </row>
    <row r="167" spans="1:4" x14ac:dyDescent="0.35">
      <c r="A167" s="1" t="s">
        <v>2</v>
      </c>
      <c r="B167" s="1" t="s">
        <v>598</v>
      </c>
      <c r="C167" s="1" t="s">
        <v>23</v>
      </c>
      <c r="D167" s="1" t="s">
        <v>20</v>
      </c>
    </row>
    <row r="168" spans="1:4" x14ac:dyDescent="0.35">
      <c r="A168" s="1" t="s">
        <v>2</v>
      </c>
      <c r="B168" s="1" t="s">
        <v>597</v>
      </c>
      <c r="C168" s="1" t="s">
        <v>23</v>
      </c>
      <c r="D168" s="1" t="s">
        <v>28</v>
      </c>
    </row>
    <row r="169" spans="1:4" x14ac:dyDescent="0.35">
      <c r="A169" s="1" t="s">
        <v>26</v>
      </c>
      <c r="B169" s="1" t="s">
        <v>597</v>
      </c>
      <c r="C169" s="1" t="s">
        <v>23</v>
      </c>
      <c r="D169" s="1" t="s">
        <v>28</v>
      </c>
    </row>
    <row r="170" spans="1:4" x14ac:dyDescent="0.35">
      <c r="A170" s="1" t="s">
        <v>26</v>
      </c>
      <c r="B170" s="1" t="s">
        <v>598</v>
      </c>
      <c r="C170" s="1" t="s">
        <v>23</v>
      </c>
      <c r="D170" s="1" t="s">
        <v>50</v>
      </c>
    </row>
    <row r="171" spans="1:4" x14ac:dyDescent="0.35">
      <c r="A171" s="1" t="s">
        <v>2</v>
      </c>
      <c r="B171" s="1" t="s">
        <v>598</v>
      </c>
      <c r="C171" s="1" t="s">
        <v>23</v>
      </c>
      <c r="D171" s="1" t="s">
        <v>20</v>
      </c>
    </row>
    <row r="172" spans="1:4" x14ac:dyDescent="0.35">
      <c r="A172" s="1" t="s">
        <v>26</v>
      </c>
      <c r="B172" s="1" t="s">
        <v>600</v>
      </c>
      <c r="C172" s="1" t="s">
        <v>23</v>
      </c>
      <c r="D172" s="1" t="s">
        <v>50</v>
      </c>
    </row>
    <row r="173" spans="1:4" x14ac:dyDescent="0.35">
      <c r="A173" s="1" t="s">
        <v>2</v>
      </c>
      <c r="B173" s="1" t="s">
        <v>600</v>
      </c>
      <c r="C173" s="1" t="s">
        <v>23</v>
      </c>
      <c r="D173" s="1" t="s">
        <v>20</v>
      </c>
    </row>
    <row r="174" spans="1:4" x14ac:dyDescent="0.35">
      <c r="A174" s="1" t="s">
        <v>2</v>
      </c>
      <c r="B174" s="1" t="s">
        <v>598</v>
      </c>
      <c r="C174" s="1" t="s">
        <v>23</v>
      </c>
      <c r="D174" s="1" t="s">
        <v>20</v>
      </c>
    </row>
    <row r="175" spans="1:4" x14ac:dyDescent="0.35">
      <c r="A175" s="1" t="s">
        <v>18</v>
      </c>
      <c r="B175" s="1" t="s">
        <v>597</v>
      </c>
      <c r="C175" s="1" t="s">
        <v>23</v>
      </c>
      <c r="D175" s="1" t="s">
        <v>28</v>
      </c>
    </row>
    <row r="176" spans="1:4" x14ac:dyDescent="0.35">
      <c r="A176" s="1" t="s">
        <v>26</v>
      </c>
      <c r="B176" s="1" t="s">
        <v>597</v>
      </c>
      <c r="C176" s="1" t="s">
        <v>23</v>
      </c>
      <c r="D176" s="1" t="s">
        <v>50</v>
      </c>
    </row>
    <row r="177" spans="1:4" x14ac:dyDescent="0.35">
      <c r="A177" s="1" t="s">
        <v>26</v>
      </c>
      <c r="B177" s="1" t="s">
        <v>600</v>
      </c>
      <c r="C177" s="1" t="s">
        <v>23</v>
      </c>
      <c r="D177" s="1" t="s">
        <v>28</v>
      </c>
    </row>
    <row r="178" spans="1:4" x14ac:dyDescent="0.35">
      <c r="A178" s="1" t="s">
        <v>18</v>
      </c>
      <c r="B178" s="1" t="s">
        <v>598</v>
      </c>
      <c r="C178" s="1" t="s">
        <v>602</v>
      </c>
      <c r="D178" s="1" t="s">
        <v>50</v>
      </c>
    </row>
    <row r="179" spans="1:4" x14ac:dyDescent="0.35">
      <c r="A179" s="1" t="s">
        <v>2</v>
      </c>
      <c r="B179" s="1" t="s">
        <v>598</v>
      </c>
      <c r="C179" s="1" t="s">
        <v>23</v>
      </c>
      <c r="D179" s="1" t="s">
        <v>50</v>
      </c>
    </row>
    <row r="180" spans="1:4" x14ac:dyDescent="0.35">
      <c r="A180" s="1" t="s">
        <v>26</v>
      </c>
      <c r="B180" s="1" t="s">
        <v>598</v>
      </c>
      <c r="C180" s="1" t="s">
        <v>602</v>
      </c>
      <c r="D180" s="1" t="s">
        <v>28</v>
      </c>
    </row>
    <row r="181" spans="1:4" x14ac:dyDescent="0.35">
      <c r="A181" s="1" t="s">
        <v>26</v>
      </c>
      <c r="B181" s="1" t="s">
        <v>598</v>
      </c>
      <c r="C181" s="1" t="s">
        <v>23</v>
      </c>
      <c r="D181" s="1" t="s">
        <v>20</v>
      </c>
    </row>
    <row r="182" spans="1:4" x14ac:dyDescent="0.35">
      <c r="A182" s="1" t="s">
        <v>26</v>
      </c>
      <c r="B182" s="1" t="s">
        <v>598</v>
      </c>
      <c r="C182" s="1" t="s">
        <v>23</v>
      </c>
      <c r="D182" s="1" t="s">
        <v>20</v>
      </c>
    </row>
    <row r="183" spans="1:4" x14ac:dyDescent="0.35">
      <c r="A183" s="1" t="s">
        <v>26</v>
      </c>
      <c r="B183" s="1" t="s">
        <v>598</v>
      </c>
      <c r="C183" s="1" t="s">
        <v>602</v>
      </c>
      <c r="D183" s="1" t="s">
        <v>50</v>
      </c>
    </row>
    <row r="184" spans="1:4" x14ac:dyDescent="0.35">
      <c r="A184" s="1" t="s">
        <v>2</v>
      </c>
      <c r="B184" s="1" t="s">
        <v>597</v>
      </c>
      <c r="C184" s="1" t="s">
        <v>23</v>
      </c>
      <c r="D184" s="1" t="s">
        <v>20</v>
      </c>
    </row>
    <row r="185" spans="1:4" x14ac:dyDescent="0.35">
      <c r="A185" s="1" t="s">
        <v>2</v>
      </c>
      <c r="B185" s="1" t="s">
        <v>598</v>
      </c>
      <c r="C185" s="1" t="s">
        <v>23</v>
      </c>
      <c r="D185" s="1" t="s">
        <v>28</v>
      </c>
    </row>
    <row r="186" spans="1:4" x14ac:dyDescent="0.35">
      <c r="A186" s="1" t="s">
        <v>2</v>
      </c>
      <c r="B186" s="1" t="s">
        <v>597</v>
      </c>
      <c r="C186" s="1" t="s">
        <v>602</v>
      </c>
      <c r="D186" s="1" t="s">
        <v>50</v>
      </c>
    </row>
    <row r="187" spans="1:4" x14ac:dyDescent="0.35">
      <c r="A187" s="1" t="s">
        <v>26</v>
      </c>
      <c r="B187" s="1" t="s">
        <v>598</v>
      </c>
      <c r="C187" s="1" t="s">
        <v>23</v>
      </c>
      <c r="D187" s="1" t="s">
        <v>20</v>
      </c>
    </row>
    <row r="188" spans="1:4" x14ac:dyDescent="0.35">
      <c r="A188" s="1" t="s">
        <v>2</v>
      </c>
      <c r="B188" s="1" t="s">
        <v>598</v>
      </c>
      <c r="C188" s="1" t="s">
        <v>23</v>
      </c>
      <c r="D188" s="1" t="s">
        <v>50</v>
      </c>
    </row>
    <row r="189" spans="1:4" x14ac:dyDescent="0.35">
      <c r="A189" s="1" t="s">
        <v>18</v>
      </c>
      <c r="B189" s="1" t="s">
        <v>597</v>
      </c>
      <c r="C189" s="1" t="s">
        <v>602</v>
      </c>
      <c r="D189" s="1" t="s">
        <v>20</v>
      </c>
    </row>
    <row r="190" spans="1:4" x14ac:dyDescent="0.35">
      <c r="A190" s="1" t="s">
        <v>18</v>
      </c>
      <c r="B190" s="1" t="s">
        <v>600</v>
      </c>
      <c r="C190" s="1" t="s">
        <v>23</v>
      </c>
      <c r="D190" s="1" t="s">
        <v>20</v>
      </c>
    </row>
    <row r="191" spans="1:4" x14ac:dyDescent="0.35">
      <c r="A191" s="1" t="s">
        <v>26</v>
      </c>
      <c r="B191" s="1" t="s">
        <v>600</v>
      </c>
      <c r="C191" s="1" t="s">
        <v>23</v>
      </c>
      <c r="D191" s="1" t="s">
        <v>20</v>
      </c>
    </row>
    <row r="192" spans="1:4" x14ac:dyDescent="0.35">
      <c r="A192" s="1" t="s">
        <v>2</v>
      </c>
      <c r="B192" s="1" t="s">
        <v>597</v>
      </c>
      <c r="C192" s="1" t="s">
        <v>23</v>
      </c>
      <c r="D192" s="1" t="s">
        <v>20</v>
      </c>
    </row>
    <row r="193" spans="1:4" x14ac:dyDescent="0.35">
      <c r="A193" s="1" t="s">
        <v>26</v>
      </c>
      <c r="B193" s="1" t="s">
        <v>598</v>
      </c>
      <c r="C193" s="1" t="s">
        <v>23</v>
      </c>
      <c r="D193" s="1" t="s">
        <v>20</v>
      </c>
    </row>
    <row r="194" spans="1:4" x14ac:dyDescent="0.35">
      <c r="A194" s="1" t="s">
        <v>2</v>
      </c>
      <c r="B194" s="1" t="s">
        <v>597</v>
      </c>
      <c r="C194" s="1" t="s">
        <v>23</v>
      </c>
      <c r="D194" s="1" t="s">
        <v>50</v>
      </c>
    </row>
    <row r="195" spans="1:4" x14ac:dyDescent="0.35">
      <c r="A195" s="1" t="s">
        <v>2</v>
      </c>
      <c r="B195" s="1" t="s">
        <v>598</v>
      </c>
      <c r="C195" s="1" t="s">
        <v>23</v>
      </c>
      <c r="D195" s="1" t="s">
        <v>20</v>
      </c>
    </row>
    <row r="196" spans="1:4" x14ac:dyDescent="0.35">
      <c r="A196" s="1" t="s">
        <v>2</v>
      </c>
      <c r="B196" s="1" t="s">
        <v>598</v>
      </c>
      <c r="C196" s="1" t="s">
        <v>23</v>
      </c>
      <c r="D196" s="1" t="s">
        <v>28</v>
      </c>
    </row>
    <row r="197" spans="1:4" x14ac:dyDescent="0.35">
      <c r="A197" s="1" t="s">
        <v>18</v>
      </c>
      <c r="B197" s="1" t="s">
        <v>600</v>
      </c>
      <c r="C197" s="1" t="s">
        <v>602</v>
      </c>
      <c r="D197" s="1" t="s">
        <v>20</v>
      </c>
    </row>
    <row r="198" spans="1:4" x14ac:dyDescent="0.35">
      <c r="A198" s="1" t="s">
        <v>2</v>
      </c>
      <c r="B198" s="1" t="s">
        <v>597</v>
      </c>
      <c r="C198" s="1" t="s">
        <v>23</v>
      </c>
      <c r="D198" s="1" t="s">
        <v>20</v>
      </c>
    </row>
    <row r="199" spans="1:4" x14ac:dyDescent="0.35">
      <c r="A199" s="1" t="s">
        <v>2</v>
      </c>
      <c r="B199" s="1" t="s">
        <v>597</v>
      </c>
      <c r="C199" s="1" t="s">
        <v>23</v>
      </c>
      <c r="D199" s="1" t="s">
        <v>50</v>
      </c>
    </row>
    <row r="200" spans="1:4" x14ac:dyDescent="0.35">
      <c r="A200" s="1" t="s">
        <v>2</v>
      </c>
      <c r="B200" s="1" t="s">
        <v>598</v>
      </c>
      <c r="C200" s="1" t="s">
        <v>23</v>
      </c>
      <c r="D200" s="1" t="s">
        <v>50</v>
      </c>
    </row>
    <row r="201" spans="1:4" x14ac:dyDescent="0.35">
      <c r="A201" s="1" t="s">
        <v>26</v>
      </c>
      <c r="B201" s="1" t="s">
        <v>598</v>
      </c>
      <c r="C201" s="1" t="s">
        <v>23</v>
      </c>
      <c r="D201" s="1" t="s">
        <v>50</v>
      </c>
    </row>
    <row r="202" spans="1:4" x14ac:dyDescent="0.35">
      <c r="A202" s="1" t="s">
        <v>2</v>
      </c>
      <c r="B202" s="1" t="s">
        <v>598</v>
      </c>
      <c r="C202" s="1" t="s">
        <v>602</v>
      </c>
      <c r="D202" s="1" t="s">
        <v>20</v>
      </c>
    </row>
    <row r="203" spans="1:4" x14ac:dyDescent="0.35">
      <c r="A203" s="1" t="s">
        <v>26</v>
      </c>
      <c r="B203" s="1" t="s">
        <v>598</v>
      </c>
      <c r="C203" s="1" t="s">
        <v>23</v>
      </c>
      <c r="D203" s="1" t="s">
        <v>50</v>
      </c>
    </row>
    <row r="204" spans="1:4" x14ac:dyDescent="0.35">
      <c r="A204" s="1" t="s">
        <v>18</v>
      </c>
      <c r="B204" s="1" t="s">
        <v>600</v>
      </c>
      <c r="C204" s="1" t="s">
        <v>23</v>
      </c>
      <c r="D204" s="1" t="s">
        <v>28</v>
      </c>
    </row>
    <row r="205" spans="1:4" x14ac:dyDescent="0.35">
      <c r="A205" s="1" t="s">
        <v>2</v>
      </c>
      <c r="B205" s="1" t="s">
        <v>597</v>
      </c>
      <c r="C205" s="1" t="s">
        <v>23</v>
      </c>
      <c r="D205" s="1" t="s">
        <v>20</v>
      </c>
    </row>
    <row r="206" spans="1:4" x14ac:dyDescent="0.35">
      <c r="A206" s="1" t="s">
        <v>2</v>
      </c>
      <c r="B206" s="1" t="s">
        <v>597</v>
      </c>
      <c r="C206" s="1" t="s">
        <v>23</v>
      </c>
      <c r="D206" s="1" t="s">
        <v>20</v>
      </c>
    </row>
    <row r="207" spans="1:4" x14ac:dyDescent="0.35">
      <c r="A207" s="1" t="s">
        <v>2</v>
      </c>
      <c r="B207" s="1" t="s">
        <v>597</v>
      </c>
      <c r="C207" s="1" t="s">
        <v>23</v>
      </c>
      <c r="D207" s="1" t="s">
        <v>20</v>
      </c>
    </row>
    <row r="208" spans="1:4" x14ac:dyDescent="0.35">
      <c r="A208" s="1" t="s">
        <v>2</v>
      </c>
      <c r="B208" s="1" t="s">
        <v>600</v>
      </c>
      <c r="C208" s="1" t="s">
        <v>23</v>
      </c>
      <c r="D208" s="1" t="s">
        <v>20</v>
      </c>
    </row>
    <row r="209" spans="1:4" x14ac:dyDescent="0.35">
      <c r="A209" s="1" t="s">
        <v>26</v>
      </c>
      <c r="B209" s="1" t="s">
        <v>597</v>
      </c>
      <c r="C209" s="1" t="s">
        <v>23</v>
      </c>
      <c r="D209" s="1" t="s">
        <v>50</v>
      </c>
    </row>
    <row r="210" spans="1:4" x14ac:dyDescent="0.35">
      <c r="A210" s="1" t="s">
        <v>18</v>
      </c>
      <c r="B210" s="1" t="s">
        <v>598</v>
      </c>
      <c r="C210" s="1" t="s">
        <v>23</v>
      </c>
      <c r="D210" s="1" t="s">
        <v>28</v>
      </c>
    </row>
    <row r="211" spans="1:4" x14ac:dyDescent="0.35">
      <c r="A211" s="1" t="s">
        <v>2</v>
      </c>
      <c r="B211" s="1" t="s">
        <v>598</v>
      </c>
      <c r="C211" s="1" t="s">
        <v>23</v>
      </c>
      <c r="D211" s="1" t="s">
        <v>50</v>
      </c>
    </row>
    <row r="212" spans="1:4" x14ac:dyDescent="0.35">
      <c r="A212" s="1" t="s">
        <v>18</v>
      </c>
      <c r="B212" s="1" t="s">
        <v>598</v>
      </c>
      <c r="C212" s="1" t="s">
        <v>601</v>
      </c>
      <c r="D212" s="1" t="s">
        <v>50</v>
      </c>
    </row>
    <row r="213" spans="1:4" x14ac:dyDescent="0.35">
      <c r="A213" s="1" t="s">
        <v>18</v>
      </c>
      <c r="B213" s="1" t="s">
        <v>600</v>
      </c>
      <c r="C213" s="1" t="s">
        <v>23</v>
      </c>
      <c r="D213" s="1" t="s">
        <v>28</v>
      </c>
    </row>
    <row r="214" spans="1:4" x14ac:dyDescent="0.35">
      <c r="A214" s="1" t="s">
        <v>26</v>
      </c>
      <c r="B214" s="1" t="s">
        <v>598</v>
      </c>
      <c r="C214" s="1" t="s">
        <v>23</v>
      </c>
      <c r="D214" s="1" t="s">
        <v>28</v>
      </c>
    </row>
    <row r="215" spans="1:4" x14ac:dyDescent="0.35">
      <c r="A215" s="1" t="s">
        <v>18</v>
      </c>
      <c r="B215" s="1" t="s">
        <v>600</v>
      </c>
      <c r="C215" s="1" t="s">
        <v>23</v>
      </c>
      <c r="D215" s="1" t="s">
        <v>28</v>
      </c>
    </row>
    <row r="216" spans="1:4" x14ac:dyDescent="0.35">
      <c r="A216" s="1" t="s">
        <v>26</v>
      </c>
      <c r="B216" s="1" t="s">
        <v>598</v>
      </c>
      <c r="C216" s="1" t="s">
        <v>23</v>
      </c>
      <c r="D216" s="1" t="s">
        <v>28</v>
      </c>
    </row>
    <row r="217" spans="1:4" x14ac:dyDescent="0.35">
      <c r="A217" s="1" t="s">
        <v>2</v>
      </c>
      <c r="B217" s="1" t="s">
        <v>600</v>
      </c>
      <c r="C217" s="1" t="s">
        <v>23</v>
      </c>
      <c r="D217" s="1" t="s">
        <v>50</v>
      </c>
    </row>
    <row r="218" spans="1:4" x14ac:dyDescent="0.35">
      <c r="A218" s="1" t="s">
        <v>2</v>
      </c>
      <c r="B218" s="1" t="s">
        <v>597</v>
      </c>
      <c r="C218" s="1" t="s">
        <v>23</v>
      </c>
      <c r="D218" s="1" t="s">
        <v>20</v>
      </c>
    </row>
    <row r="219" spans="1:4" x14ac:dyDescent="0.35">
      <c r="A219" s="1" t="s">
        <v>2</v>
      </c>
      <c r="B219" s="1" t="s">
        <v>597</v>
      </c>
      <c r="C219" s="1" t="s">
        <v>23</v>
      </c>
      <c r="D219" s="1" t="s">
        <v>28</v>
      </c>
    </row>
    <row r="220" spans="1:4" x14ac:dyDescent="0.35">
      <c r="A220" s="1" t="s">
        <v>26</v>
      </c>
      <c r="B220" s="1" t="s">
        <v>597</v>
      </c>
      <c r="C220" s="1" t="s">
        <v>23</v>
      </c>
      <c r="D220" s="1" t="s">
        <v>20</v>
      </c>
    </row>
    <row r="221" spans="1:4" x14ac:dyDescent="0.35">
      <c r="A221" s="1" t="s">
        <v>2</v>
      </c>
      <c r="B221" s="1" t="s">
        <v>598</v>
      </c>
      <c r="C221" s="1" t="s">
        <v>601</v>
      </c>
      <c r="D221" s="1" t="s">
        <v>50</v>
      </c>
    </row>
    <row r="222" spans="1:4" x14ac:dyDescent="0.35">
      <c r="A222" s="1" t="s">
        <v>18</v>
      </c>
      <c r="B222" s="1" t="s">
        <v>597</v>
      </c>
      <c r="C222" s="1" t="s">
        <v>23</v>
      </c>
      <c r="D222" s="1" t="s">
        <v>50</v>
      </c>
    </row>
    <row r="223" spans="1:4" x14ac:dyDescent="0.35">
      <c r="A223" s="1" t="s">
        <v>26</v>
      </c>
      <c r="B223" s="1" t="s">
        <v>597</v>
      </c>
      <c r="C223" s="1" t="s">
        <v>23</v>
      </c>
      <c r="D223" s="1" t="s">
        <v>28</v>
      </c>
    </row>
    <row r="224" spans="1:4" x14ac:dyDescent="0.35">
      <c r="A224" s="1" t="s">
        <v>2</v>
      </c>
      <c r="B224" s="1" t="s">
        <v>597</v>
      </c>
      <c r="C224" s="1" t="s">
        <v>23</v>
      </c>
      <c r="D224" s="1" t="s">
        <v>20</v>
      </c>
    </row>
    <row r="225" spans="1:4" x14ac:dyDescent="0.35">
      <c r="A225" s="1" t="s">
        <v>26</v>
      </c>
      <c r="B225" s="1" t="s">
        <v>598</v>
      </c>
      <c r="C225" s="1" t="s">
        <v>23</v>
      </c>
      <c r="D225" s="1" t="s">
        <v>50</v>
      </c>
    </row>
    <row r="226" spans="1:4" x14ac:dyDescent="0.35">
      <c r="A226" s="1" t="s">
        <v>2</v>
      </c>
      <c r="B226" s="1" t="s">
        <v>598</v>
      </c>
      <c r="C226" s="1" t="s">
        <v>23</v>
      </c>
      <c r="D226" s="1" t="s">
        <v>20</v>
      </c>
    </row>
    <row r="227" spans="1:4" x14ac:dyDescent="0.35">
      <c r="A227" s="1" t="s">
        <v>26</v>
      </c>
      <c r="B227" s="1" t="s">
        <v>598</v>
      </c>
      <c r="C227" s="1" t="s">
        <v>602</v>
      </c>
      <c r="D227" s="1" t="s">
        <v>50</v>
      </c>
    </row>
    <row r="228" spans="1:4" x14ac:dyDescent="0.35">
      <c r="A228" s="1" t="s">
        <v>2</v>
      </c>
      <c r="B228" s="1" t="s">
        <v>598</v>
      </c>
      <c r="C228" s="1" t="s">
        <v>23</v>
      </c>
      <c r="D228" s="1" t="s">
        <v>28</v>
      </c>
    </row>
    <row r="229" spans="1:4" x14ac:dyDescent="0.35">
      <c r="A229" s="1" t="s">
        <v>2</v>
      </c>
      <c r="B229" s="1" t="s">
        <v>598</v>
      </c>
      <c r="C229" s="1" t="s">
        <v>23</v>
      </c>
      <c r="D229" s="1" t="s">
        <v>50</v>
      </c>
    </row>
    <row r="230" spans="1:4" x14ac:dyDescent="0.35">
      <c r="A230" s="1" t="s">
        <v>18</v>
      </c>
      <c r="B230" s="1" t="s">
        <v>598</v>
      </c>
      <c r="C230" s="1" t="s">
        <v>601</v>
      </c>
      <c r="D230" s="1" t="s">
        <v>50</v>
      </c>
    </row>
    <row r="231" spans="1:4" x14ac:dyDescent="0.35">
      <c r="A231" s="1" t="s">
        <v>26</v>
      </c>
      <c r="B231" s="1" t="s">
        <v>597</v>
      </c>
      <c r="C231" s="1" t="s">
        <v>602</v>
      </c>
      <c r="D231" s="1" t="s">
        <v>20</v>
      </c>
    </row>
    <row r="232" spans="1:4" x14ac:dyDescent="0.35">
      <c r="A232" s="1" t="s">
        <v>2</v>
      </c>
      <c r="B232" s="1" t="s">
        <v>597</v>
      </c>
      <c r="C232" s="1" t="s">
        <v>23</v>
      </c>
      <c r="D232" s="1" t="s">
        <v>50</v>
      </c>
    </row>
    <row r="233" spans="1:4" x14ac:dyDescent="0.35">
      <c r="A233" s="1" t="s">
        <v>18</v>
      </c>
      <c r="B233" s="1" t="s">
        <v>598</v>
      </c>
      <c r="C233" s="1" t="s">
        <v>23</v>
      </c>
      <c r="D233" s="1" t="s">
        <v>20</v>
      </c>
    </row>
    <row r="234" spans="1:4" x14ac:dyDescent="0.35">
      <c r="A234" s="1" t="s">
        <v>18</v>
      </c>
      <c r="B234" s="1" t="s">
        <v>598</v>
      </c>
      <c r="C234" s="1" t="s">
        <v>602</v>
      </c>
      <c r="D234" s="1" t="s">
        <v>20</v>
      </c>
    </row>
    <row r="235" spans="1:4" x14ac:dyDescent="0.35">
      <c r="A235" s="1" t="s">
        <v>26</v>
      </c>
      <c r="B235" s="1" t="s">
        <v>598</v>
      </c>
      <c r="C235" s="1" t="s">
        <v>23</v>
      </c>
      <c r="D235" s="1" t="s">
        <v>20</v>
      </c>
    </row>
    <row r="236" spans="1:4" x14ac:dyDescent="0.35">
      <c r="A236" s="1" t="s">
        <v>26</v>
      </c>
      <c r="B236" s="1" t="s">
        <v>597</v>
      </c>
      <c r="C236" s="1" t="s">
        <v>23</v>
      </c>
      <c r="D236" s="1" t="s">
        <v>28</v>
      </c>
    </row>
    <row r="237" spans="1:4" x14ac:dyDescent="0.35">
      <c r="A237" s="1" t="s">
        <v>26</v>
      </c>
      <c r="B237" s="1" t="s">
        <v>598</v>
      </c>
      <c r="C237" s="1" t="s">
        <v>602</v>
      </c>
      <c r="D237" s="1" t="s">
        <v>28</v>
      </c>
    </row>
    <row r="238" spans="1:4" x14ac:dyDescent="0.35">
      <c r="A238" s="1" t="s">
        <v>2</v>
      </c>
      <c r="B238" s="1" t="s">
        <v>597</v>
      </c>
      <c r="C238" s="1" t="s">
        <v>23</v>
      </c>
      <c r="D238" s="1" t="s">
        <v>20</v>
      </c>
    </row>
    <row r="239" spans="1:4" x14ac:dyDescent="0.35">
      <c r="A239" s="1" t="s">
        <v>26</v>
      </c>
      <c r="B239" s="1" t="s">
        <v>597</v>
      </c>
      <c r="C239" s="1" t="s">
        <v>23</v>
      </c>
      <c r="D239" s="1" t="s">
        <v>50</v>
      </c>
    </row>
    <row r="240" spans="1:4" x14ac:dyDescent="0.35">
      <c r="A240" s="1" t="s">
        <v>26</v>
      </c>
      <c r="B240" s="1" t="s">
        <v>598</v>
      </c>
      <c r="C240" s="1" t="s">
        <v>602</v>
      </c>
      <c r="D240" s="1" t="s">
        <v>50</v>
      </c>
    </row>
    <row r="241" spans="1:4" x14ac:dyDescent="0.35">
      <c r="A241" s="1" t="s">
        <v>26</v>
      </c>
      <c r="B241" s="1" t="s">
        <v>597</v>
      </c>
      <c r="C241" s="1" t="s">
        <v>23</v>
      </c>
      <c r="D241" s="1" t="s">
        <v>20</v>
      </c>
    </row>
    <row r="242" spans="1:4" x14ac:dyDescent="0.35">
      <c r="A242" s="1" t="s">
        <v>18</v>
      </c>
      <c r="B242" s="1" t="s">
        <v>598</v>
      </c>
      <c r="C242" s="1" t="s">
        <v>602</v>
      </c>
      <c r="D242" s="1" t="s">
        <v>28</v>
      </c>
    </row>
    <row r="243" spans="1:4" x14ac:dyDescent="0.35">
      <c r="A243" s="1" t="s">
        <v>26</v>
      </c>
      <c r="B243" s="1" t="s">
        <v>598</v>
      </c>
      <c r="C243" s="1" t="s">
        <v>23</v>
      </c>
      <c r="D243" s="1" t="s">
        <v>50</v>
      </c>
    </row>
    <row r="244" spans="1:4" x14ac:dyDescent="0.35">
      <c r="A244" s="1" t="s">
        <v>2</v>
      </c>
      <c r="B244" s="1" t="s">
        <v>598</v>
      </c>
      <c r="C244" s="1" t="s">
        <v>23</v>
      </c>
      <c r="D244" s="1" t="s">
        <v>20</v>
      </c>
    </row>
    <row r="245" spans="1:4" x14ac:dyDescent="0.35">
      <c r="A245" s="1" t="s">
        <v>2</v>
      </c>
      <c r="B245" s="1" t="s">
        <v>600</v>
      </c>
      <c r="C245" s="1" t="s">
        <v>23</v>
      </c>
      <c r="D245" s="1" t="s">
        <v>50</v>
      </c>
    </row>
    <row r="246" spans="1:4" x14ac:dyDescent="0.35">
      <c r="A246" s="1" t="s">
        <v>18</v>
      </c>
      <c r="B246" s="1" t="s">
        <v>600</v>
      </c>
      <c r="C246" s="1" t="s">
        <v>23</v>
      </c>
      <c r="D246" s="1" t="s">
        <v>50</v>
      </c>
    </row>
    <row r="247" spans="1:4" x14ac:dyDescent="0.35">
      <c r="A247" s="1" t="s">
        <v>2</v>
      </c>
      <c r="B247" s="1" t="s">
        <v>600</v>
      </c>
      <c r="C247" s="1" t="s">
        <v>601</v>
      </c>
      <c r="D247" s="1" t="s">
        <v>28</v>
      </c>
    </row>
    <row r="248" spans="1:4" x14ac:dyDescent="0.35">
      <c r="A248" s="1" t="s">
        <v>2</v>
      </c>
      <c r="B248" s="1" t="s">
        <v>598</v>
      </c>
      <c r="C248" s="1" t="s">
        <v>601</v>
      </c>
      <c r="D248" s="1" t="s">
        <v>20</v>
      </c>
    </row>
    <row r="249" spans="1:4" x14ac:dyDescent="0.35">
      <c r="A249" s="1" t="s">
        <v>18</v>
      </c>
      <c r="B249" s="1" t="s">
        <v>598</v>
      </c>
      <c r="C249" s="1" t="s">
        <v>602</v>
      </c>
      <c r="D249" s="1" t="s">
        <v>28</v>
      </c>
    </row>
    <row r="250" spans="1:4" x14ac:dyDescent="0.35">
      <c r="A250" s="1" t="s">
        <v>2</v>
      </c>
      <c r="B250" s="1" t="s">
        <v>598</v>
      </c>
      <c r="C250" s="1" t="s">
        <v>23</v>
      </c>
      <c r="D250" s="1" t="s">
        <v>28</v>
      </c>
    </row>
    <row r="251" spans="1:4" x14ac:dyDescent="0.35">
      <c r="A251" s="1" t="s">
        <v>2</v>
      </c>
      <c r="B251" s="1" t="s">
        <v>597</v>
      </c>
      <c r="C251" s="1" t="s">
        <v>23</v>
      </c>
      <c r="D251" s="1" t="s">
        <v>50</v>
      </c>
    </row>
    <row r="252" spans="1:4" x14ac:dyDescent="0.35">
      <c r="A252" s="1" t="s">
        <v>18</v>
      </c>
      <c r="B252" s="1" t="s">
        <v>597</v>
      </c>
      <c r="C252" s="1" t="s">
        <v>602</v>
      </c>
      <c r="D252" s="1" t="s">
        <v>50</v>
      </c>
    </row>
    <row r="253" spans="1:4" x14ac:dyDescent="0.35">
      <c r="A253" s="1" t="s">
        <v>26</v>
      </c>
      <c r="B253" s="1" t="s">
        <v>598</v>
      </c>
      <c r="C253" s="1" t="s">
        <v>23</v>
      </c>
      <c r="D253" s="1" t="s">
        <v>20</v>
      </c>
    </row>
    <row r="254" spans="1:4" x14ac:dyDescent="0.35">
      <c r="A254" s="1" t="s">
        <v>2</v>
      </c>
      <c r="B254" s="1" t="s">
        <v>598</v>
      </c>
      <c r="C254" s="1" t="s">
        <v>602</v>
      </c>
      <c r="D254" s="1" t="s">
        <v>50</v>
      </c>
    </row>
    <row r="255" spans="1:4" x14ac:dyDescent="0.35">
      <c r="A255" s="1" t="s">
        <v>2</v>
      </c>
      <c r="B255" s="1" t="s">
        <v>600</v>
      </c>
      <c r="C255" s="1" t="s">
        <v>602</v>
      </c>
      <c r="D255" s="1" t="s">
        <v>50</v>
      </c>
    </row>
    <row r="256" spans="1:4" x14ac:dyDescent="0.35">
      <c r="A256" s="1" t="s">
        <v>2</v>
      </c>
      <c r="B256" s="1" t="s">
        <v>600</v>
      </c>
      <c r="C256" s="1" t="s">
        <v>23</v>
      </c>
      <c r="D256" s="1" t="s">
        <v>50</v>
      </c>
    </row>
    <row r="257" spans="1:4" x14ac:dyDescent="0.35">
      <c r="A257" s="1" t="s">
        <v>26</v>
      </c>
      <c r="B257" s="1" t="s">
        <v>597</v>
      </c>
      <c r="C257" s="1" t="s">
        <v>23</v>
      </c>
      <c r="D257" s="1" t="s">
        <v>28</v>
      </c>
    </row>
    <row r="258" spans="1:4" x14ac:dyDescent="0.35">
      <c r="A258" s="1" t="s">
        <v>2</v>
      </c>
      <c r="B258" s="1" t="s">
        <v>597</v>
      </c>
      <c r="C258" s="1" t="s">
        <v>23</v>
      </c>
      <c r="D258" s="1" t="s">
        <v>50</v>
      </c>
    </row>
    <row r="259" spans="1:4" x14ac:dyDescent="0.35">
      <c r="A259" s="1" t="s">
        <v>26</v>
      </c>
      <c r="B259" s="1" t="s">
        <v>598</v>
      </c>
      <c r="C259" s="1" t="s">
        <v>602</v>
      </c>
      <c r="D259" s="1" t="s">
        <v>50</v>
      </c>
    </row>
    <row r="260" spans="1:4" x14ac:dyDescent="0.35">
      <c r="A260" s="1" t="s">
        <v>2</v>
      </c>
      <c r="B260" s="1" t="s">
        <v>597</v>
      </c>
      <c r="C260" s="1" t="s">
        <v>23</v>
      </c>
      <c r="D260" s="1" t="s">
        <v>20</v>
      </c>
    </row>
    <row r="261" spans="1:4" x14ac:dyDescent="0.35">
      <c r="A261" s="1" t="s">
        <v>26</v>
      </c>
      <c r="B261" s="1" t="s">
        <v>597</v>
      </c>
      <c r="C261" s="1" t="s">
        <v>23</v>
      </c>
      <c r="D261" s="1" t="s">
        <v>28</v>
      </c>
    </row>
    <row r="262" spans="1:4" x14ac:dyDescent="0.35">
      <c r="A262" s="1" t="s">
        <v>26</v>
      </c>
      <c r="B262" s="1" t="s">
        <v>598</v>
      </c>
      <c r="C262" s="1" t="s">
        <v>23</v>
      </c>
      <c r="D262" s="1" t="s">
        <v>20</v>
      </c>
    </row>
    <row r="263" spans="1:4" x14ac:dyDescent="0.35">
      <c r="A263" s="1" t="s">
        <v>2</v>
      </c>
      <c r="B263" s="1" t="s">
        <v>597</v>
      </c>
      <c r="C263" s="1" t="s">
        <v>23</v>
      </c>
      <c r="D263" s="1" t="s">
        <v>28</v>
      </c>
    </row>
    <row r="264" spans="1:4" x14ac:dyDescent="0.35">
      <c r="A264" s="1" t="s">
        <v>2</v>
      </c>
      <c r="B264" s="1" t="s">
        <v>597</v>
      </c>
      <c r="C264" s="1" t="s">
        <v>23</v>
      </c>
      <c r="D264" s="1" t="s">
        <v>28</v>
      </c>
    </row>
    <row r="265" spans="1:4" x14ac:dyDescent="0.35">
      <c r="A265" s="1" t="s">
        <v>18</v>
      </c>
      <c r="B265" s="1" t="s">
        <v>597</v>
      </c>
      <c r="C265" s="1" t="s">
        <v>23</v>
      </c>
      <c r="D265" s="1" t="s">
        <v>20</v>
      </c>
    </row>
    <row r="266" spans="1:4" x14ac:dyDescent="0.35">
      <c r="A266" s="1" t="s">
        <v>2</v>
      </c>
      <c r="B266" s="1" t="s">
        <v>597</v>
      </c>
      <c r="C266" s="1" t="s">
        <v>23</v>
      </c>
      <c r="D266" s="1" t="s">
        <v>28</v>
      </c>
    </row>
    <row r="267" spans="1:4" x14ac:dyDescent="0.35">
      <c r="A267" s="1" t="s">
        <v>2</v>
      </c>
      <c r="B267" s="1" t="s">
        <v>600</v>
      </c>
      <c r="C267" s="1" t="s">
        <v>23</v>
      </c>
      <c r="D267" s="1" t="s">
        <v>20</v>
      </c>
    </row>
    <row r="268" spans="1:4" x14ac:dyDescent="0.35">
      <c r="A268" s="1" t="s">
        <v>2</v>
      </c>
      <c r="B268" s="1" t="s">
        <v>598</v>
      </c>
      <c r="C268" s="1" t="s">
        <v>23</v>
      </c>
      <c r="D268" s="1" t="s">
        <v>28</v>
      </c>
    </row>
    <row r="269" spans="1:4" x14ac:dyDescent="0.35">
      <c r="A269" s="1" t="s">
        <v>26</v>
      </c>
      <c r="B269" s="1" t="s">
        <v>600</v>
      </c>
      <c r="C269" s="1" t="s">
        <v>601</v>
      </c>
      <c r="D269" s="1" t="s">
        <v>50</v>
      </c>
    </row>
    <row r="270" spans="1:4" x14ac:dyDescent="0.35">
      <c r="A270" s="1" t="s">
        <v>26</v>
      </c>
      <c r="B270" s="1" t="s">
        <v>597</v>
      </c>
      <c r="C270" s="1" t="s">
        <v>602</v>
      </c>
      <c r="D270" s="1" t="s">
        <v>28</v>
      </c>
    </row>
    <row r="271" spans="1:4" x14ac:dyDescent="0.35">
      <c r="A271" s="1" t="s">
        <v>2</v>
      </c>
      <c r="B271" s="1" t="s">
        <v>597</v>
      </c>
      <c r="C271" s="1" t="s">
        <v>602</v>
      </c>
      <c r="D271" s="1" t="s">
        <v>50</v>
      </c>
    </row>
    <row r="272" spans="1:4" x14ac:dyDescent="0.35">
      <c r="A272" s="1" t="s">
        <v>2</v>
      </c>
      <c r="B272" s="1" t="s">
        <v>600</v>
      </c>
      <c r="C272" s="1" t="s">
        <v>601</v>
      </c>
      <c r="D272" s="1" t="s">
        <v>28</v>
      </c>
    </row>
    <row r="273" spans="1:4" x14ac:dyDescent="0.35">
      <c r="A273" s="1" t="s">
        <v>2</v>
      </c>
      <c r="B273" s="1" t="s">
        <v>598</v>
      </c>
      <c r="C273" s="1" t="s">
        <v>23</v>
      </c>
      <c r="D273" s="1" t="s">
        <v>20</v>
      </c>
    </row>
    <row r="274" spans="1:4" x14ac:dyDescent="0.35">
      <c r="A274" s="1" t="s">
        <v>26</v>
      </c>
      <c r="B274" s="1" t="s">
        <v>598</v>
      </c>
      <c r="C274" s="1" t="s">
        <v>23</v>
      </c>
      <c r="D274" s="1" t="s">
        <v>28</v>
      </c>
    </row>
    <row r="275" spans="1:4" x14ac:dyDescent="0.35">
      <c r="A275" s="1" t="s">
        <v>18</v>
      </c>
      <c r="B275" s="1" t="s">
        <v>598</v>
      </c>
      <c r="C275" s="1" t="s">
        <v>23</v>
      </c>
      <c r="D275" s="1" t="s">
        <v>50</v>
      </c>
    </row>
    <row r="276" spans="1:4" x14ac:dyDescent="0.35">
      <c r="A276" s="1" t="s">
        <v>2</v>
      </c>
      <c r="B276" s="1" t="s">
        <v>597</v>
      </c>
      <c r="C276" s="1" t="s">
        <v>601</v>
      </c>
      <c r="D276" s="1" t="s">
        <v>20</v>
      </c>
    </row>
    <row r="277" spans="1:4" x14ac:dyDescent="0.35">
      <c r="A277" s="1" t="s">
        <v>2</v>
      </c>
      <c r="B277" s="1" t="s">
        <v>598</v>
      </c>
      <c r="C277" s="1" t="s">
        <v>23</v>
      </c>
      <c r="D277" s="1" t="s">
        <v>20</v>
      </c>
    </row>
    <row r="278" spans="1:4" x14ac:dyDescent="0.35">
      <c r="A278" s="1" t="s">
        <v>26</v>
      </c>
      <c r="B278" s="1" t="s">
        <v>600</v>
      </c>
      <c r="C278" s="1" t="s">
        <v>23</v>
      </c>
      <c r="D278" s="1" t="s">
        <v>20</v>
      </c>
    </row>
    <row r="279" spans="1:4" x14ac:dyDescent="0.35">
      <c r="A279" s="1" t="s">
        <v>26</v>
      </c>
      <c r="B279" s="1" t="s">
        <v>598</v>
      </c>
      <c r="C279" s="1" t="s">
        <v>23</v>
      </c>
      <c r="D279" s="1" t="s">
        <v>20</v>
      </c>
    </row>
    <row r="280" spans="1:4" x14ac:dyDescent="0.35">
      <c r="A280" s="1" t="s">
        <v>2</v>
      </c>
      <c r="B280" s="1" t="s">
        <v>597</v>
      </c>
      <c r="C280" s="1" t="s">
        <v>23</v>
      </c>
      <c r="D280" s="1" t="s">
        <v>20</v>
      </c>
    </row>
    <row r="281" spans="1:4" x14ac:dyDescent="0.35">
      <c r="A281" s="1" t="s">
        <v>18</v>
      </c>
      <c r="B281" s="1" t="s">
        <v>597</v>
      </c>
      <c r="C281" s="1" t="s">
        <v>23</v>
      </c>
      <c r="D281" s="1" t="s">
        <v>50</v>
      </c>
    </row>
    <row r="282" spans="1:4" x14ac:dyDescent="0.35">
      <c r="A282" s="1" t="s">
        <v>26</v>
      </c>
      <c r="B282" s="1" t="s">
        <v>600</v>
      </c>
      <c r="C282" s="1" t="s">
        <v>23</v>
      </c>
      <c r="D282" s="1" t="s">
        <v>50</v>
      </c>
    </row>
    <row r="283" spans="1:4" x14ac:dyDescent="0.35">
      <c r="A283" s="1" t="s">
        <v>2</v>
      </c>
      <c r="B283" s="1" t="s">
        <v>600</v>
      </c>
      <c r="C283" s="1" t="s">
        <v>23</v>
      </c>
      <c r="D283" s="1" t="s">
        <v>20</v>
      </c>
    </row>
    <row r="284" spans="1:4" x14ac:dyDescent="0.35">
      <c r="A284" s="1" t="s">
        <v>26</v>
      </c>
      <c r="B284" s="1" t="s">
        <v>600</v>
      </c>
      <c r="C284" s="1" t="s">
        <v>601</v>
      </c>
      <c r="D284" s="1" t="s">
        <v>20</v>
      </c>
    </row>
    <row r="285" spans="1:4" x14ac:dyDescent="0.35">
      <c r="A285" s="1" t="s">
        <v>2</v>
      </c>
      <c r="B285" s="1" t="s">
        <v>597</v>
      </c>
      <c r="C285" s="1" t="s">
        <v>23</v>
      </c>
      <c r="D285" s="1" t="s">
        <v>28</v>
      </c>
    </row>
    <row r="286" spans="1:4" x14ac:dyDescent="0.35">
      <c r="A286" s="1" t="s">
        <v>2</v>
      </c>
      <c r="B286" s="1" t="s">
        <v>597</v>
      </c>
      <c r="C286" s="1" t="s">
        <v>23</v>
      </c>
      <c r="D286" s="1" t="s">
        <v>28</v>
      </c>
    </row>
    <row r="287" spans="1:4" x14ac:dyDescent="0.35">
      <c r="A287" s="1" t="s">
        <v>2</v>
      </c>
      <c r="B287" s="1" t="s">
        <v>597</v>
      </c>
      <c r="C287" s="1" t="s">
        <v>601</v>
      </c>
      <c r="D287" s="1" t="s">
        <v>20</v>
      </c>
    </row>
    <row r="288" spans="1:4" x14ac:dyDescent="0.35">
      <c r="A288" s="1" t="s">
        <v>2</v>
      </c>
      <c r="B288" s="1" t="s">
        <v>598</v>
      </c>
      <c r="C288" s="1" t="s">
        <v>23</v>
      </c>
      <c r="D288" s="1" t="s">
        <v>20</v>
      </c>
    </row>
    <row r="289" spans="1:4" x14ac:dyDescent="0.35">
      <c r="A289" s="1" t="s">
        <v>26</v>
      </c>
      <c r="B289" s="1" t="s">
        <v>598</v>
      </c>
      <c r="C289" s="1" t="s">
        <v>601</v>
      </c>
      <c r="D289" s="1" t="s">
        <v>20</v>
      </c>
    </row>
    <row r="290" spans="1:4" x14ac:dyDescent="0.35">
      <c r="A290" s="1" t="s">
        <v>26</v>
      </c>
      <c r="B290" s="1" t="s">
        <v>598</v>
      </c>
      <c r="C290" s="1" t="s">
        <v>23</v>
      </c>
      <c r="D290" s="1" t="s">
        <v>50</v>
      </c>
    </row>
    <row r="291" spans="1:4" x14ac:dyDescent="0.35">
      <c r="A291" s="1" t="s">
        <v>2</v>
      </c>
      <c r="B291" s="1" t="s">
        <v>597</v>
      </c>
      <c r="C291" s="1" t="s">
        <v>23</v>
      </c>
      <c r="D291" s="1" t="s">
        <v>20</v>
      </c>
    </row>
    <row r="292" spans="1:4" x14ac:dyDescent="0.35">
      <c r="A292" s="1" t="s">
        <v>2</v>
      </c>
      <c r="B292" s="1" t="s">
        <v>597</v>
      </c>
      <c r="C292" s="1" t="s">
        <v>23</v>
      </c>
      <c r="D292" s="1" t="s">
        <v>50</v>
      </c>
    </row>
    <row r="293" spans="1:4" x14ac:dyDescent="0.35">
      <c r="A293" s="1" t="s">
        <v>18</v>
      </c>
      <c r="B293" s="1" t="s">
        <v>600</v>
      </c>
      <c r="C293" s="1" t="s">
        <v>23</v>
      </c>
      <c r="D293" s="1" t="s">
        <v>28</v>
      </c>
    </row>
    <row r="294" spans="1:4" x14ac:dyDescent="0.35">
      <c r="A294" s="1" t="s">
        <v>26</v>
      </c>
      <c r="B294" s="1" t="s">
        <v>600</v>
      </c>
      <c r="C294" s="1" t="s">
        <v>23</v>
      </c>
      <c r="D294" s="1" t="s">
        <v>20</v>
      </c>
    </row>
    <row r="295" spans="1:4" x14ac:dyDescent="0.35">
      <c r="A295" s="1" t="s">
        <v>26</v>
      </c>
      <c r="B295" s="1" t="s">
        <v>600</v>
      </c>
      <c r="C295" s="1" t="s">
        <v>23</v>
      </c>
      <c r="D295" s="1" t="s">
        <v>50</v>
      </c>
    </row>
    <row r="296" spans="1:4" x14ac:dyDescent="0.35">
      <c r="A296" s="1" t="s">
        <v>26</v>
      </c>
      <c r="B296" s="1" t="s">
        <v>597</v>
      </c>
      <c r="C296" s="1" t="s">
        <v>23</v>
      </c>
      <c r="D296" s="1" t="s">
        <v>28</v>
      </c>
    </row>
    <row r="297" spans="1:4" x14ac:dyDescent="0.35">
      <c r="A297" s="1" t="s">
        <v>18</v>
      </c>
      <c r="B297" s="1" t="s">
        <v>597</v>
      </c>
      <c r="C297" s="1" t="s">
        <v>23</v>
      </c>
      <c r="D297" s="1" t="s">
        <v>20</v>
      </c>
    </row>
    <row r="298" spans="1:4" x14ac:dyDescent="0.35">
      <c r="A298" s="1" t="s">
        <v>2</v>
      </c>
      <c r="B298" s="1" t="s">
        <v>600</v>
      </c>
      <c r="C298" s="1" t="s">
        <v>602</v>
      </c>
      <c r="D298" s="1" t="s">
        <v>20</v>
      </c>
    </row>
    <row r="299" spans="1:4" x14ac:dyDescent="0.35">
      <c r="A299" s="1" t="s">
        <v>2</v>
      </c>
      <c r="B299" s="1" t="s">
        <v>597</v>
      </c>
      <c r="C299" s="1" t="s">
        <v>23</v>
      </c>
      <c r="D299" s="1" t="s">
        <v>20</v>
      </c>
    </row>
    <row r="300" spans="1:4" x14ac:dyDescent="0.35">
      <c r="A300" s="1" t="s">
        <v>18</v>
      </c>
      <c r="B300" s="1" t="s">
        <v>597</v>
      </c>
      <c r="C300" s="1" t="s">
        <v>602</v>
      </c>
      <c r="D300" s="1" t="s">
        <v>20</v>
      </c>
    </row>
    <row r="301" spans="1:4" x14ac:dyDescent="0.35">
      <c r="A301" s="1" t="s">
        <v>2</v>
      </c>
      <c r="B301" s="1" t="s">
        <v>598</v>
      </c>
      <c r="C301" s="1" t="s">
        <v>23</v>
      </c>
      <c r="D301" s="1" t="s">
        <v>50</v>
      </c>
    </row>
    <row r="302" spans="1:4" x14ac:dyDescent="0.35">
      <c r="A302" s="1" t="s">
        <v>26</v>
      </c>
      <c r="B302" s="1" t="s">
        <v>598</v>
      </c>
      <c r="C302" s="1" t="s">
        <v>23</v>
      </c>
      <c r="D302" s="1" t="s">
        <v>20</v>
      </c>
    </row>
    <row r="303" spans="1:4" x14ac:dyDescent="0.35">
      <c r="A303" s="1" t="s">
        <v>2</v>
      </c>
      <c r="B303" s="1" t="s">
        <v>598</v>
      </c>
      <c r="C303" s="1" t="s">
        <v>23</v>
      </c>
      <c r="D303" s="1" t="s">
        <v>20</v>
      </c>
    </row>
    <row r="304" spans="1:4" x14ac:dyDescent="0.35">
      <c r="A304" s="1" t="s">
        <v>26</v>
      </c>
      <c r="B304" s="1" t="s">
        <v>597</v>
      </c>
      <c r="C304" s="1" t="s">
        <v>602</v>
      </c>
      <c r="D304" s="1" t="s">
        <v>50</v>
      </c>
    </row>
    <row r="305" spans="1:4" x14ac:dyDescent="0.35">
      <c r="A305" s="1" t="s">
        <v>2</v>
      </c>
      <c r="B305" s="1" t="s">
        <v>598</v>
      </c>
      <c r="C305" s="1" t="s">
        <v>23</v>
      </c>
      <c r="D305" s="1" t="s">
        <v>50</v>
      </c>
    </row>
    <row r="306" spans="1:4" x14ac:dyDescent="0.35">
      <c r="A306" s="1" t="s">
        <v>18</v>
      </c>
      <c r="B306" s="1" t="s">
        <v>598</v>
      </c>
      <c r="C306" s="1" t="s">
        <v>602</v>
      </c>
      <c r="D306" s="1" t="s">
        <v>28</v>
      </c>
    </row>
    <row r="307" spans="1:4" x14ac:dyDescent="0.35">
      <c r="A307" s="1" t="s">
        <v>18</v>
      </c>
      <c r="B307" s="1" t="s">
        <v>598</v>
      </c>
      <c r="C307" s="1" t="s">
        <v>23</v>
      </c>
      <c r="D307" s="1" t="s">
        <v>20</v>
      </c>
    </row>
    <row r="308" spans="1:4" x14ac:dyDescent="0.35">
      <c r="A308" s="1" t="s">
        <v>18</v>
      </c>
      <c r="B308" s="1" t="s">
        <v>597</v>
      </c>
      <c r="C308" s="1" t="s">
        <v>23</v>
      </c>
      <c r="D308" s="1" t="s">
        <v>28</v>
      </c>
    </row>
    <row r="309" spans="1:4" x14ac:dyDescent="0.35">
      <c r="A309" s="1" t="s">
        <v>2</v>
      </c>
      <c r="B309" s="1" t="s">
        <v>598</v>
      </c>
      <c r="C309" s="1" t="s">
        <v>601</v>
      </c>
      <c r="D309" s="1" t="s">
        <v>28</v>
      </c>
    </row>
    <row r="310" spans="1:4" x14ac:dyDescent="0.35">
      <c r="A310" s="1" t="s">
        <v>26</v>
      </c>
      <c r="B310" s="1" t="s">
        <v>597</v>
      </c>
      <c r="C310" s="1" t="s">
        <v>23</v>
      </c>
      <c r="D310" s="1" t="s">
        <v>20</v>
      </c>
    </row>
    <row r="311" spans="1:4" x14ac:dyDescent="0.35">
      <c r="A311" s="1" t="s">
        <v>2</v>
      </c>
      <c r="B311" s="1" t="s">
        <v>600</v>
      </c>
      <c r="C311" s="1" t="s">
        <v>23</v>
      </c>
      <c r="D311" s="1" t="s">
        <v>20</v>
      </c>
    </row>
    <row r="312" spans="1:4" x14ac:dyDescent="0.35">
      <c r="A312" s="1" t="s">
        <v>26</v>
      </c>
      <c r="B312" s="1" t="s">
        <v>597</v>
      </c>
      <c r="C312" s="1" t="s">
        <v>23</v>
      </c>
      <c r="D312" s="1" t="s">
        <v>50</v>
      </c>
    </row>
    <row r="313" spans="1:4" x14ac:dyDescent="0.35">
      <c r="A313" s="1" t="s">
        <v>2</v>
      </c>
      <c r="B313" s="1" t="s">
        <v>597</v>
      </c>
      <c r="C313" s="1" t="s">
        <v>23</v>
      </c>
      <c r="D313" s="1" t="s">
        <v>28</v>
      </c>
    </row>
    <row r="314" spans="1:4" x14ac:dyDescent="0.35">
      <c r="A314" s="1" t="s">
        <v>26</v>
      </c>
      <c r="B314" s="1" t="s">
        <v>598</v>
      </c>
      <c r="C314" s="1" t="s">
        <v>23</v>
      </c>
      <c r="D314" s="1" t="s">
        <v>28</v>
      </c>
    </row>
    <row r="315" spans="1:4" x14ac:dyDescent="0.35">
      <c r="A315" s="1" t="s">
        <v>2</v>
      </c>
      <c r="B315" s="1" t="s">
        <v>597</v>
      </c>
      <c r="C315" s="1" t="s">
        <v>602</v>
      </c>
      <c r="D315" s="1" t="s">
        <v>20</v>
      </c>
    </row>
    <row r="316" spans="1:4" x14ac:dyDescent="0.35">
      <c r="A316" s="1" t="s">
        <v>2</v>
      </c>
      <c r="B316" s="1" t="s">
        <v>597</v>
      </c>
      <c r="C316" s="1" t="s">
        <v>23</v>
      </c>
      <c r="D316" s="1" t="s">
        <v>28</v>
      </c>
    </row>
    <row r="317" spans="1:4" x14ac:dyDescent="0.35">
      <c r="A317" s="1" t="s">
        <v>18</v>
      </c>
      <c r="B317" s="1" t="s">
        <v>597</v>
      </c>
      <c r="C317" s="1" t="s">
        <v>23</v>
      </c>
      <c r="D317" s="1" t="s">
        <v>20</v>
      </c>
    </row>
    <row r="318" spans="1:4" x14ac:dyDescent="0.35">
      <c r="A318" s="1" t="s">
        <v>2</v>
      </c>
      <c r="B318" s="1" t="s">
        <v>598</v>
      </c>
      <c r="C318" s="1" t="s">
        <v>602</v>
      </c>
      <c r="D318" s="1" t="s">
        <v>20</v>
      </c>
    </row>
    <row r="319" spans="1:4" x14ac:dyDescent="0.35">
      <c r="A319" s="1" t="s">
        <v>2</v>
      </c>
      <c r="B319" s="1" t="s">
        <v>598</v>
      </c>
      <c r="C319" s="1" t="s">
        <v>601</v>
      </c>
      <c r="D319" s="1" t="s">
        <v>20</v>
      </c>
    </row>
    <row r="320" spans="1:4" x14ac:dyDescent="0.35">
      <c r="A320" s="1" t="s">
        <v>2</v>
      </c>
      <c r="B320" s="1" t="s">
        <v>600</v>
      </c>
      <c r="C320" s="1" t="s">
        <v>23</v>
      </c>
      <c r="D320" s="1" t="s">
        <v>20</v>
      </c>
    </row>
    <row r="321" spans="1:4" x14ac:dyDescent="0.35">
      <c r="A321" s="1" t="s">
        <v>26</v>
      </c>
      <c r="B321" s="1" t="s">
        <v>597</v>
      </c>
      <c r="C321" s="1" t="s">
        <v>601</v>
      </c>
      <c r="D321" s="1" t="s">
        <v>20</v>
      </c>
    </row>
    <row r="322" spans="1:4" x14ac:dyDescent="0.35">
      <c r="A322" s="1" t="s">
        <v>26</v>
      </c>
      <c r="B322" s="1" t="s">
        <v>598</v>
      </c>
      <c r="C322" s="1" t="s">
        <v>23</v>
      </c>
      <c r="D322" s="1" t="s">
        <v>50</v>
      </c>
    </row>
    <row r="323" spans="1:4" x14ac:dyDescent="0.35">
      <c r="A323" s="1" t="s">
        <v>26</v>
      </c>
      <c r="B323" s="1" t="s">
        <v>597</v>
      </c>
      <c r="C323" s="1" t="s">
        <v>23</v>
      </c>
      <c r="D323" s="1" t="s">
        <v>20</v>
      </c>
    </row>
    <row r="324" spans="1:4" x14ac:dyDescent="0.35">
      <c r="A324" s="1" t="s">
        <v>26</v>
      </c>
      <c r="B324" s="1" t="s">
        <v>597</v>
      </c>
      <c r="C324" s="1" t="s">
        <v>23</v>
      </c>
      <c r="D324" s="1" t="s">
        <v>20</v>
      </c>
    </row>
    <row r="325" spans="1:4" x14ac:dyDescent="0.35">
      <c r="A325" s="1" t="s">
        <v>26</v>
      </c>
      <c r="B325" s="1" t="s">
        <v>598</v>
      </c>
      <c r="C325" s="1" t="s">
        <v>23</v>
      </c>
      <c r="D325" s="1" t="s">
        <v>20</v>
      </c>
    </row>
    <row r="326" spans="1:4" x14ac:dyDescent="0.35">
      <c r="A326" s="1" t="s">
        <v>2</v>
      </c>
      <c r="B326" s="1" t="s">
        <v>597</v>
      </c>
      <c r="C326" s="1" t="s">
        <v>23</v>
      </c>
      <c r="D326" s="1" t="s">
        <v>50</v>
      </c>
    </row>
    <row r="327" spans="1:4" x14ac:dyDescent="0.35">
      <c r="A327" s="1" t="s">
        <v>26</v>
      </c>
      <c r="B327" s="1" t="s">
        <v>598</v>
      </c>
      <c r="C327" s="1" t="s">
        <v>602</v>
      </c>
      <c r="D327" s="1" t="s">
        <v>20</v>
      </c>
    </row>
    <row r="328" spans="1:4" x14ac:dyDescent="0.35">
      <c r="A328" s="1" t="s">
        <v>26</v>
      </c>
      <c r="B328" s="1" t="s">
        <v>598</v>
      </c>
      <c r="C328" s="1" t="s">
        <v>602</v>
      </c>
      <c r="D328" s="1" t="s">
        <v>20</v>
      </c>
    </row>
    <row r="329" spans="1:4" x14ac:dyDescent="0.35">
      <c r="A329" s="1" t="s">
        <v>2</v>
      </c>
      <c r="B329" s="1" t="s">
        <v>598</v>
      </c>
      <c r="C329" s="1" t="s">
        <v>23</v>
      </c>
      <c r="D329" s="1" t="s">
        <v>50</v>
      </c>
    </row>
    <row r="330" spans="1:4" x14ac:dyDescent="0.35">
      <c r="A330" s="1" t="s">
        <v>26</v>
      </c>
      <c r="B330" s="1" t="s">
        <v>597</v>
      </c>
      <c r="C330" s="1" t="s">
        <v>23</v>
      </c>
      <c r="D330" s="1" t="s">
        <v>20</v>
      </c>
    </row>
    <row r="331" spans="1:4" x14ac:dyDescent="0.35">
      <c r="A331" s="1" t="s">
        <v>2</v>
      </c>
      <c r="B331" s="1" t="s">
        <v>597</v>
      </c>
      <c r="C331" s="1" t="s">
        <v>23</v>
      </c>
      <c r="D331" s="1" t="s">
        <v>20</v>
      </c>
    </row>
    <row r="332" spans="1:4" x14ac:dyDescent="0.35">
      <c r="A332" s="1" t="s">
        <v>26</v>
      </c>
      <c r="B332" s="1" t="s">
        <v>598</v>
      </c>
      <c r="C332" s="1" t="s">
        <v>602</v>
      </c>
      <c r="D332" s="1" t="s">
        <v>20</v>
      </c>
    </row>
    <row r="333" spans="1:4" x14ac:dyDescent="0.35">
      <c r="A333" s="1" t="s">
        <v>26</v>
      </c>
      <c r="B333" s="1" t="s">
        <v>597</v>
      </c>
      <c r="C333" s="1" t="s">
        <v>23</v>
      </c>
      <c r="D333" s="1" t="s">
        <v>20</v>
      </c>
    </row>
    <row r="334" spans="1:4" x14ac:dyDescent="0.35">
      <c r="A334" s="1" t="s">
        <v>18</v>
      </c>
      <c r="B334" s="1" t="s">
        <v>600</v>
      </c>
      <c r="C334" s="1" t="s">
        <v>23</v>
      </c>
      <c r="D334" s="1" t="s">
        <v>28</v>
      </c>
    </row>
    <row r="335" spans="1:4" x14ac:dyDescent="0.35">
      <c r="A335" s="1" t="s">
        <v>26</v>
      </c>
      <c r="B335" s="1" t="s">
        <v>597</v>
      </c>
      <c r="C335" s="1" t="s">
        <v>23</v>
      </c>
      <c r="D335" s="1" t="s">
        <v>20</v>
      </c>
    </row>
    <row r="336" spans="1:4" x14ac:dyDescent="0.35">
      <c r="A336" s="1" t="s">
        <v>2</v>
      </c>
      <c r="B336" s="1" t="s">
        <v>598</v>
      </c>
      <c r="C336" s="1" t="s">
        <v>23</v>
      </c>
      <c r="D336" s="1" t="s">
        <v>50</v>
      </c>
    </row>
    <row r="337" spans="1:4" x14ac:dyDescent="0.35">
      <c r="A337" s="1" t="s">
        <v>2</v>
      </c>
      <c r="B337" s="1" t="s">
        <v>600</v>
      </c>
      <c r="C337" s="1" t="s">
        <v>23</v>
      </c>
      <c r="D337" s="1" t="s">
        <v>50</v>
      </c>
    </row>
    <row r="338" spans="1:4" x14ac:dyDescent="0.35">
      <c r="A338" s="1" t="s">
        <v>2</v>
      </c>
      <c r="B338" s="1" t="s">
        <v>597</v>
      </c>
      <c r="C338" s="1" t="s">
        <v>23</v>
      </c>
      <c r="D338" s="1" t="s">
        <v>20</v>
      </c>
    </row>
    <row r="339" spans="1:4" x14ac:dyDescent="0.35">
      <c r="A339" s="1" t="s">
        <v>2</v>
      </c>
      <c r="B339" s="1" t="s">
        <v>600</v>
      </c>
      <c r="C339" s="1" t="s">
        <v>23</v>
      </c>
      <c r="D339" s="1" t="s">
        <v>50</v>
      </c>
    </row>
    <row r="340" spans="1:4" x14ac:dyDescent="0.35">
      <c r="A340" s="1" t="s">
        <v>26</v>
      </c>
      <c r="B340" s="1" t="s">
        <v>598</v>
      </c>
      <c r="C340" s="1" t="s">
        <v>23</v>
      </c>
      <c r="D340" s="1" t="s">
        <v>28</v>
      </c>
    </row>
    <row r="341" spans="1:4" x14ac:dyDescent="0.35">
      <c r="A341" s="1" t="s">
        <v>2</v>
      </c>
      <c r="B341" s="1" t="s">
        <v>598</v>
      </c>
      <c r="C341" s="1" t="s">
        <v>23</v>
      </c>
      <c r="D341" s="1" t="s">
        <v>20</v>
      </c>
    </row>
    <row r="342" spans="1:4" x14ac:dyDescent="0.35">
      <c r="A342" s="1" t="s">
        <v>18</v>
      </c>
      <c r="B342" s="1" t="s">
        <v>597</v>
      </c>
      <c r="C342" s="1" t="s">
        <v>23</v>
      </c>
      <c r="D342" s="1" t="s">
        <v>20</v>
      </c>
    </row>
    <row r="343" spans="1:4" x14ac:dyDescent="0.35">
      <c r="A343" s="1" t="s">
        <v>26</v>
      </c>
      <c r="B343" s="1" t="s">
        <v>597</v>
      </c>
      <c r="C343" s="1" t="s">
        <v>23</v>
      </c>
      <c r="D343" s="1" t="s">
        <v>20</v>
      </c>
    </row>
    <row r="344" spans="1:4" x14ac:dyDescent="0.35">
      <c r="A344" s="1" t="s">
        <v>18</v>
      </c>
      <c r="B344" s="1" t="s">
        <v>598</v>
      </c>
      <c r="C344" s="1" t="s">
        <v>602</v>
      </c>
      <c r="D344" s="1" t="s">
        <v>20</v>
      </c>
    </row>
    <row r="345" spans="1:4" x14ac:dyDescent="0.35">
      <c r="A345" s="1" t="s">
        <v>26</v>
      </c>
      <c r="B345" s="1" t="s">
        <v>597</v>
      </c>
      <c r="C345" s="1" t="s">
        <v>602</v>
      </c>
      <c r="D345" s="1" t="s">
        <v>20</v>
      </c>
    </row>
    <row r="346" spans="1:4" x14ac:dyDescent="0.35">
      <c r="A346" s="1" t="s">
        <v>18</v>
      </c>
      <c r="B346" s="1" t="s">
        <v>598</v>
      </c>
      <c r="C346" s="1" t="s">
        <v>602</v>
      </c>
      <c r="D346" s="1" t="s">
        <v>20</v>
      </c>
    </row>
    <row r="347" spans="1:4" x14ac:dyDescent="0.35">
      <c r="A347" s="1" t="s">
        <v>18</v>
      </c>
      <c r="B347" s="1" t="s">
        <v>597</v>
      </c>
      <c r="C347" s="1" t="s">
        <v>602</v>
      </c>
      <c r="D347" s="1" t="s">
        <v>50</v>
      </c>
    </row>
    <row r="348" spans="1:4" x14ac:dyDescent="0.35">
      <c r="A348" s="1" t="s">
        <v>2</v>
      </c>
      <c r="B348" s="1" t="s">
        <v>597</v>
      </c>
      <c r="C348" s="1" t="s">
        <v>23</v>
      </c>
      <c r="D348" s="1" t="s">
        <v>20</v>
      </c>
    </row>
    <row r="349" spans="1:4" x14ac:dyDescent="0.35">
      <c r="A349" s="1" t="s">
        <v>2</v>
      </c>
      <c r="B349" s="1" t="s">
        <v>598</v>
      </c>
      <c r="C349" s="1" t="s">
        <v>602</v>
      </c>
      <c r="D349" s="1" t="s">
        <v>20</v>
      </c>
    </row>
    <row r="350" spans="1:4" x14ac:dyDescent="0.35">
      <c r="A350" s="1" t="s">
        <v>18</v>
      </c>
      <c r="B350" s="1" t="s">
        <v>598</v>
      </c>
      <c r="C350" s="1" t="s">
        <v>23</v>
      </c>
      <c r="D350" s="1" t="s">
        <v>20</v>
      </c>
    </row>
    <row r="351" spans="1:4" x14ac:dyDescent="0.35">
      <c r="A351" s="1" t="s">
        <v>26</v>
      </c>
      <c r="B351" s="1" t="s">
        <v>598</v>
      </c>
      <c r="C351" s="1" t="s">
        <v>602</v>
      </c>
      <c r="D351" s="1" t="s">
        <v>50</v>
      </c>
    </row>
    <row r="352" spans="1:4" x14ac:dyDescent="0.35">
      <c r="A352" s="1" t="s">
        <v>18</v>
      </c>
      <c r="B352" s="1" t="s">
        <v>598</v>
      </c>
      <c r="C352" s="1" t="s">
        <v>23</v>
      </c>
      <c r="D352" s="1" t="s">
        <v>50</v>
      </c>
    </row>
    <row r="353" spans="1:4" x14ac:dyDescent="0.35">
      <c r="A353" s="1" t="s">
        <v>18</v>
      </c>
      <c r="B353" s="1" t="s">
        <v>600</v>
      </c>
      <c r="C353" s="1" t="s">
        <v>23</v>
      </c>
      <c r="D353" s="1" t="s">
        <v>28</v>
      </c>
    </row>
    <row r="354" spans="1:4" x14ac:dyDescent="0.35">
      <c r="A354" s="1" t="s">
        <v>2</v>
      </c>
      <c r="B354" s="1" t="s">
        <v>600</v>
      </c>
      <c r="C354" s="1" t="s">
        <v>23</v>
      </c>
      <c r="D354" s="1" t="s">
        <v>50</v>
      </c>
    </row>
    <row r="355" spans="1:4" x14ac:dyDescent="0.35">
      <c r="A355" s="1" t="s">
        <v>26</v>
      </c>
      <c r="B355" s="1" t="s">
        <v>598</v>
      </c>
      <c r="C355" s="1" t="s">
        <v>602</v>
      </c>
      <c r="D355" s="1" t="s">
        <v>50</v>
      </c>
    </row>
    <row r="356" spans="1:4" x14ac:dyDescent="0.35">
      <c r="A356" s="1" t="s">
        <v>26</v>
      </c>
      <c r="B356" s="1" t="s">
        <v>598</v>
      </c>
      <c r="C356" s="1" t="s">
        <v>23</v>
      </c>
      <c r="D356" s="1" t="s">
        <v>20</v>
      </c>
    </row>
    <row r="357" spans="1:4" x14ac:dyDescent="0.35">
      <c r="A357" s="1" t="s">
        <v>2</v>
      </c>
      <c r="B357" s="1" t="s">
        <v>597</v>
      </c>
      <c r="C357" s="1" t="s">
        <v>23</v>
      </c>
      <c r="D357" s="1" t="s">
        <v>20</v>
      </c>
    </row>
    <row r="358" spans="1:4" x14ac:dyDescent="0.35">
      <c r="A358" s="1" t="s">
        <v>2</v>
      </c>
      <c r="B358" s="1" t="s">
        <v>597</v>
      </c>
      <c r="C358" s="1" t="s">
        <v>23</v>
      </c>
      <c r="D358" s="1" t="s">
        <v>28</v>
      </c>
    </row>
    <row r="359" spans="1:4" x14ac:dyDescent="0.35">
      <c r="A359" s="1" t="s">
        <v>26</v>
      </c>
      <c r="B359" s="1" t="s">
        <v>597</v>
      </c>
      <c r="C359" s="1" t="s">
        <v>23</v>
      </c>
      <c r="D359" s="1" t="s">
        <v>20</v>
      </c>
    </row>
    <row r="360" spans="1:4" x14ac:dyDescent="0.35">
      <c r="A360" s="1" t="s">
        <v>18</v>
      </c>
      <c r="B360" s="1" t="s">
        <v>598</v>
      </c>
      <c r="C360" s="1" t="s">
        <v>23</v>
      </c>
      <c r="D360" s="1" t="s">
        <v>20</v>
      </c>
    </row>
    <row r="361" spans="1:4" x14ac:dyDescent="0.35">
      <c r="A361" s="1" t="s">
        <v>2</v>
      </c>
      <c r="B361" s="1" t="s">
        <v>597</v>
      </c>
      <c r="C361" s="1" t="s">
        <v>23</v>
      </c>
      <c r="D361" s="1" t="s">
        <v>50</v>
      </c>
    </row>
    <row r="362" spans="1:4" x14ac:dyDescent="0.35">
      <c r="A362" s="1" t="s">
        <v>26</v>
      </c>
      <c r="B362" s="1" t="s">
        <v>600</v>
      </c>
      <c r="C362" s="1" t="s">
        <v>23</v>
      </c>
      <c r="D362" s="1" t="s">
        <v>20</v>
      </c>
    </row>
    <row r="363" spans="1:4" x14ac:dyDescent="0.35">
      <c r="A363" s="1" t="s">
        <v>18</v>
      </c>
      <c r="B363" s="1" t="s">
        <v>597</v>
      </c>
      <c r="C363" s="1" t="s">
        <v>602</v>
      </c>
      <c r="D363" s="1" t="s">
        <v>50</v>
      </c>
    </row>
    <row r="364" spans="1:4" x14ac:dyDescent="0.35">
      <c r="A364" s="1" t="s">
        <v>26</v>
      </c>
      <c r="B364" s="1" t="s">
        <v>597</v>
      </c>
      <c r="C364" s="1" t="s">
        <v>602</v>
      </c>
      <c r="D364" s="1" t="s">
        <v>28</v>
      </c>
    </row>
    <row r="365" spans="1:4" x14ac:dyDescent="0.35">
      <c r="A365" s="1" t="s">
        <v>2</v>
      </c>
      <c r="B365" s="1" t="s">
        <v>597</v>
      </c>
      <c r="C365" s="1" t="s">
        <v>23</v>
      </c>
      <c r="D365" s="1" t="s">
        <v>50</v>
      </c>
    </row>
    <row r="366" spans="1:4" x14ac:dyDescent="0.35">
      <c r="A366" s="1" t="s">
        <v>2</v>
      </c>
      <c r="B366" s="1" t="s">
        <v>598</v>
      </c>
      <c r="C366" s="1" t="s">
        <v>23</v>
      </c>
      <c r="D366" s="1" t="s">
        <v>50</v>
      </c>
    </row>
    <row r="367" spans="1:4" x14ac:dyDescent="0.35">
      <c r="A367" s="1" t="s">
        <v>2</v>
      </c>
      <c r="B367" s="1" t="s">
        <v>597</v>
      </c>
      <c r="C367" s="1" t="s">
        <v>23</v>
      </c>
      <c r="D367" s="1" t="s">
        <v>20</v>
      </c>
    </row>
    <row r="368" spans="1:4" x14ac:dyDescent="0.35">
      <c r="A368" s="1" t="s">
        <v>2</v>
      </c>
      <c r="B368" s="1" t="s">
        <v>597</v>
      </c>
      <c r="C368" s="1" t="s">
        <v>23</v>
      </c>
      <c r="D368" s="1" t="s">
        <v>20</v>
      </c>
    </row>
    <row r="369" spans="1:4" x14ac:dyDescent="0.35">
      <c r="A369" s="1" t="s">
        <v>18</v>
      </c>
      <c r="B369" s="1" t="s">
        <v>597</v>
      </c>
      <c r="C369" s="1" t="s">
        <v>23</v>
      </c>
      <c r="D369" s="1" t="s">
        <v>20</v>
      </c>
    </row>
    <row r="370" spans="1:4" x14ac:dyDescent="0.35">
      <c r="A370" s="1" t="s">
        <v>2</v>
      </c>
      <c r="B370" s="1" t="s">
        <v>597</v>
      </c>
      <c r="C370" s="1" t="s">
        <v>23</v>
      </c>
      <c r="D370" s="1" t="s">
        <v>20</v>
      </c>
    </row>
    <row r="371" spans="1:4" x14ac:dyDescent="0.35">
      <c r="A371" s="1" t="s">
        <v>2</v>
      </c>
      <c r="B371" s="1" t="s">
        <v>597</v>
      </c>
      <c r="C371" s="1" t="s">
        <v>23</v>
      </c>
      <c r="D371" s="1" t="s">
        <v>50</v>
      </c>
    </row>
    <row r="372" spans="1:4" x14ac:dyDescent="0.35">
      <c r="A372" s="1" t="s">
        <v>2</v>
      </c>
      <c r="B372" s="1" t="s">
        <v>598</v>
      </c>
      <c r="C372" s="1" t="s">
        <v>23</v>
      </c>
      <c r="D372" s="1" t="s">
        <v>20</v>
      </c>
    </row>
    <row r="373" spans="1:4" x14ac:dyDescent="0.35">
      <c r="A373" s="1" t="s">
        <v>2</v>
      </c>
      <c r="B373" s="1" t="s">
        <v>597</v>
      </c>
      <c r="C373" s="1" t="s">
        <v>23</v>
      </c>
      <c r="D373" s="1" t="s">
        <v>20</v>
      </c>
    </row>
    <row r="374" spans="1:4" x14ac:dyDescent="0.35">
      <c r="A374" s="1" t="s">
        <v>2</v>
      </c>
      <c r="B374" s="1" t="s">
        <v>598</v>
      </c>
      <c r="C374" s="1" t="s">
        <v>23</v>
      </c>
      <c r="D374" s="1" t="s">
        <v>20</v>
      </c>
    </row>
    <row r="375" spans="1:4" x14ac:dyDescent="0.35">
      <c r="A375" s="1" t="s">
        <v>2</v>
      </c>
      <c r="B375" s="1" t="s">
        <v>600</v>
      </c>
      <c r="C375" s="1" t="s">
        <v>23</v>
      </c>
      <c r="D375" s="1" t="s">
        <v>28</v>
      </c>
    </row>
    <row r="376" spans="1:4" x14ac:dyDescent="0.35">
      <c r="A376" s="1" t="s">
        <v>2</v>
      </c>
      <c r="B376" s="1" t="s">
        <v>598</v>
      </c>
      <c r="C376" s="1" t="s">
        <v>23</v>
      </c>
      <c r="D376" s="1" t="s">
        <v>28</v>
      </c>
    </row>
    <row r="377" spans="1:4" x14ac:dyDescent="0.35">
      <c r="A377" s="1" t="s">
        <v>18</v>
      </c>
      <c r="B377" s="1" t="s">
        <v>598</v>
      </c>
      <c r="C377" s="1" t="s">
        <v>23</v>
      </c>
      <c r="D377" s="1" t="s">
        <v>20</v>
      </c>
    </row>
    <row r="378" spans="1:4" x14ac:dyDescent="0.35">
      <c r="A378" s="1" t="s">
        <v>2</v>
      </c>
      <c r="B378" s="1" t="s">
        <v>598</v>
      </c>
      <c r="C378" s="1" t="s">
        <v>23</v>
      </c>
      <c r="D378" s="1" t="s">
        <v>20</v>
      </c>
    </row>
    <row r="379" spans="1:4" x14ac:dyDescent="0.35">
      <c r="A379" s="1" t="s">
        <v>26</v>
      </c>
      <c r="B379" s="1" t="s">
        <v>597</v>
      </c>
      <c r="C379" s="1" t="s">
        <v>23</v>
      </c>
      <c r="D379" s="1" t="s">
        <v>20</v>
      </c>
    </row>
    <row r="380" spans="1:4" x14ac:dyDescent="0.35">
      <c r="A380" s="1" t="s">
        <v>2</v>
      </c>
      <c r="B380" s="1" t="s">
        <v>597</v>
      </c>
      <c r="C380" s="1" t="s">
        <v>23</v>
      </c>
      <c r="D380" s="1" t="s">
        <v>20</v>
      </c>
    </row>
    <row r="381" spans="1:4" x14ac:dyDescent="0.35">
      <c r="A381" s="1" t="s">
        <v>18</v>
      </c>
      <c r="B381" s="1" t="s">
        <v>598</v>
      </c>
      <c r="C381" s="1" t="s">
        <v>23</v>
      </c>
      <c r="D381" s="1" t="s">
        <v>28</v>
      </c>
    </row>
    <row r="382" spans="1:4" x14ac:dyDescent="0.35">
      <c r="A382" s="1" t="s">
        <v>26</v>
      </c>
      <c r="B382" s="1" t="s">
        <v>598</v>
      </c>
      <c r="C382" s="1" t="s">
        <v>23</v>
      </c>
      <c r="D382" s="1" t="s">
        <v>20</v>
      </c>
    </row>
    <row r="383" spans="1:4" x14ac:dyDescent="0.35">
      <c r="A383" s="1" t="s">
        <v>18</v>
      </c>
      <c r="B383" s="1" t="s">
        <v>597</v>
      </c>
      <c r="C383" s="1" t="s">
        <v>602</v>
      </c>
      <c r="D383" s="1" t="s">
        <v>20</v>
      </c>
    </row>
    <row r="384" spans="1:4" x14ac:dyDescent="0.35">
      <c r="A384" s="1" t="s">
        <v>26</v>
      </c>
      <c r="B384" s="1" t="s">
        <v>597</v>
      </c>
      <c r="C384" s="1" t="s">
        <v>23</v>
      </c>
      <c r="D384" s="1" t="s">
        <v>28</v>
      </c>
    </row>
    <row r="385" spans="1:4" x14ac:dyDescent="0.35">
      <c r="A385" s="1" t="s">
        <v>2</v>
      </c>
      <c r="B385" s="1" t="s">
        <v>597</v>
      </c>
      <c r="C385" s="1" t="s">
        <v>602</v>
      </c>
      <c r="D385" s="1" t="s">
        <v>20</v>
      </c>
    </row>
    <row r="386" spans="1:4" x14ac:dyDescent="0.35">
      <c r="A386" s="1" t="s">
        <v>2</v>
      </c>
      <c r="B386" s="1" t="s">
        <v>597</v>
      </c>
      <c r="C386" s="1" t="s">
        <v>23</v>
      </c>
      <c r="D386" s="1" t="s">
        <v>20</v>
      </c>
    </row>
    <row r="387" spans="1:4" x14ac:dyDescent="0.35">
      <c r="A387" s="1" t="s">
        <v>2</v>
      </c>
      <c r="B387" s="1" t="s">
        <v>600</v>
      </c>
      <c r="C387" s="1" t="s">
        <v>23</v>
      </c>
      <c r="D387" s="1" t="s">
        <v>50</v>
      </c>
    </row>
    <row r="388" spans="1:4" x14ac:dyDescent="0.35">
      <c r="A388" s="1" t="s">
        <v>26</v>
      </c>
      <c r="B388" s="1" t="s">
        <v>597</v>
      </c>
      <c r="C388" s="1" t="s">
        <v>602</v>
      </c>
      <c r="D388" s="1" t="s">
        <v>20</v>
      </c>
    </row>
    <row r="389" spans="1:4" x14ac:dyDescent="0.35">
      <c r="A389" s="1" t="s">
        <v>18</v>
      </c>
      <c r="B389" s="1" t="s">
        <v>597</v>
      </c>
      <c r="C389" s="1" t="s">
        <v>602</v>
      </c>
      <c r="D389" s="1" t="s">
        <v>50</v>
      </c>
    </row>
    <row r="390" spans="1:4" x14ac:dyDescent="0.35">
      <c r="A390" s="1" t="s">
        <v>2</v>
      </c>
      <c r="B390" s="1" t="s">
        <v>598</v>
      </c>
      <c r="C390" s="1" t="s">
        <v>602</v>
      </c>
      <c r="D390" s="1" t="s">
        <v>50</v>
      </c>
    </row>
    <row r="391" spans="1:4" x14ac:dyDescent="0.35">
      <c r="A391" s="1" t="s">
        <v>26</v>
      </c>
      <c r="B391" s="1" t="s">
        <v>597</v>
      </c>
      <c r="C391" s="1" t="s">
        <v>23</v>
      </c>
      <c r="D391" s="1" t="s">
        <v>50</v>
      </c>
    </row>
    <row r="392" spans="1:4" x14ac:dyDescent="0.35">
      <c r="A392" s="1" t="s">
        <v>18</v>
      </c>
      <c r="B392" s="1" t="s">
        <v>597</v>
      </c>
      <c r="C392" s="1" t="s">
        <v>602</v>
      </c>
      <c r="D392" s="1" t="s">
        <v>20</v>
      </c>
    </row>
    <row r="393" spans="1:4" x14ac:dyDescent="0.35">
      <c r="A393" s="1" t="s">
        <v>26</v>
      </c>
      <c r="B393" s="1" t="s">
        <v>598</v>
      </c>
      <c r="C393" s="1" t="s">
        <v>602</v>
      </c>
      <c r="D393" s="1" t="s">
        <v>20</v>
      </c>
    </row>
    <row r="394" spans="1:4" x14ac:dyDescent="0.35">
      <c r="A394" s="1" t="s">
        <v>18</v>
      </c>
      <c r="B394" s="1" t="s">
        <v>598</v>
      </c>
      <c r="C394" s="1" t="s">
        <v>602</v>
      </c>
      <c r="D394" s="1" t="s">
        <v>20</v>
      </c>
    </row>
    <row r="395" spans="1:4" x14ac:dyDescent="0.35">
      <c r="A395" s="1" t="s">
        <v>2</v>
      </c>
      <c r="B395" s="1" t="s">
        <v>598</v>
      </c>
      <c r="C395" s="1" t="s">
        <v>23</v>
      </c>
      <c r="D395" s="1" t="s">
        <v>20</v>
      </c>
    </row>
    <row r="396" spans="1:4" x14ac:dyDescent="0.35">
      <c r="A396" s="1" t="s">
        <v>26</v>
      </c>
      <c r="B396" s="1" t="s">
        <v>598</v>
      </c>
      <c r="C396" s="1" t="s">
        <v>23</v>
      </c>
      <c r="D396" s="1" t="s">
        <v>28</v>
      </c>
    </row>
    <row r="397" spans="1:4" x14ac:dyDescent="0.35">
      <c r="A397" s="1" t="s">
        <v>26</v>
      </c>
      <c r="B397" s="1" t="s">
        <v>597</v>
      </c>
      <c r="C397" s="1" t="s">
        <v>23</v>
      </c>
      <c r="D397" s="1" t="s">
        <v>28</v>
      </c>
    </row>
    <row r="398" spans="1:4" x14ac:dyDescent="0.35">
      <c r="A398" s="1" t="s">
        <v>18</v>
      </c>
      <c r="B398" s="1" t="s">
        <v>597</v>
      </c>
      <c r="C398" s="1" t="s">
        <v>23</v>
      </c>
      <c r="D398" s="1" t="s">
        <v>20</v>
      </c>
    </row>
    <row r="399" spans="1:4" x14ac:dyDescent="0.35">
      <c r="A399" s="1" t="s">
        <v>26</v>
      </c>
      <c r="B399" s="1" t="s">
        <v>597</v>
      </c>
      <c r="C399" s="1" t="s">
        <v>23</v>
      </c>
      <c r="D399" s="1" t="s">
        <v>20</v>
      </c>
    </row>
    <row r="400" spans="1:4" x14ac:dyDescent="0.35">
      <c r="A400" s="1" t="s">
        <v>2</v>
      </c>
      <c r="B400" s="1" t="s">
        <v>597</v>
      </c>
      <c r="C400" s="1" t="s">
        <v>601</v>
      </c>
      <c r="D400" s="1" t="s">
        <v>20</v>
      </c>
    </row>
    <row r="401" spans="1:4" x14ac:dyDescent="0.35">
      <c r="A401" s="1" t="s">
        <v>2</v>
      </c>
      <c r="B401" s="1" t="s">
        <v>598</v>
      </c>
      <c r="C401" s="1" t="s">
        <v>23</v>
      </c>
      <c r="D401" s="1" t="s">
        <v>28</v>
      </c>
    </row>
    <row r="402" spans="1:4" x14ac:dyDescent="0.35">
      <c r="A402" s="1" t="s">
        <v>26</v>
      </c>
      <c r="B402" s="1" t="s">
        <v>597</v>
      </c>
      <c r="C402" s="1" t="s">
        <v>601</v>
      </c>
      <c r="D402" s="1" t="s">
        <v>50</v>
      </c>
    </row>
    <row r="403" spans="1:4" x14ac:dyDescent="0.35">
      <c r="A403" s="1" t="s">
        <v>18</v>
      </c>
      <c r="B403" s="1" t="s">
        <v>598</v>
      </c>
      <c r="C403" s="1" t="s">
        <v>23</v>
      </c>
      <c r="D403" s="1" t="s">
        <v>50</v>
      </c>
    </row>
    <row r="404" spans="1:4" x14ac:dyDescent="0.35">
      <c r="A404" s="1" t="s">
        <v>18</v>
      </c>
      <c r="B404" s="1" t="s">
        <v>597</v>
      </c>
      <c r="C404" s="1" t="s">
        <v>602</v>
      </c>
      <c r="D404" s="1" t="s">
        <v>20</v>
      </c>
    </row>
    <row r="405" spans="1:4" x14ac:dyDescent="0.35">
      <c r="A405" s="1" t="s">
        <v>26</v>
      </c>
      <c r="B405" s="1" t="s">
        <v>598</v>
      </c>
      <c r="C405" s="1" t="s">
        <v>23</v>
      </c>
      <c r="D405" s="1" t="s">
        <v>20</v>
      </c>
    </row>
    <row r="406" spans="1:4" x14ac:dyDescent="0.35">
      <c r="A406" s="1" t="s">
        <v>26</v>
      </c>
      <c r="B406" s="1" t="s">
        <v>598</v>
      </c>
      <c r="C406" s="1" t="s">
        <v>23</v>
      </c>
      <c r="D406" s="1" t="s">
        <v>50</v>
      </c>
    </row>
    <row r="407" spans="1:4" x14ac:dyDescent="0.35">
      <c r="A407" s="1" t="s">
        <v>18</v>
      </c>
      <c r="B407" s="1" t="s">
        <v>598</v>
      </c>
      <c r="C407" s="1" t="s">
        <v>23</v>
      </c>
      <c r="D407" s="1" t="s">
        <v>20</v>
      </c>
    </row>
    <row r="408" spans="1:4" x14ac:dyDescent="0.35">
      <c r="A408" s="1" t="s">
        <v>2</v>
      </c>
      <c r="B408" s="1" t="s">
        <v>598</v>
      </c>
      <c r="C408" s="1" t="s">
        <v>23</v>
      </c>
      <c r="D408" s="1" t="s">
        <v>50</v>
      </c>
    </row>
    <row r="409" spans="1:4" x14ac:dyDescent="0.35">
      <c r="A409" s="1" t="s">
        <v>26</v>
      </c>
      <c r="B409" s="1" t="s">
        <v>597</v>
      </c>
      <c r="C409" s="1" t="s">
        <v>602</v>
      </c>
      <c r="D409" s="1" t="s">
        <v>20</v>
      </c>
    </row>
    <row r="410" spans="1:4" x14ac:dyDescent="0.35">
      <c r="A410" s="1" t="s">
        <v>18</v>
      </c>
      <c r="B410" s="1" t="s">
        <v>600</v>
      </c>
      <c r="C410" s="1" t="s">
        <v>602</v>
      </c>
      <c r="D410" s="1" t="s">
        <v>20</v>
      </c>
    </row>
    <row r="411" spans="1:4" x14ac:dyDescent="0.35">
      <c r="A411" s="1" t="s">
        <v>18</v>
      </c>
      <c r="B411" s="1" t="s">
        <v>597</v>
      </c>
      <c r="C411" s="1" t="s">
        <v>602</v>
      </c>
      <c r="D411" s="1" t="s">
        <v>20</v>
      </c>
    </row>
    <row r="412" spans="1:4" x14ac:dyDescent="0.35">
      <c r="A412" s="1" t="s">
        <v>2</v>
      </c>
      <c r="B412" s="1" t="s">
        <v>600</v>
      </c>
      <c r="C412" s="1" t="s">
        <v>601</v>
      </c>
      <c r="D412" s="1" t="s">
        <v>20</v>
      </c>
    </row>
    <row r="413" spans="1:4" x14ac:dyDescent="0.35">
      <c r="A413" s="1" t="s">
        <v>26</v>
      </c>
      <c r="B413" s="1" t="s">
        <v>597</v>
      </c>
      <c r="C413" s="1" t="s">
        <v>23</v>
      </c>
      <c r="D413" s="1" t="s">
        <v>50</v>
      </c>
    </row>
    <row r="414" spans="1:4" x14ac:dyDescent="0.35">
      <c r="A414" s="1" t="s">
        <v>26</v>
      </c>
      <c r="B414" s="1" t="s">
        <v>597</v>
      </c>
      <c r="C414" s="1" t="s">
        <v>23</v>
      </c>
      <c r="D414" s="1" t="s">
        <v>28</v>
      </c>
    </row>
    <row r="415" spans="1:4" x14ac:dyDescent="0.35">
      <c r="A415" s="1" t="s">
        <v>2</v>
      </c>
      <c r="B415" s="1" t="s">
        <v>600</v>
      </c>
      <c r="C415" s="1" t="s">
        <v>23</v>
      </c>
      <c r="D415" s="1" t="s">
        <v>20</v>
      </c>
    </row>
    <row r="416" spans="1:4" x14ac:dyDescent="0.35">
      <c r="A416" s="1" t="s">
        <v>2</v>
      </c>
      <c r="B416" s="1" t="s">
        <v>597</v>
      </c>
      <c r="C416" s="1" t="s">
        <v>23</v>
      </c>
      <c r="D416" s="1" t="s">
        <v>20</v>
      </c>
    </row>
    <row r="417" spans="1:4" x14ac:dyDescent="0.35">
      <c r="A417" s="1" t="s">
        <v>26</v>
      </c>
      <c r="B417" s="1" t="s">
        <v>598</v>
      </c>
      <c r="C417" s="1" t="s">
        <v>23</v>
      </c>
      <c r="D417" s="1" t="s">
        <v>28</v>
      </c>
    </row>
    <row r="418" spans="1:4" x14ac:dyDescent="0.35">
      <c r="A418" s="1" t="s">
        <v>2</v>
      </c>
      <c r="B418" s="1" t="s">
        <v>597</v>
      </c>
      <c r="C418" s="1" t="s">
        <v>23</v>
      </c>
      <c r="D418" s="1" t="s">
        <v>20</v>
      </c>
    </row>
    <row r="419" spans="1:4" x14ac:dyDescent="0.35">
      <c r="A419" s="1" t="s">
        <v>2</v>
      </c>
      <c r="B419" s="1" t="s">
        <v>597</v>
      </c>
      <c r="C419" s="1" t="s">
        <v>602</v>
      </c>
      <c r="D419" s="1" t="s">
        <v>50</v>
      </c>
    </row>
    <row r="420" spans="1:4" x14ac:dyDescent="0.35">
      <c r="A420" s="1" t="s">
        <v>18</v>
      </c>
      <c r="B420" s="1" t="s">
        <v>598</v>
      </c>
      <c r="C420" s="1" t="s">
        <v>601</v>
      </c>
      <c r="D420" s="1" t="s">
        <v>50</v>
      </c>
    </row>
    <row r="421" spans="1:4" x14ac:dyDescent="0.35">
      <c r="A421" s="1" t="s">
        <v>26</v>
      </c>
      <c r="B421" s="1" t="s">
        <v>598</v>
      </c>
      <c r="C421" s="1" t="s">
        <v>23</v>
      </c>
      <c r="D421" s="1" t="s">
        <v>50</v>
      </c>
    </row>
    <row r="422" spans="1:4" x14ac:dyDescent="0.35">
      <c r="A422" s="1" t="s">
        <v>26</v>
      </c>
      <c r="B422" s="1" t="s">
        <v>597</v>
      </c>
      <c r="C422" s="1" t="s">
        <v>23</v>
      </c>
      <c r="D422" s="1" t="s">
        <v>28</v>
      </c>
    </row>
    <row r="423" spans="1:4" x14ac:dyDescent="0.35">
      <c r="A423" s="1" t="s">
        <v>26</v>
      </c>
      <c r="B423" s="1" t="s">
        <v>600</v>
      </c>
      <c r="C423" s="1" t="s">
        <v>23</v>
      </c>
      <c r="D423" s="1" t="s">
        <v>28</v>
      </c>
    </row>
    <row r="424" spans="1:4" x14ac:dyDescent="0.35">
      <c r="A424" s="1" t="s">
        <v>2</v>
      </c>
      <c r="B424" s="1" t="s">
        <v>598</v>
      </c>
      <c r="C424" s="1" t="s">
        <v>23</v>
      </c>
      <c r="D424" s="1" t="s">
        <v>28</v>
      </c>
    </row>
    <row r="425" spans="1:4" x14ac:dyDescent="0.35">
      <c r="A425" s="1" t="s">
        <v>18</v>
      </c>
      <c r="B425" s="1" t="s">
        <v>598</v>
      </c>
      <c r="C425" s="1" t="s">
        <v>602</v>
      </c>
      <c r="D425" s="1" t="s">
        <v>28</v>
      </c>
    </row>
    <row r="426" spans="1:4" x14ac:dyDescent="0.35">
      <c r="A426" s="1" t="s">
        <v>26</v>
      </c>
      <c r="B426" s="1" t="s">
        <v>598</v>
      </c>
      <c r="C426" s="1" t="s">
        <v>23</v>
      </c>
      <c r="D426" s="1" t="s">
        <v>20</v>
      </c>
    </row>
    <row r="427" spans="1:4" x14ac:dyDescent="0.35">
      <c r="A427" s="1" t="s">
        <v>26</v>
      </c>
      <c r="B427" s="1" t="s">
        <v>597</v>
      </c>
      <c r="C427" s="1" t="s">
        <v>601</v>
      </c>
      <c r="D427" s="1" t="s">
        <v>20</v>
      </c>
    </row>
    <row r="428" spans="1:4" x14ac:dyDescent="0.35">
      <c r="A428" s="1" t="s">
        <v>2</v>
      </c>
      <c r="B428" s="1" t="s">
        <v>598</v>
      </c>
      <c r="C428" s="1" t="s">
        <v>23</v>
      </c>
      <c r="D428" s="1" t="s">
        <v>20</v>
      </c>
    </row>
    <row r="429" spans="1:4" x14ac:dyDescent="0.35">
      <c r="A429" s="1" t="s">
        <v>18</v>
      </c>
      <c r="B429" s="1" t="s">
        <v>597</v>
      </c>
      <c r="C429" s="1" t="s">
        <v>601</v>
      </c>
      <c r="D429" s="1" t="s">
        <v>50</v>
      </c>
    </row>
    <row r="430" spans="1:4" x14ac:dyDescent="0.35">
      <c r="A430" s="1" t="s">
        <v>26</v>
      </c>
      <c r="B430" s="1" t="s">
        <v>597</v>
      </c>
      <c r="C430" s="1" t="s">
        <v>23</v>
      </c>
      <c r="D430" s="1" t="s">
        <v>20</v>
      </c>
    </row>
    <row r="431" spans="1:4" x14ac:dyDescent="0.35">
      <c r="A431" s="1" t="s">
        <v>26</v>
      </c>
      <c r="B431" s="1" t="s">
        <v>597</v>
      </c>
      <c r="C431" s="1" t="s">
        <v>602</v>
      </c>
      <c r="D431" s="1" t="s">
        <v>28</v>
      </c>
    </row>
    <row r="432" spans="1:4" x14ac:dyDescent="0.35">
      <c r="A432" s="1" t="s">
        <v>2</v>
      </c>
      <c r="B432" s="1" t="s">
        <v>598</v>
      </c>
      <c r="C432" s="1" t="s">
        <v>23</v>
      </c>
      <c r="D432" s="1" t="s">
        <v>28</v>
      </c>
    </row>
    <row r="433" spans="1:4" x14ac:dyDescent="0.35">
      <c r="A433" s="1" t="s">
        <v>18</v>
      </c>
      <c r="B433" s="1" t="s">
        <v>597</v>
      </c>
      <c r="C433" s="1" t="s">
        <v>23</v>
      </c>
      <c r="D433" s="1" t="s">
        <v>20</v>
      </c>
    </row>
    <row r="434" spans="1:4" x14ac:dyDescent="0.35">
      <c r="A434" s="1" t="s">
        <v>26</v>
      </c>
      <c r="B434" s="1" t="s">
        <v>600</v>
      </c>
      <c r="C434" s="1" t="s">
        <v>23</v>
      </c>
      <c r="D434" s="1" t="s">
        <v>50</v>
      </c>
    </row>
    <row r="435" spans="1:4" x14ac:dyDescent="0.35">
      <c r="A435" s="1" t="s">
        <v>2</v>
      </c>
      <c r="B435" s="1" t="s">
        <v>600</v>
      </c>
      <c r="C435" s="1" t="s">
        <v>23</v>
      </c>
      <c r="D435" s="1" t="s">
        <v>20</v>
      </c>
    </row>
    <row r="436" spans="1:4" x14ac:dyDescent="0.35">
      <c r="A436" s="1" t="s">
        <v>26</v>
      </c>
      <c r="B436" s="1" t="s">
        <v>598</v>
      </c>
      <c r="C436" s="1" t="s">
        <v>601</v>
      </c>
      <c r="D436" s="1" t="s">
        <v>20</v>
      </c>
    </row>
    <row r="437" spans="1:4" x14ac:dyDescent="0.35">
      <c r="A437" s="1" t="s">
        <v>26</v>
      </c>
      <c r="B437" s="1" t="s">
        <v>598</v>
      </c>
      <c r="C437" s="1" t="s">
        <v>23</v>
      </c>
      <c r="D437" s="1" t="s">
        <v>28</v>
      </c>
    </row>
    <row r="438" spans="1:4" x14ac:dyDescent="0.35">
      <c r="A438" s="1" t="s">
        <v>26</v>
      </c>
      <c r="B438" s="1" t="s">
        <v>597</v>
      </c>
      <c r="C438" s="1" t="s">
        <v>23</v>
      </c>
      <c r="D438" s="1" t="s">
        <v>20</v>
      </c>
    </row>
    <row r="439" spans="1:4" x14ac:dyDescent="0.35">
      <c r="A439" s="1" t="s">
        <v>2</v>
      </c>
      <c r="B439" s="1" t="s">
        <v>597</v>
      </c>
      <c r="C439" s="1" t="s">
        <v>602</v>
      </c>
      <c r="D439" s="1" t="s">
        <v>28</v>
      </c>
    </row>
    <row r="440" spans="1:4" x14ac:dyDescent="0.35">
      <c r="A440" s="1" t="s">
        <v>26</v>
      </c>
      <c r="B440" s="1" t="s">
        <v>598</v>
      </c>
      <c r="C440" s="1" t="s">
        <v>23</v>
      </c>
      <c r="D440" s="1" t="s">
        <v>20</v>
      </c>
    </row>
    <row r="441" spans="1:4" x14ac:dyDescent="0.35">
      <c r="A441" s="1" t="s">
        <v>2</v>
      </c>
      <c r="B441" s="1" t="s">
        <v>600</v>
      </c>
      <c r="C441" s="1" t="s">
        <v>23</v>
      </c>
      <c r="D441" s="1" t="s">
        <v>20</v>
      </c>
    </row>
    <row r="442" spans="1:4" x14ac:dyDescent="0.35">
      <c r="A442" s="1" t="s">
        <v>2</v>
      </c>
      <c r="B442" s="1" t="s">
        <v>597</v>
      </c>
      <c r="C442" s="1" t="s">
        <v>23</v>
      </c>
      <c r="D442" s="1" t="s">
        <v>20</v>
      </c>
    </row>
    <row r="443" spans="1:4" x14ac:dyDescent="0.35">
      <c r="A443" s="1" t="s">
        <v>26</v>
      </c>
      <c r="B443" s="1" t="s">
        <v>597</v>
      </c>
      <c r="C443" s="1" t="s">
        <v>23</v>
      </c>
      <c r="D443" s="1" t="s">
        <v>20</v>
      </c>
    </row>
    <row r="444" spans="1:4" x14ac:dyDescent="0.35">
      <c r="A444" s="1" t="s">
        <v>26</v>
      </c>
      <c r="B444" s="1" t="s">
        <v>597</v>
      </c>
      <c r="C444" s="1" t="s">
        <v>23</v>
      </c>
      <c r="D444" s="1" t="s">
        <v>20</v>
      </c>
    </row>
    <row r="445" spans="1:4" x14ac:dyDescent="0.35">
      <c r="A445" s="1" t="s">
        <v>2</v>
      </c>
      <c r="B445" s="1" t="s">
        <v>597</v>
      </c>
      <c r="C445" s="1" t="s">
        <v>23</v>
      </c>
      <c r="D445" s="1" t="s">
        <v>28</v>
      </c>
    </row>
    <row r="446" spans="1:4" x14ac:dyDescent="0.35">
      <c r="A446" s="1" t="s">
        <v>18</v>
      </c>
      <c r="B446" s="1" t="s">
        <v>600</v>
      </c>
      <c r="C446" s="1" t="s">
        <v>602</v>
      </c>
      <c r="D446" s="1" t="s">
        <v>20</v>
      </c>
    </row>
    <row r="447" spans="1:4" x14ac:dyDescent="0.35">
      <c r="A447" s="1" t="s">
        <v>18</v>
      </c>
      <c r="B447" s="1" t="s">
        <v>600</v>
      </c>
      <c r="C447" s="1" t="s">
        <v>602</v>
      </c>
      <c r="D447" s="1" t="s">
        <v>20</v>
      </c>
    </row>
    <row r="448" spans="1:4" x14ac:dyDescent="0.35">
      <c r="A448" s="1" t="s">
        <v>2</v>
      </c>
      <c r="B448" s="1" t="s">
        <v>600</v>
      </c>
      <c r="C448" s="1" t="s">
        <v>23</v>
      </c>
      <c r="D448" s="1" t="s">
        <v>20</v>
      </c>
    </row>
    <row r="449" spans="1:4" x14ac:dyDescent="0.35">
      <c r="A449" s="1" t="s">
        <v>2</v>
      </c>
      <c r="B449" s="1" t="s">
        <v>597</v>
      </c>
      <c r="C449" s="1" t="s">
        <v>23</v>
      </c>
      <c r="D449" s="1" t="s">
        <v>20</v>
      </c>
    </row>
    <row r="450" spans="1:4" x14ac:dyDescent="0.35">
      <c r="A450" s="1" t="s">
        <v>26</v>
      </c>
      <c r="B450" s="1" t="s">
        <v>598</v>
      </c>
      <c r="C450" s="1" t="s">
        <v>23</v>
      </c>
      <c r="D450" s="1" t="s">
        <v>20</v>
      </c>
    </row>
    <row r="451" spans="1:4" x14ac:dyDescent="0.35">
      <c r="A451" s="1" t="s">
        <v>18</v>
      </c>
      <c r="B451" s="1" t="s">
        <v>597</v>
      </c>
      <c r="C451" s="1" t="s">
        <v>602</v>
      </c>
      <c r="D451" s="1" t="s">
        <v>20</v>
      </c>
    </row>
    <row r="452" spans="1:4" x14ac:dyDescent="0.35">
      <c r="A452" s="1" t="s">
        <v>26</v>
      </c>
      <c r="B452" s="1" t="s">
        <v>598</v>
      </c>
      <c r="C452" s="1" t="s">
        <v>23</v>
      </c>
      <c r="D452" s="1" t="s">
        <v>20</v>
      </c>
    </row>
    <row r="453" spans="1:4" x14ac:dyDescent="0.35">
      <c r="A453" s="1" t="s">
        <v>18</v>
      </c>
      <c r="B453" s="1" t="s">
        <v>597</v>
      </c>
      <c r="C453" s="1" t="s">
        <v>602</v>
      </c>
      <c r="D453" s="1" t="s">
        <v>20</v>
      </c>
    </row>
    <row r="454" spans="1:4" x14ac:dyDescent="0.35">
      <c r="A454" s="1" t="s">
        <v>18</v>
      </c>
      <c r="B454" s="1" t="s">
        <v>597</v>
      </c>
      <c r="C454" s="1" t="s">
        <v>23</v>
      </c>
      <c r="D454" s="1" t="s">
        <v>20</v>
      </c>
    </row>
    <row r="455" spans="1:4" x14ac:dyDescent="0.35">
      <c r="A455" s="1" t="s">
        <v>26</v>
      </c>
      <c r="B455" s="1" t="s">
        <v>597</v>
      </c>
      <c r="C455" s="1" t="s">
        <v>602</v>
      </c>
      <c r="D455" s="1" t="s">
        <v>28</v>
      </c>
    </row>
    <row r="456" spans="1:4" x14ac:dyDescent="0.35">
      <c r="A456" s="1" t="s">
        <v>18</v>
      </c>
      <c r="B456" s="1" t="s">
        <v>598</v>
      </c>
      <c r="C456" s="1" t="s">
        <v>23</v>
      </c>
      <c r="D456" s="1" t="s">
        <v>20</v>
      </c>
    </row>
    <row r="457" spans="1:4" x14ac:dyDescent="0.35">
      <c r="A457" s="1" t="s">
        <v>2</v>
      </c>
      <c r="B457" s="1" t="s">
        <v>598</v>
      </c>
      <c r="C457" s="1" t="s">
        <v>23</v>
      </c>
      <c r="D457" s="1" t="s">
        <v>20</v>
      </c>
    </row>
    <row r="458" spans="1:4" x14ac:dyDescent="0.35">
      <c r="A458" s="1" t="s">
        <v>2</v>
      </c>
      <c r="B458" s="1" t="s">
        <v>597</v>
      </c>
      <c r="C458" s="1" t="s">
        <v>23</v>
      </c>
      <c r="D458" s="1" t="s">
        <v>20</v>
      </c>
    </row>
    <row r="459" spans="1:4" x14ac:dyDescent="0.35">
      <c r="A459" s="1" t="s">
        <v>2</v>
      </c>
      <c r="B459" s="1" t="s">
        <v>598</v>
      </c>
      <c r="C459" s="1" t="s">
        <v>23</v>
      </c>
      <c r="D459" s="1" t="s">
        <v>20</v>
      </c>
    </row>
    <row r="460" spans="1:4" x14ac:dyDescent="0.35">
      <c r="A460" s="1" t="s">
        <v>2</v>
      </c>
      <c r="B460" s="1" t="s">
        <v>598</v>
      </c>
      <c r="C460" s="1" t="s">
        <v>23</v>
      </c>
      <c r="D460" s="1" t="s">
        <v>20</v>
      </c>
    </row>
    <row r="461" spans="1:4" x14ac:dyDescent="0.35">
      <c r="A461" s="1" t="s">
        <v>18</v>
      </c>
      <c r="B461" s="1" t="s">
        <v>597</v>
      </c>
      <c r="C461" s="1" t="s">
        <v>23</v>
      </c>
      <c r="D461" s="1" t="s">
        <v>20</v>
      </c>
    </row>
    <row r="462" spans="1:4" x14ac:dyDescent="0.35">
      <c r="A462" s="1" t="s">
        <v>26</v>
      </c>
      <c r="B462" s="1" t="s">
        <v>597</v>
      </c>
      <c r="C462" s="1" t="s">
        <v>23</v>
      </c>
      <c r="D462" s="1" t="s">
        <v>28</v>
      </c>
    </row>
    <row r="463" spans="1:4" x14ac:dyDescent="0.35">
      <c r="A463" s="1" t="s">
        <v>18</v>
      </c>
      <c r="B463" s="1" t="s">
        <v>600</v>
      </c>
      <c r="C463" s="1" t="s">
        <v>602</v>
      </c>
      <c r="D463" s="1" t="s">
        <v>50</v>
      </c>
    </row>
    <row r="464" spans="1:4" x14ac:dyDescent="0.35">
      <c r="A464" s="1" t="s">
        <v>18</v>
      </c>
      <c r="B464" s="1" t="s">
        <v>598</v>
      </c>
      <c r="C464" s="1" t="s">
        <v>602</v>
      </c>
      <c r="D464" s="1" t="s">
        <v>20</v>
      </c>
    </row>
    <row r="465" spans="1:4" x14ac:dyDescent="0.35">
      <c r="A465" s="1" t="s">
        <v>2</v>
      </c>
      <c r="B465" s="1" t="s">
        <v>598</v>
      </c>
      <c r="C465" s="1" t="s">
        <v>23</v>
      </c>
      <c r="D465" s="1" t="s">
        <v>20</v>
      </c>
    </row>
    <row r="466" spans="1:4" x14ac:dyDescent="0.35">
      <c r="A466" s="1" t="s">
        <v>2</v>
      </c>
      <c r="B466" s="1" t="s">
        <v>600</v>
      </c>
      <c r="C466" s="1" t="s">
        <v>23</v>
      </c>
      <c r="D466" s="1" t="s">
        <v>20</v>
      </c>
    </row>
    <row r="467" spans="1:4" x14ac:dyDescent="0.35">
      <c r="A467" s="1" t="s">
        <v>2</v>
      </c>
      <c r="B467" s="1" t="s">
        <v>597</v>
      </c>
      <c r="C467" s="1" t="s">
        <v>23</v>
      </c>
      <c r="D467" s="1" t="s">
        <v>20</v>
      </c>
    </row>
    <row r="468" spans="1:4" x14ac:dyDescent="0.35">
      <c r="A468" s="1" t="s">
        <v>2</v>
      </c>
      <c r="B468" s="1" t="s">
        <v>600</v>
      </c>
      <c r="C468" s="1" t="s">
        <v>602</v>
      </c>
      <c r="D468" s="1" t="s">
        <v>20</v>
      </c>
    </row>
    <row r="469" spans="1:4" x14ac:dyDescent="0.35">
      <c r="A469" s="1" t="s">
        <v>18</v>
      </c>
      <c r="B469" s="1" t="s">
        <v>597</v>
      </c>
      <c r="C469" s="1" t="s">
        <v>23</v>
      </c>
      <c r="D469" s="1" t="s">
        <v>20</v>
      </c>
    </row>
    <row r="470" spans="1:4" x14ac:dyDescent="0.35">
      <c r="A470" s="1" t="s">
        <v>26</v>
      </c>
      <c r="B470" s="1" t="s">
        <v>597</v>
      </c>
      <c r="C470" s="1" t="s">
        <v>23</v>
      </c>
      <c r="D470" s="1" t="s">
        <v>20</v>
      </c>
    </row>
    <row r="471" spans="1:4" x14ac:dyDescent="0.35">
      <c r="A471" s="1" t="s">
        <v>2</v>
      </c>
      <c r="B471" s="1" t="s">
        <v>598</v>
      </c>
      <c r="C471" s="1" t="s">
        <v>23</v>
      </c>
      <c r="D471" s="1" t="s">
        <v>20</v>
      </c>
    </row>
    <row r="472" spans="1:4" x14ac:dyDescent="0.35">
      <c r="A472" s="1" t="s">
        <v>2</v>
      </c>
      <c r="B472" s="1" t="s">
        <v>597</v>
      </c>
      <c r="C472" s="1" t="s">
        <v>23</v>
      </c>
      <c r="D472" s="1" t="s">
        <v>20</v>
      </c>
    </row>
    <row r="473" spans="1:4" x14ac:dyDescent="0.35">
      <c r="A473" s="1" t="s">
        <v>26</v>
      </c>
      <c r="B473" s="1" t="s">
        <v>597</v>
      </c>
      <c r="C473" s="1" t="s">
        <v>23</v>
      </c>
      <c r="D473" s="1" t="s">
        <v>28</v>
      </c>
    </row>
    <row r="474" spans="1:4" x14ac:dyDescent="0.35">
      <c r="A474" s="1" t="s">
        <v>18</v>
      </c>
      <c r="B474" s="1" t="s">
        <v>598</v>
      </c>
      <c r="C474" s="1" t="s">
        <v>602</v>
      </c>
      <c r="D474" s="1" t="s">
        <v>50</v>
      </c>
    </row>
    <row r="475" spans="1:4" x14ac:dyDescent="0.35">
      <c r="A475" s="1" t="s">
        <v>2</v>
      </c>
      <c r="B475" s="1" t="s">
        <v>598</v>
      </c>
      <c r="C475" s="1" t="s">
        <v>23</v>
      </c>
      <c r="D475" s="1" t="s">
        <v>50</v>
      </c>
    </row>
    <row r="476" spans="1:4" x14ac:dyDescent="0.35">
      <c r="A476" s="1" t="s">
        <v>2</v>
      </c>
      <c r="B476" s="1" t="s">
        <v>598</v>
      </c>
      <c r="C476" s="1" t="s">
        <v>23</v>
      </c>
      <c r="D476" s="1" t="s">
        <v>20</v>
      </c>
    </row>
    <row r="477" spans="1:4" x14ac:dyDescent="0.35">
      <c r="A477" s="1" t="s">
        <v>26</v>
      </c>
      <c r="B477" s="1" t="s">
        <v>597</v>
      </c>
      <c r="C477" s="1" t="s">
        <v>602</v>
      </c>
      <c r="D477" s="1" t="s">
        <v>20</v>
      </c>
    </row>
    <row r="478" spans="1:4" x14ac:dyDescent="0.35">
      <c r="A478" s="1" t="s">
        <v>2</v>
      </c>
      <c r="B478" s="1" t="s">
        <v>597</v>
      </c>
      <c r="C478" s="1" t="s">
        <v>23</v>
      </c>
      <c r="D478" s="1" t="s">
        <v>20</v>
      </c>
    </row>
    <row r="479" spans="1:4" x14ac:dyDescent="0.35">
      <c r="A479" s="1" t="s">
        <v>18</v>
      </c>
      <c r="B479" s="1" t="s">
        <v>597</v>
      </c>
      <c r="C479" s="1" t="s">
        <v>23</v>
      </c>
      <c r="D479" s="1" t="s">
        <v>20</v>
      </c>
    </row>
    <row r="480" spans="1:4" x14ac:dyDescent="0.35">
      <c r="A480" s="1" t="s">
        <v>2</v>
      </c>
      <c r="B480" s="1" t="s">
        <v>598</v>
      </c>
      <c r="C480" s="1" t="s">
        <v>23</v>
      </c>
      <c r="D480" s="1" t="s">
        <v>20</v>
      </c>
    </row>
    <row r="481" spans="1:4" x14ac:dyDescent="0.35">
      <c r="A481" s="1" t="s">
        <v>26</v>
      </c>
      <c r="B481" s="1" t="s">
        <v>597</v>
      </c>
      <c r="C481" s="1" t="s">
        <v>601</v>
      </c>
      <c r="D481" s="1" t="s">
        <v>20</v>
      </c>
    </row>
    <row r="482" spans="1:4" x14ac:dyDescent="0.35">
      <c r="A482" s="1" t="s">
        <v>26</v>
      </c>
      <c r="B482" s="1" t="s">
        <v>600</v>
      </c>
      <c r="C482" s="1" t="s">
        <v>23</v>
      </c>
      <c r="D482" s="1" t="s">
        <v>20</v>
      </c>
    </row>
    <row r="483" spans="1:4" x14ac:dyDescent="0.35">
      <c r="A483" s="1" t="s">
        <v>26</v>
      </c>
      <c r="B483" s="1" t="s">
        <v>597</v>
      </c>
      <c r="C483" s="1" t="s">
        <v>23</v>
      </c>
      <c r="D483" s="1" t="s">
        <v>20</v>
      </c>
    </row>
    <row r="484" spans="1:4" x14ac:dyDescent="0.35">
      <c r="A484" s="1" t="s">
        <v>2</v>
      </c>
      <c r="B484" s="1" t="s">
        <v>598</v>
      </c>
      <c r="C484" s="1" t="s">
        <v>23</v>
      </c>
      <c r="D484" s="1" t="s">
        <v>20</v>
      </c>
    </row>
    <row r="485" spans="1:4" x14ac:dyDescent="0.35">
      <c r="A485" s="1" t="s">
        <v>26</v>
      </c>
      <c r="B485" s="1" t="s">
        <v>598</v>
      </c>
      <c r="C485" s="1" t="s">
        <v>23</v>
      </c>
      <c r="D485" s="1" t="s">
        <v>20</v>
      </c>
    </row>
    <row r="486" spans="1:4" x14ac:dyDescent="0.35">
      <c r="A486" s="1" t="s">
        <v>2</v>
      </c>
      <c r="B486" s="1" t="s">
        <v>597</v>
      </c>
      <c r="C486" s="1" t="s">
        <v>602</v>
      </c>
      <c r="D486" s="1" t="s">
        <v>20</v>
      </c>
    </row>
    <row r="487" spans="1:4" x14ac:dyDescent="0.35">
      <c r="A487" s="1" t="s">
        <v>18</v>
      </c>
      <c r="B487" s="1" t="s">
        <v>597</v>
      </c>
      <c r="C487" s="1" t="s">
        <v>23</v>
      </c>
      <c r="D487" s="1" t="s">
        <v>20</v>
      </c>
    </row>
    <row r="488" spans="1:4" x14ac:dyDescent="0.35">
      <c r="A488" s="1" t="s">
        <v>26</v>
      </c>
      <c r="B488" s="1" t="s">
        <v>598</v>
      </c>
      <c r="C488" s="1" t="s">
        <v>23</v>
      </c>
      <c r="D488" s="1" t="s">
        <v>20</v>
      </c>
    </row>
    <row r="489" spans="1:4" x14ac:dyDescent="0.35">
      <c r="A489" s="1" t="s">
        <v>18</v>
      </c>
      <c r="B489" s="1" t="s">
        <v>598</v>
      </c>
      <c r="C489" s="1" t="s">
        <v>23</v>
      </c>
      <c r="D489" s="1" t="s">
        <v>50</v>
      </c>
    </row>
    <row r="490" spans="1:4" x14ac:dyDescent="0.35">
      <c r="A490" s="1" t="s">
        <v>18</v>
      </c>
      <c r="B490" s="1" t="s">
        <v>597</v>
      </c>
      <c r="C490" s="1" t="s">
        <v>23</v>
      </c>
      <c r="D490" s="1" t="s">
        <v>20</v>
      </c>
    </row>
    <row r="491" spans="1:4" x14ac:dyDescent="0.35">
      <c r="A491" s="1" t="s">
        <v>2</v>
      </c>
      <c r="B491" s="1" t="s">
        <v>597</v>
      </c>
      <c r="C491" s="1" t="s">
        <v>23</v>
      </c>
      <c r="D491" s="1" t="s">
        <v>20</v>
      </c>
    </row>
    <row r="492" spans="1:4" x14ac:dyDescent="0.35">
      <c r="A492" s="1" t="s">
        <v>2</v>
      </c>
      <c r="B492" s="1" t="s">
        <v>598</v>
      </c>
      <c r="C492" s="1" t="s">
        <v>602</v>
      </c>
      <c r="D492" s="1" t="s">
        <v>20</v>
      </c>
    </row>
    <row r="493" spans="1:4" x14ac:dyDescent="0.35">
      <c r="A493" s="1" t="s">
        <v>26</v>
      </c>
      <c r="B493" s="1" t="s">
        <v>598</v>
      </c>
      <c r="C493" s="1" t="s">
        <v>23</v>
      </c>
      <c r="D493" s="1" t="s">
        <v>50</v>
      </c>
    </row>
    <row r="494" spans="1:4" x14ac:dyDescent="0.35">
      <c r="A494" s="1" t="s">
        <v>26</v>
      </c>
      <c r="B494" s="1" t="s">
        <v>598</v>
      </c>
      <c r="C494" s="1" t="s">
        <v>23</v>
      </c>
      <c r="D494" s="1" t="s">
        <v>20</v>
      </c>
    </row>
    <row r="495" spans="1:4" x14ac:dyDescent="0.35">
      <c r="A495" s="1" t="s">
        <v>26</v>
      </c>
      <c r="B495" s="1" t="s">
        <v>598</v>
      </c>
      <c r="C495" s="1" t="s">
        <v>23</v>
      </c>
      <c r="D495" s="1" t="s">
        <v>20</v>
      </c>
    </row>
    <row r="496" spans="1:4" x14ac:dyDescent="0.35">
      <c r="A496" s="1" t="s">
        <v>26</v>
      </c>
      <c r="B496" s="1" t="s">
        <v>597</v>
      </c>
      <c r="C496" s="1" t="s">
        <v>23</v>
      </c>
      <c r="D496" s="1" t="s">
        <v>20</v>
      </c>
    </row>
    <row r="497" spans="1:4" x14ac:dyDescent="0.35">
      <c r="A497" s="1" t="s">
        <v>26</v>
      </c>
      <c r="B497" s="1" t="s">
        <v>598</v>
      </c>
      <c r="C497" s="1" t="s">
        <v>23</v>
      </c>
      <c r="D497" s="1" t="s">
        <v>20</v>
      </c>
    </row>
    <row r="498" spans="1:4" x14ac:dyDescent="0.35">
      <c r="A498" s="1" t="s">
        <v>18</v>
      </c>
      <c r="B498" s="1" t="s">
        <v>597</v>
      </c>
      <c r="C498" s="1" t="s">
        <v>602</v>
      </c>
      <c r="D498" s="1" t="s">
        <v>20</v>
      </c>
    </row>
    <row r="499" spans="1:4" x14ac:dyDescent="0.35">
      <c r="A499" s="1" t="s">
        <v>18</v>
      </c>
      <c r="B499" s="1" t="s">
        <v>597</v>
      </c>
      <c r="C499" s="1" t="s">
        <v>23</v>
      </c>
      <c r="D499" s="1" t="s">
        <v>20</v>
      </c>
    </row>
    <row r="500" spans="1:4" x14ac:dyDescent="0.35">
      <c r="A500" s="1" t="s">
        <v>2</v>
      </c>
      <c r="B500" s="1" t="s">
        <v>598</v>
      </c>
      <c r="C500" s="1" t="s">
        <v>602</v>
      </c>
      <c r="D500" s="1" t="s">
        <v>20</v>
      </c>
    </row>
    <row r="501" spans="1:4" x14ac:dyDescent="0.35">
      <c r="A501" s="1" t="s">
        <v>18</v>
      </c>
      <c r="B501" s="1" t="s">
        <v>598</v>
      </c>
      <c r="C501" s="1" t="s">
        <v>602</v>
      </c>
      <c r="D501" s="1" t="s">
        <v>20</v>
      </c>
    </row>
    <row r="502" spans="1:4" x14ac:dyDescent="0.35">
      <c r="A502" s="1" t="s">
        <v>2</v>
      </c>
      <c r="B502" s="1" t="s">
        <v>597</v>
      </c>
      <c r="C502" s="1" t="s">
        <v>23</v>
      </c>
      <c r="D502" s="1" t="s">
        <v>50</v>
      </c>
    </row>
    <row r="503" spans="1:4" x14ac:dyDescent="0.35">
      <c r="A503" s="1" t="s">
        <v>26</v>
      </c>
      <c r="B503" s="1" t="s">
        <v>597</v>
      </c>
      <c r="C503" s="1" t="s">
        <v>23</v>
      </c>
      <c r="D503" s="1" t="s">
        <v>20</v>
      </c>
    </row>
    <row r="504" spans="1:4" x14ac:dyDescent="0.35">
      <c r="A504" s="1" t="s">
        <v>26</v>
      </c>
      <c r="B504" s="1" t="s">
        <v>598</v>
      </c>
      <c r="C504" s="1" t="s">
        <v>602</v>
      </c>
      <c r="D504" s="1" t="s">
        <v>20</v>
      </c>
    </row>
    <row r="505" spans="1:4" x14ac:dyDescent="0.35">
      <c r="A505" s="1" t="s">
        <v>2</v>
      </c>
      <c r="B505" s="1" t="s">
        <v>597</v>
      </c>
      <c r="C505" s="1" t="s">
        <v>23</v>
      </c>
      <c r="D505" s="1" t="s">
        <v>20</v>
      </c>
    </row>
    <row r="506" spans="1:4" x14ac:dyDescent="0.35">
      <c r="A506" s="1" t="s">
        <v>2</v>
      </c>
      <c r="B506" s="1" t="s">
        <v>598</v>
      </c>
      <c r="C506" s="1" t="s">
        <v>601</v>
      </c>
      <c r="D506" s="1" t="s">
        <v>50</v>
      </c>
    </row>
    <row r="507" spans="1:4" x14ac:dyDescent="0.35">
      <c r="A507" s="1" t="s">
        <v>2</v>
      </c>
      <c r="B507" s="1" t="s">
        <v>597</v>
      </c>
      <c r="C507" s="1" t="s">
        <v>23</v>
      </c>
      <c r="D507" s="1" t="s">
        <v>20</v>
      </c>
    </row>
    <row r="508" spans="1:4" x14ac:dyDescent="0.35">
      <c r="A508" s="1" t="s">
        <v>2</v>
      </c>
      <c r="B508" s="1" t="s">
        <v>600</v>
      </c>
      <c r="C508" s="1" t="s">
        <v>23</v>
      </c>
      <c r="D508" s="1" t="s">
        <v>20</v>
      </c>
    </row>
    <row r="509" spans="1:4" x14ac:dyDescent="0.35">
      <c r="A509" s="1" t="s">
        <v>26</v>
      </c>
      <c r="B509" s="1" t="s">
        <v>597</v>
      </c>
      <c r="C509" s="1" t="s">
        <v>602</v>
      </c>
      <c r="D509" s="1" t="s">
        <v>20</v>
      </c>
    </row>
    <row r="510" spans="1:4" x14ac:dyDescent="0.35">
      <c r="A510" s="1" t="s">
        <v>26</v>
      </c>
      <c r="B510" s="1" t="s">
        <v>600</v>
      </c>
      <c r="C510" s="1" t="s">
        <v>23</v>
      </c>
      <c r="D510" s="1" t="s">
        <v>20</v>
      </c>
    </row>
    <row r="511" spans="1:4" x14ac:dyDescent="0.35">
      <c r="A511" s="1" t="s">
        <v>2</v>
      </c>
      <c r="B511" s="1" t="s">
        <v>597</v>
      </c>
      <c r="C511" s="1" t="s">
        <v>23</v>
      </c>
      <c r="D511" s="1" t="s">
        <v>20</v>
      </c>
    </row>
    <row r="512" spans="1:4" x14ac:dyDescent="0.35">
      <c r="A512" s="1" t="s">
        <v>2</v>
      </c>
      <c r="B512" s="1" t="s">
        <v>598</v>
      </c>
      <c r="C512" s="1" t="s">
        <v>23</v>
      </c>
      <c r="D512" s="1" t="s">
        <v>20</v>
      </c>
    </row>
    <row r="513" spans="1:4" x14ac:dyDescent="0.35">
      <c r="A513" s="1" t="s">
        <v>26</v>
      </c>
      <c r="B513" s="1" t="s">
        <v>597</v>
      </c>
      <c r="C513" s="1" t="s">
        <v>23</v>
      </c>
      <c r="D513" s="1" t="s">
        <v>20</v>
      </c>
    </row>
    <row r="514" spans="1:4" x14ac:dyDescent="0.35">
      <c r="A514" s="1" t="s">
        <v>2</v>
      </c>
      <c r="B514" s="1" t="s">
        <v>598</v>
      </c>
      <c r="C514" s="1" t="s">
        <v>23</v>
      </c>
      <c r="D514" s="1" t="s">
        <v>20</v>
      </c>
    </row>
    <row r="515" spans="1:4" x14ac:dyDescent="0.35">
      <c r="A515" s="1" t="s">
        <v>2</v>
      </c>
      <c r="B515" s="1" t="s">
        <v>597</v>
      </c>
      <c r="C515" s="1" t="s">
        <v>23</v>
      </c>
      <c r="D515" s="1" t="s">
        <v>20</v>
      </c>
    </row>
    <row r="516" spans="1:4" x14ac:dyDescent="0.35">
      <c r="A516" s="1" t="s">
        <v>2</v>
      </c>
      <c r="B516" s="1" t="s">
        <v>598</v>
      </c>
      <c r="C516" s="1" t="s">
        <v>23</v>
      </c>
      <c r="D516" s="1" t="s">
        <v>20</v>
      </c>
    </row>
    <row r="517" spans="1:4" x14ac:dyDescent="0.35">
      <c r="A517" s="1" t="s">
        <v>26</v>
      </c>
      <c r="B517" s="1" t="s">
        <v>598</v>
      </c>
      <c r="C517" s="1" t="s">
        <v>23</v>
      </c>
      <c r="D517" s="1" t="s">
        <v>20</v>
      </c>
    </row>
    <row r="518" spans="1:4" x14ac:dyDescent="0.35">
      <c r="A518" s="1" t="s">
        <v>18</v>
      </c>
      <c r="B518" s="1" t="s">
        <v>598</v>
      </c>
      <c r="C518" s="1" t="s">
        <v>602</v>
      </c>
      <c r="D518" s="1" t="s">
        <v>20</v>
      </c>
    </row>
    <row r="519" spans="1:4" x14ac:dyDescent="0.35">
      <c r="A519" s="1" t="s">
        <v>18</v>
      </c>
      <c r="B519" s="1" t="s">
        <v>598</v>
      </c>
      <c r="C519" s="1" t="s">
        <v>601</v>
      </c>
      <c r="D519" s="1" t="s">
        <v>20</v>
      </c>
    </row>
    <row r="520" spans="1:4" x14ac:dyDescent="0.35">
      <c r="A520" s="1" t="s">
        <v>18</v>
      </c>
      <c r="B520" s="1" t="s">
        <v>598</v>
      </c>
      <c r="C520" s="1" t="s">
        <v>23</v>
      </c>
      <c r="D520" s="1" t="s">
        <v>20</v>
      </c>
    </row>
    <row r="521" spans="1:4" x14ac:dyDescent="0.35">
      <c r="A521" s="1" t="s">
        <v>2</v>
      </c>
      <c r="B521" s="1" t="s">
        <v>598</v>
      </c>
      <c r="C521" s="1" t="s">
        <v>23</v>
      </c>
      <c r="D521" s="1" t="s">
        <v>20</v>
      </c>
    </row>
    <row r="522" spans="1:4" x14ac:dyDescent="0.35">
      <c r="A522" s="1" t="s">
        <v>2</v>
      </c>
      <c r="B522" s="1" t="s">
        <v>597</v>
      </c>
      <c r="C522" s="1" t="s">
        <v>23</v>
      </c>
      <c r="D522" s="1" t="s">
        <v>20</v>
      </c>
    </row>
    <row r="523" spans="1:4" x14ac:dyDescent="0.35">
      <c r="A523" s="1" t="s">
        <v>18</v>
      </c>
      <c r="B523" s="1" t="s">
        <v>597</v>
      </c>
      <c r="C523" s="1" t="s">
        <v>23</v>
      </c>
      <c r="D523" s="1" t="s">
        <v>20</v>
      </c>
    </row>
    <row r="524" spans="1:4" x14ac:dyDescent="0.35">
      <c r="A524" s="1" t="s">
        <v>2</v>
      </c>
      <c r="B524" s="1" t="s">
        <v>598</v>
      </c>
      <c r="C524" s="1" t="s">
        <v>23</v>
      </c>
      <c r="D524" s="1" t="s">
        <v>20</v>
      </c>
    </row>
    <row r="525" spans="1:4" x14ac:dyDescent="0.35">
      <c r="A525" s="1" t="s">
        <v>2</v>
      </c>
      <c r="B525" s="1" t="s">
        <v>598</v>
      </c>
      <c r="C525" s="1" t="s">
        <v>23</v>
      </c>
      <c r="D525" s="1" t="s">
        <v>20</v>
      </c>
    </row>
    <row r="526" spans="1:4" x14ac:dyDescent="0.35">
      <c r="A526" s="1" t="s">
        <v>26</v>
      </c>
      <c r="B526" s="1" t="s">
        <v>598</v>
      </c>
      <c r="C526" s="1" t="s">
        <v>23</v>
      </c>
      <c r="D526" s="1" t="s">
        <v>20</v>
      </c>
    </row>
    <row r="527" spans="1:4" x14ac:dyDescent="0.35">
      <c r="A527" s="1" t="s">
        <v>26</v>
      </c>
      <c r="B527" s="1" t="s">
        <v>600</v>
      </c>
      <c r="C527" s="1" t="s">
        <v>602</v>
      </c>
      <c r="D527" s="1" t="s">
        <v>20</v>
      </c>
    </row>
    <row r="528" spans="1:4" x14ac:dyDescent="0.35">
      <c r="A528" s="1" t="s">
        <v>26</v>
      </c>
      <c r="B528" s="1" t="s">
        <v>597</v>
      </c>
      <c r="C528" s="1" t="s">
        <v>23</v>
      </c>
      <c r="D528" s="1" t="s">
        <v>20</v>
      </c>
    </row>
    <row r="529" spans="1:4" x14ac:dyDescent="0.35">
      <c r="A529" s="1" t="s">
        <v>2</v>
      </c>
      <c r="B529" s="1" t="s">
        <v>598</v>
      </c>
      <c r="C529" s="1" t="s">
        <v>601</v>
      </c>
      <c r="D529" s="1" t="s">
        <v>20</v>
      </c>
    </row>
    <row r="530" spans="1:4" x14ac:dyDescent="0.35">
      <c r="A530" s="1" t="s">
        <v>2</v>
      </c>
      <c r="B530" s="1" t="s">
        <v>598</v>
      </c>
      <c r="C530" s="1" t="s">
        <v>23</v>
      </c>
      <c r="D530" s="1" t="s">
        <v>20</v>
      </c>
    </row>
    <row r="531" spans="1:4" x14ac:dyDescent="0.35">
      <c r="A531" s="1" t="s">
        <v>2</v>
      </c>
      <c r="B531" s="1" t="s">
        <v>598</v>
      </c>
      <c r="C531" s="1" t="s">
        <v>23</v>
      </c>
      <c r="D531" s="1" t="s">
        <v>50</v>
      </c>
    </row>
    <row r="532" spans="1:4" x14ac:dyDescent="0.35">
      <c r="A532" s="1" t="s">
        <v>26</v>
      </c>
      <c r="B532" s="1" t="s">
        <v>597</v>
      </c>
      <c r="C532" s="1" t="s">
        <v>602</v>
      </c>
      <c r="D532" s="1" t="s">
        <v>20</v>
      </c>
    </row>
    <row r="533" spans="1:4" x14ac:dyDescent="0.35">
      <c r="A533" s="1" t="s">
        <v>26</v>
      </c>
      <c r="B533" s="1" t="s">
        <v>597</v>
      </c>
      <c r="C533" s="1" t="s">
        <v>23</v>
      </c>
      <c r="D533" s="1" t="s">
        <v>20</v>
      </c>
    </row>
    <row r="534" spans="1:4" x14ac:dyDescent="0.35">
      <c r="A534" s="1" t="s">
        <v>18</v>
      </c>
      <c r="B534" s="1" t="s">
        <v>597</v>
      </c>
      <c r="C534" s="1" t="s">
        <v>602</v>
      </c>
      <c r="D534" s="1" t="s">
        <v>20</v>
      </c>
    </row>
    <row r="535" spans="1:4" x14ac:dyDescent="0.35">
      <c r="A535" s="1" t="s">
        <v>26</v>
      </c>
      <c r="B535" s="1" t="s">
        <v>598</v>
      </c>
      <c r="C535" s="1" t="s">
        <v>23</v>
      </c>
      <c r="D535" s="1" t="s">
        <v>20</v>
      </c>
    </row>
    <row r="536" spans="1:4" x14ac:dyDescent="0.35">
      <c r="A536" s="1" t="s">
        <v>26</v>
      </c>
      <c r="B536" s="1" t="s">
        <v>598</v>
      </c>
      <c r="C536" s="1" t="s">
        <v>23</v>
      </c>
      <c r="D536" s="1" t="s">
        <v>20</v>
      </c>
    </row>
    <row r="537" spans="1:4" x14ac:dyDescent="0.35">
      <c r="A537" s="1" t="s">
        <v>2</v>
      </c>
      <c r="B537" s="1" t="s">
        <v>597</v>
      </c>
      <c r="C537" s="1" t="s">
        <v>23</v>
      </c>
      <c r="D537" s="1" t="s">
        <v>20</v>
      </c>
    </row>
    <row r="538" spans="1:4" x14ac:dyDescent="0.35">
      <c r="A538" s="1" t="s">
        <v>2</v>
      </c>
      <c r="B538" s="1" t="s">
        <v>598</v>
      </c>
      <c r="C538" s="1" t="s">
        <v>23</v>
      </c>
      <c r="D538" s="1" t="s">
        <v>28</v>
      </c>
    </row>
    <row r="539" spans="1:4" x14ac:dyDescent="0.35">
      <c r="A539" s="1" t="s">
        <v>26</v>
      </c>
      <c r="B539" s="1" t="s">
        <v>598</v>
      </c>
      <c r="C539" s="1" t="s">
        <v>602</v>
      </c>
      <c r="D539" s="1" t="s">
        <v>20</v>
      </c>
    </row>
    <row r="540" spans="1:4" x14ac:dyDescent="0.35">
      <c r="A540" s="1" t="s">
        <v>2</v>
      </c>
      <c r="B540" s="1" t="s">
        <v>597</v>
      </c>
      <c r="C540" s="1" t="s">
        <v>23</v>
      </c>
      <c r="D540" s="1" t="s">
        <v>20</v>
      </c>
    </row>
    <row r="541" spans="1:4" x14ac:dyDescent="0.35">
      <c r="A541" s="1" t="s">
        <v>26</v>
      </c>
      <c r="B541" s="1" t="s">
        <v>597</v>
      </c>
      <c r="C541" s="1" t="s">
        <v>23</v>
      </c>
      <c r="D541" s="1" t="s">
        <v>20</v>
      </c>
    </row>
    <row r="542" spans="1:4" x14ac:dyDescent="0.35">
      <c r="A542" s="1" t="s">
        <v>2</v>
      </c>
      <c r="B542" s="1" t="s">
        <v>600</v>
      </c>
      <c r="C542" s="1" t="s">
        <v>23</v>
      </c>
      <c r="D542" s="1" t="s">
        <v>20</v>
      </c>
    </row>
    <row r="543" spans="1:4" x14ac:dyDescent="0.35">
      <c r="A543" s="1" t="s">
        <v>26</v>
      </c>
      <c r="B543" s="1" t="s">
        <v>598</v>
      </c>
      <c r="C543" s="1" t="s">
        <v>602</v>
      </c>
      <c r="D543" s="1" t="s">
        <v>20</v>
      </c>
    </row>
    <row r="544" spans="1:4" x14ac:dyDescent="0.35">
      <c r="A544" s="1" t="s">
        <v>26</v>
      </c>
      <c r="B544" s="1" t="s">
        <v>597</v>
      </c>
      <c r="C544" s="1" t="s">
        <v>602</v>
      </c>
      <c r="D544" s="1" t="s">
        <v>20</v>
      </c>
    </row>
    <row r="545" spans="1:4" x14ac:dyDescent="0.35">
      <c r="A545" s="1" t="s">
        <v>2</v>
      </c>
      <c r="B545" s="1" t="s">
        <v>597</v>
      </c>
      <c r="C545" s="1" t="s">
        <v>23</v>
      </c>
      <c r="D545" s="1" t="s">
        <v>20</v>
      </c>
    </row>
    <row r="546" spans="1:4" x14ac:dyDescent="0.35">
      <c r="A546" s="1" t="s">
        <v>18</v>
      </c>
      <c r="B546" s="1" t="s">
        <v>598</v>
      </c>
      <c r="C546" s="1" t="s">
        <v>23</v>
      </c>
      <c r="D546" s="1" t="s">
        <v>20</v>
      </c>
    </row>
    <row r="547" spans="1:4" x14ac:dyDescent="0.35">
      <c r="A547" s="1" t="s">
        <v>26</v>
      </c>
      <c r="B547" s="1" t="s">
        <v>597</v>
      </c>
      <c r="C547" s="1" t="s">
        <v>602</v>
      </c>
      <c r="D547" s="1" t="s">
        <v>20</v>
      </c>
    </row>
    <row r="548" spans="1:4" x14ac:dyDescent="0.35">
      <c r="A548" s="1" t="s">
        <v>2</v>
      </c>
      <c r="B548" s="1" t="s">
        <v>597</v>
      </c>
      <c r="C548" s="1" t="s">
        <v>23</v>
      </c>
      <c r="D548" s="1" t="s">
        <v>20</v>
      </c>
    </row>
    <row r="549" spans="1:4" x14ac:dyDescent="0.35">
      <c r="A549" s="1" t="s">
        <v>18</v>
      </c>
      <c r="B549" s="1" t="s">
        <v>598</v>
      </c>
      <c r="C549" s="1" t="s">
        <v>602</v>
      </c>
      <c r="D549" s="1" t="s">
        <v>20</v>
      </c>
    </row>
    <row r="550" spans="1:4" x14ac:dyDescent="0.35">
      <c r="A550" s="1" t="s">
        <v>18</v>
      </c>
      <c r="B550" s="1" t="s">
        <v>597</v>
      </c>
      <c r="C550" s="1" t="s">
        <v>601</v>
      </c>
      <c r="D550" s="1" t="s">
        <v>20</v>
      </c>
    </row>
    <row r="551" spans="1:4" x14ac:dyDescent="0.35">
      <c r="A551" s="1" t="s">
        <v>26</v>
      </c>
      <c r="B551" s="1" t="s">
        <v>598</v>
      </c>
      <c r="C551" s="1" t="s">
        <v>23</v>
      </c>
      <c r="D551" s="1" t="s">
        <v>20</v>
      </c>
    </row>
    <row r="552" spans="1:4" x14ac:dyDescent="0.35">
      <c r="A552" s="1" t="s">
        <v>26</v>
      </c>
      <c r="B552" s="1" t="s">
        <v>598</v>
      </c>
      <c r="C552" s="1" t="s">
        <v>23</v>
      </c>
      <c r="D552" s="1" t="s">
        <v>20</v>
      </c>
    </row>
    <row r="553" spans="1:4" x14ac:dyDescent="0.35">
      <c r="A553" s="1" t="s">
        <v>2</v>
      </c>
      <c r="B553" s="1" t="s">
        <v>597</v>
      </c>
      <c r="C553" s="1" t="s">
        <v>23</v>
      </c>
      <c r="D553" s="1" t="s">
        <v>20</v>
      </c>
    </row>
    <row r="554" spans="1:4" x14ac:dyDescent="0.35">
      <c r="A554" s="1" t="s">
        <v>26</v>
      </c>
      <c r="B554" s="1" t="s">
        <v>597</v>
      </c>
      <c r="C554" s="1" t="s">
        <v>23</v>
      </c>
      <c r="D554" s="1" t="s">
        <v>20</v>
      </c>
    </row>
    <row r="555" spans="1:4" x14ac:dyDescent="0.35">
      <c r="A555" s="1" t="s">
        <v>2</v>
      </c>
      <c r="B555" s="1" t="s">
        <v>598</v>
      </c>
      <c r="C555" s="1" t="s">
        <v>23</v>
      </c>
      <c r="D555" s="1" t="s">
        <v>20</v>
      </c>
    </row>
    <row r="556" spans="1:4" x14ac:dyDescent="0.35">
      <c r="A556" s="1" t="s">
        <v>2</v>
      </c>
      <c r="B556" s="1" t="s">
        <v>598</v>
      </c>
      <c r="C556" s="1" t="s">
        <v>23</v>
      </c>
      <c r="D556" s="1" t="s">
        <v>20</v>
      </c>
    </row>
    <row r="557" spans="1:4" x14ac:dyDescent="0.35">
      <c r="A557" s="1" t="s">
        <v>2</v>
      </c>
      <c r="B557" s="1" t="s">
        <v>598</v>
      </c>
      <c r="C557" s="1" t="s">
        <v>23</v>
      </c>
      <c r="D557" s="1" t="s">
        <v>20</v>
      </c>
    </row>
    <row r="558" spans="1:4" x14ac:dyDescent="0.35">
      <c r="A558" s="1" t="s">
        <v>18</v>
      </c>
      <c r="B558" s="1" t="s">
        <v>598</v>
      </c>
      <c r="C558" s="1" t="s">
        <v>602</v>
      </c>
      <c r="D558" s="1" t="s">
        <v>50</v>
      </c>
    </row>
    <row r="559" spans="1:4" x14ac:dyDescent="0.35">
      <c r="A559" s="1" t="s">
        <v>2</v>
      </c>
      <c r="B559" s="1" t="s">
        <v>597</v>
      </c>
      <c r="C559" s="1" t="s">
        <v>23</v>
      </c>
      <c r="D559" s="1" t="s">
        <v>20</v>
      </c>
    </row>
    <row r="560" spans="1:4" x14ac:dyDescent="0.35">
      <c r="A560" s="1" t="s">
        <v>2</v>
      </c>
      <c r="B560" s="1" t="s">
        <v>597</v>
      </c>
      <c r="C560" s="1" t="s">
        <v>23</v>
      </c>
      <c r="D560" s="1" t="s">
        <v>50</v>
      </c>
    </row>
    <row r="561" spans="1:4" x14ac:dyDescent="0.35">
      <c r="A561" s="1" t="s">
        <v>26</v>
      </c>
      <c r="B561" s="1" t="s">
        <v>600</v>
      </c>
      <c r="C561" s="1" t="s">
        <v>23</v>
      </c>
      <c r="D561" s="1" t="s">
        <v>20</v>
      </c>
    </row>
    <row r="562" spans="1:4" x14ac:dyDescent="0.35">
      <c r="A562" s="1" t="s">
        <v>18</v>
      </c>
      <c r="B562" s="1" t="s">
        <v>600</v>
      </c>
      <c r="C562" s="1" t="s">
        <v>23</v>
      </c>
      <c r="D562" s="1" t="s">
        <v>20</v>
      </c>
    </row>
    <row r="563" spans="1:4" x14ac:dyDescent="0.35">
      <c r="A563" s="1" t="s">
        <v>2</v>
      </c>
      <c r="B563" s="1" t="s">
        <v>598</v>
      </c>
      <c r="C563" s="1" t="s">
        <v>23</v>
      </c>
      <c r="D563" s="1" t="s">
        <v>20</v>
      </c>
    </row>
    <row r="564" spans="1:4" x14ac:dyDescent="0.35">
      <c r="A564" s="1" t="s">
        <v>2</v>
      </c>
      <c r="B564" s="1" t="s">
        <v>597</v>
      </c>
      <c r="C564" s="1" t="s">
        <v>23</v>
      </c>
      <c r="D564" s="1" t="s">
        <v>20</v>
      </c>
    </row>
    <row r="565" spans="1:4" x14ac:dyDescent="0.35">
      <c r="A565" s="1" t="s">
        <v>2</v>
      </c>
      <c r="B565" s="1" t="s">
        <v>600</v>
      </c>
      <c r="C565" s="1" t="s">
        <v>602</v>
      </c>
      <c r="D565" s="1" t="s">
        <v>20</v>
      </c>
    </row>
    <row r="566" spans="1:4" x14ac:dyDescent="0.35">
      <c r="A566" s="1" t="s">
        <v>26</v>
      </c>
      <c r="B566" s="1" t="s">
        <v>598</v>
      </c>
      <c r="C566" s="1" t="s">
        <v>23</v>
      </c>
      <c r="D566" s="1" t="s">
        <v>20</v>
      </c>
    </row>
    <row r="567" spans="1:4" x14ac:dyDescent="0.35">
      <c r="A567" s="1" t="s">
        <v>26</v>
      </c>
      <c r="B567" s="1" t="s">
        <v>597</v>
      </c>
      <c r="C567" s="1" t="s">
        <v>601</v>
      </c>
      <c r="D567" s="1" t="s">
        <v>20</v>
      </c>
    </row>
    <row r="568" spans="1:4" x14ac:dyDescent="0.35">
      <c r="A568" s="1" t="s">
        <v>2</v>
      </c>
      <c r="B568" s="1" t="s">
        <v>598</v>
      </c>
      <c r="C568" s="1" t="s">
        <v>602</v>
      </c>
      <c r="D568" s="1" t="s">
        <v>20</v>
      </c>
    </row>
    <row r="569" spans="1:4" x14ac:dyDescent="0.35">
      <c r="A569" s="1" t="s">
        <v>18</v>
      </c>
      <c r="B569" s="1" t="s">
        <v>597</v>
      </c>
      <c r="C569" s="1" t="s">
        <v>601</v>
      </c>
      <c r="D569" s="1" t="s">
        <v>20</v>
      </c>
    </row>
    <row r="570" spans="1:4" x14ac:dyDescent="0.35">
      <c r="A570" s="1" t="s">
        <v>26</v>
      </c>
      <c r="B570" s="1" t="s">
        <v>597</v>
      </c>
      <c r="C570" s="1" t="s">
        <v>602</v>
      </c>
      <c r="D570" s="1" t="s">
        <v>20</v>
      </c>
    </row>
  </sheetData>
  <mergeCells count="8">
    <mergeCell ref="F1:H2"/>
    <mergeCell ref="J1:L2"/>
    <mergeCell ref="N1:P2"/>
    <mergeCell ref="R1:T2"/>
    <mergeCell ref="F9:H12"/>
    <mergeCell ref="J9:L12"/>
    <mergeCell ref="N9:P12"/>
    <mergeCell ref="R9:T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4E68-A9E6-4937-9BDA-90AE8194E1DB}">
  <dimension ref="A1:V35"/>
  <sheetViews>
    <sheetView topLeftCell="H3" zoomScale="71" workbookViewId="0">
      <selection activeCell="U47" sqref="U47"/>
    </sheetView>
  </sheetViews>
  <sheetFormatPr defaultColWidth="8.81640625" defaultRowHeight="14.5" x14ac:dyDescent="0.35"/>
  <cols>
    <col min="1" max="1" width="7.6328125" customWidth="1"/>
    <col min="2" max="2" width="15.36328125" bestFit="1" customWidth="1"/>
    <col min="3" max="3" width="9.6328125" bestFit="1" customWidth="1"/>
    <col min="4" max="4" width="14.81640625" bestFit="1" customWidth="1"/>
    <col min="8" max="8" width="15.36328125" bestFit="1" customWidth="1"/>
    <col min="9" max="9" width="9.6328125" bestFit="1" customWidth="1"/>
    <col min="10" max="10" width="16.1796875" bestFit="1" customWidth="1"/>
    <col min="12" max="13" width="15.36328125" bestFit="1" customWidth="1"/>
    <col min="14" max="14" width="9.6328125" bestFit="1" customWidth="1"/>
    <col min="16" max="16" width="15.36328125" bestFit="1" customWidth="1"/>
    <col min="17" max="17" width="9.6328125" bestFit="1" customWidth="1"/>
    <col min="18" max="18" width="15.36328125" bestFit="1" customWidth="1"/>
    <col min="19" max="19" width="17.81640625" bestFit="1" customWidth="1"/>
    <col min="20" max="20" width="15.36328125" bestFit="1" customWidth="1"/>
    <col min="21" max="21" width="9.6328125" bestFit="1" customWidth="1"/>
    <col min="22" max="22" width="16.1796875" bestFit="1" customWidth="1"/>
  </cols>
  <sheetData>
    <row r="1" spans="1:22" x14ac:dyDescent="0.35">
      <c r="A1" s="11"/>
      <c r="B1" s="11"/>
      <c r="C1" s="11"/>
      <c r="D1" s="11"/>
    </row>
    <row r="3" spans="1:22" ht="15" customHeight="1" x14ac:dyDescent="0.35">
      <c r="B3" s="48" t="s">
        <v>596</v>
      </c>
      <c r="C3" s="48"/>
      <c r="D3" s="48"/>
      <c r="E3" s="48"/>
      <c r="G3" s="48" t="s">
        <v>595</v>
      </c>
      <c r="H3" s="48"/>
      <c r="I3" s="48"/>
      <c r="J3" s="48"/>
      <c r="L3" s="48" t="s">
        <v>13</v>
      </c>
      <c r="M3" s="48"/>
      <c r="N3" s="48"/>
      <c r="O3" s="48"/>
      <c r="Q3" s="48" t="s">
        <v>607</v>
      </c>
      <c r="R3" s="48"/>
      <c r="S3" s="48"/>
      <c r="T3" s="48"/>
    </row>
    <row r="4" spans="1:22" ht="15" customHeight="1" x14ac:dyDescent="0.35">
      <c r="B4" s="48"/>
      <c r="C4" s="48"/>
      <c r="D4" s="48"/>
      <c r="E4" s="48"/>
      <c r="G4" s="48"/>
      <c r="H4" s="48"/>
      <c r="I4" s="48"/>
      <c r="J4" s="48"/>
      <c r="L4" s="48"/>
      <c r="M4" s="48"/>
      <c r="N4" s="48"/>
      <c r="O4" s="48"/>
      <c r="Q4" s="48"/>
      <c r="R4" s="48"/>
      <c r="S4" s="48"/>
      <c r="T4" s="48"/>
    </row>
    <row r="5" spans="1:22" x14ac:dyDescent="0.35">
      <c r="C5" s="10" t="s">
        <v>603</v>
      </c>
      <c r="D5" t="s">
        <v>606</v>
      </c>
      <c r="H5" s="5" t="s">
        <v>603</v>
      </c>
      <c r="I5" t="s">
        <v>606</v>
      </c>
      <c r="M5" s="5" t="s">
        <v>603</v>
      </c>
      <c r="N5" t="s">
        <v>606</v>
      </c>
      <c r="R5" t="s">
        <v>603</v>
      </c>
      <c r="S5" t="s">
        <v>606</v>
      </c>
    </row>
    <row r="6" spans="1:22" x14ac:dyDescent="0.35">
      <c r="C6" s="6" t="s">
        <v>18</v>
      </c>
      <c r="D6">
        <v>103</v>
      </c>
      <c r="H6" s="6" t="s">
        <v>600</v>
      </c>
      <c r="I6">
        <v>81</v>
      </c>
      <c r="M6" s="6" t="s">
        <v>602</v>
      </c>
      <c r="N6">
        <v>119</v>
      </c>
      <c r="R6" s="6" t="s">
        <v>20</v>
      </c>
      <c r="S6">
        <v>293</v>
      </c>
    </row>
    <row r="7" spans="1:22" x14ac:dyDescent="0.35">
      <c r="C7" s="6" t="s">
        <v>26</v>
      </c>
      <c r="D7">
        <v>212</v>
      </c>
      <c r="H7" s="6" t="s">
        <v>597</v>
      </c>
      <c r="I7">
        <v>246</v>
      </c>
      <c r="M7" s="6" t="s">
        <v>23</v>
      </c>
      <c r="N7">
        <v>415</v>
      </c>
      <c r="R7" s="6" t="s">
        <v>50</v>
      </c>
      <c r="S7">
        <v>130</v>
      </c>
    </row>
    <row r="8" spans="1:22" x14ac:dyDescent="0.35">
      <c r="C8" s="6" t="s">
        <v>2</v>
      </c>
      <c r="D8">
        <v>254</v>
      </c>
      <c r="H8" s="6" t="s">
        <v>598</v>
      </c>
      <c r="I8">
        <v>242</v>
      </c>
      <c r="M8" s="6" t="s">
        <v>601</v>
      </c>
      <c r="N8">
        <v>35</v>
      </c>
      <c r="R8" s="6" t="s">
        <v>28</v>
      </c>
      <c r="S8">
        <v>146</v>
      </c>
    </row>
    <row r="9" spans="1:22" x14ac:dyDescent="0.35">
      <c r="C9" s="6" t="s">
        <v>604</v>
      </c>
      <c r="D9">
        <v>569</v>
      </c>
      <c r="H9" s="6" t="s">
        <v>604</v>
      </c>
      <c r="I9">
        <v>569</v>
      </c>
      <c r="M9" s="6" t="s">
        <v>604</v>
      </c>
      <c r="N9">
        <v>569</v>
      </c>
      <c r="R9" s="6" t="s">
        <v>604</v>
      </c>
      <c r="S9">
        <v>569</v>
      </c>
    </row>
    <row r="11" spans="1:22" ht="15" customHeight="1" x14ac:dyDescent="0.35">
      <c r="H11" s="19"/>
      <c r="I11" s="19"/>
      <c r="J11" s="19"/>
      <c r="L11" s="19"/>
      <c r="M11" s="19"/>
      <c r="N11" s="19"/>
      <c r="P11" s="19"/>
      <c r="Q11" s="19"/>
      <c r="R11" s="19"/>
      <c r="T11" s="19"/>
      <c r="U11" s="19"/>
      <c r="V11" s="19"/>
    </row>
    <row r="12" spans="1:22" x14ac:dyDescent="0.35">
      <c r="H12" s="19"/>
      <c r="I12" s="19"/>
      <c r="J12" s="19"/>
      <c r="L12" s="19"/>
      <c r="M12" s="19"/>
      <c r="N12" s="19"/>
      <c r="P12" s="19"/>
      <c r="Q12" s="19"/>
      <c r="R12" s="19"/>
      <c r="T12" s="19"/>
      <c r="U12" s="19"/>
      <c r="V12" s="19"/>
    </row>
    <row r="13" spans="1:22" x14ac:dyDescent="0.35">
      <c r="H13" s="19"/>
      <c r="I13" s="19"/>
      <c r="J13" s="19"/>
      <c r="L13" s="19"/>
      <c r="M13" s="19"/>
      <c r="N13" s="19"/>
      <c r="P13" s="19"/>
      <c r="Q13" s="19"/>
      <c r="R13" s="19"/>
      <c r="T13" s="19"/>
      <c r="U13" s="19"/>
      <c r="V13" s="19"/>
    </row>
    <row r="14" spans="1:22" x14ac:dyDescent="0.35">
      <c r="H14" s="19"/>
      <c r="I14" s="19"/>
      <c r="J14" s="19"/>
      <c r="L14" s="19"/>
      <c r="M14" s="19"/>
      <c r="N14" s="19"/>
      <c r="P14" s="19"/>
      <c r="Q14" s="19"/>
      <c r="R14" s="19"/>
      <c r="T14" s="19"/>
      <c r="U14" s="19"/>
      <c r="V14" s="19"/>
    </row>
    <row r="25" spans="2:20" ht="15" thickBot="1" x14ac:dyDescent="0.4"/>
    <row r="26" spans="2:20" x14ac:dyDescent="0.35">
      <c r="B26" s="51" t="s">
        <v>641</v>
      </c>
      <c r="C26" s="52"/>
      <c r="D26" s="52"/>
      <c r="E26" s="52"/>
      <c r="F26" s="52"/>
      <c r="G26" s="52"/>
      <c r="H26" s="52"/>
      <c r="I26" s="52"/>
      <c r="J26" s="52"/>
      <c r="K26" s="52"/>
      <c r="L26" s="52"/>
      <c r="M26" s="52"/>
      <c r="N26" s="52"/>
      <c r="O26" s="52"/>
      <c r="P26" s="52"/>
      <c r="Q26" s="52"/>
      <c r="R26" s="52"/>
      <c r="S26" s="52"/>
      <c r="T26" s="53"/>
    </row>
    <row r="27" spans="2:20" x14ac:dyDescent="0.35">
      <c r="B27" s="54"/>
      <c r="C27" s="55"/>
      <c r="D27" s="55"/>
      <c r="E27" s="55"/>
      <c r="F27" s="55"/>
      <c r="G27" s="55"/>
      <c r="H27" s="55"/>
      <c r="I27" s="55"/>
      <c r="J27" s="55"/>
      <c r="K27" s="55"/>
      <c r="L27" s="55"/>
      <c r="M27" s="55"/>
      <c r="N27" s="55"/>
      <c r="O27" s="55"/>
      <c r="P27" s="55"/>
      <c r="Q27" s="55"/>
      <c r="R27" s="55"/>
      <c r="S27" s="55"/>
      <c r="T27" s="56"/>
    </row>
    <row r="28" spans="2:20" x14ac:dyDescent="0.35">
      <c r="B28" s="54"/>
      <c r="C28" s="55"/>
      <c r="D28" s="55"/>
      <c r="E28" s="55"/>
      <c r="F28" s="55"/>
      <c r="G28" s="55"/>
      <c r="H28" s="55"/>
      <c r="I28" s="55"/>
      <c r="J28" s="55"/>
      <c r="K28" s="55"/>
      <c r="L28" s="55"/>
      <c r="M28" s="55"/>
      <c r="N28" s="55"/>
      <c r="O28" s="55"/>
      <c r="P28" s="55"/>
      <c r="Q28" s="55"/>
      <c r="R28" s="55"/>
      <c r="S28" s="55"/>
      <c r="T28" s="56"/>
    </row>
    <row r="29" spans="2:20" x14ac:dyDescent="0.35">
      <c r="B29" s="54"/>
      <c r="C29" s="55"/>
      <c r="D29" s="55"/>
      <c r="E29" s="55"/>
      <c r="F29" s="55"/>
      <c r="G29" s="55"/>
      <c r="H29" s="55"/>
      <c r="I29" s="55"/>
      <c r="J29" s="55"/>
      <c r="K29" s="55"/>
      <c r="L29" s="55"/>
      <c r="M29" s="55"/>
      <c r="N29" s="55"/>
      <c r="O29" s="55"/>
      <c r="P29" s="55"/>
      <c r="Q29" s="55"/>
      <c r="R29" s="55"/>
      <c r="S29" s="55"/>
      <c r="T29" s="56"/>
    </row>
    <row r="30" spans="2:20" x14ac:dyDescent="0.35">
      <c r="B30" s="54"/>
      <c r="C30" s="55"/>
      <c r="D30" s="55"/>
      <c r="E30" s="55"/>
      <c r="F30" s="55"/>
      <c r="G30" s="55"/>
      <c r="H30" s="55"/>
      <c r="I30" s="55"/>
      <c r="J30" s="55"/>
      <c r="K30" s="55"/>
      <c r="L30" s="55"/>
      <c r="M30" s="55"/>
      <c r="N30" s="55"/>
      <c r="O30" s="55"/>
      <c r="P30" s="55"/>
      <c r="Q30" s="55"/>
      <c r="R30" s="55"/>
      <c r="S30" s="55"/>
      <c r="T30" s="56"/>
    </row>
    <row r="31" spans="2:20" x14ac:dyDescent="0.35">
      <c r="B31" s="54"/>
      <c r="C31" s="55"/>
      <c r="D31" s="55"/>
      <c r="E31" s="55"/>
      <c r="F31" s="55"/>
      <c r="G31" s="55"/>
      <c r="H31" s="55"/>
      <c r="I31" s="55"/>
      <c r="J31" s="55"/>
      <c r="K31" s="55"/>
      <c r="L31" s="55"/>
      <c r="M31" s="55"/>
      <c r="N31" s="55"/>
      <c r="O31" s="55"/>
      <c r="P31" s="55"/>
      <c r="Q31" s="55"/>
      <c r="R31" s="55"/>
      <c r="S31" s="55"/>
      <c r="T31" s="56"/>
    </row>
    <row r="32" spans="2:20" x14ac:dyDescent="0.35">
      <c r="B32" s="54"/>
      <c r="C32" s="55"/>
      <c r="D32" s="55"/>
      <c r="E32" s="55"/>
      <c r="F32" s="55"/>
      <c r="G32" s="55"/>
      <c r="H32" s="55"/>
      <c r="I32" s="55"/>
      <c r="J32" s="55"/>
      <c r="K32" s="55"/>
      <c r="L32" s="55"/>
      <c r="M32" s="55"/>
      <c r="N32" s="55"/>
      <c r="O32" s="55"/>
      <c r="P32" s="55"/>
      <c r="Q32" s="55"/>
      <c r="R32" s="55"/>
      <c r="S32" s="55"/>
      <c r="T32" s="56"/>
    </row>
    <row r="33" spans="2:20" x14ac:dyDescent="0.35">
      <c r="B33" s="54"/>
      <c r="C33" s="55"/>
      <c r="D33" s="55"/>
      <c r="E33" s="55"/>
      <c r="F33" s="55"/>
      <c r="G33" s="55"/>
      <c r="H33" s="55"/>
      <c r="I33" s="55"/>
      <c r="J33" s="55"/>
      <c r="K33" s="55"/>
      <c r="L33" s="55"/>
      <c r="M33" s="55"/>
      <c r="N33" s="55"/>
      <c r="O33" s="55"/>
      <c r="P33" s="55"/>
      <c r="Q33" s="55"/>
      <c r="R33" s="55"/>
      <c r="S33" s="55"/>
      <c r="T33" s="56"/>
    </row>
    <row r="34" spans="2:20" x14ac:dyDescent="0.35">
      <c r="B34" s="54"/>
      <c r="C34" s="55"/>
      <c r="D34" s="55"/>
      <c r="E34" s="55"/>
      <c r="F34" s="55"/>
      <c r="G34" s="55"/>
      <c r="H34" s="55"/>
      <c r="I34" s="55"/>
      <c r="J34" s="55"/>
      <c r="K34" s="55"/>
      <c r="L34" s="55"/>
      <c r="M34" s="55"/>
      <c r="N34" s="55"/>
      <c r="O34" s="55"/>
      <c r="P34" s="55"/>
      <c r="Q34" s="55"/>
      <c r="R34" s="55"/>
      <c r="S34" s="55"/>
      <c r="T34" s="56"/>
    </row>
    <row r="35" spans="2:20" ht="15" thickBot="1" x14ac:dyDescent="0.4">
      <c r="B35" s="57"/>
      <c r="C35" s="58"/>
      <c r="D35" s="58"/>
      <c r="E35" s="58"/>
      <c r="F35" s="58"/>
      <c r="G35" s="58"/>
      <c r="H35" s="58"/>
      <c r="I35" s="58"/>
      <c r="J35" s="58"/>
      <c r="K35" s="58"/>
      <c r="L35" s="58"/>
      <c r="M35" s="58"/>
      <c r="N35" s="58"/>
      <c r="O35" s="58"/>
      <c r="P35" s="58"/>
      <c r="Q35" s="58"/>
      <c r="R35" s="58"/>
      <c r="S35" s="58"/>
      <c r="T35" s="59"/>
    </row>
  </sheetData>
  <mergeCells count="5">
    <mergeCell ref="L3:O4"/>
    <mergeCell ref="Q3:T4"/>
    <mergeCell ref="B26:T35"/>
    <mergeCell ref="B3:E4"/>
    <mergeCell ref="G3:J4"/>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F0EC-87EF-4BC2-A186-C278D5ADD450}">
  <dimension ref="A1:X570"/>
  <sheetViews>
    <sheetView tabSelected="1" topLeftCell="BO21" zoomScale="38" workbookViewId="0">
      <selection activeCell="DF58" sqref="DF58"/>
    </sheetView>
  </sheetViews>
  <sheetFormatPr defaultColWidth="8.81640625" defaultRowHeight="14.5" x14ac:dyDescent="0.35"/>
  <cols>
    <col min="1" max="1" width="8.6328125" style="21" bestFit="1" customWidth="1"/>
    <col min="2" max="2" width="17.1796875" style="21" bestFit="1" customWidth="1"/>
    <col min="3" max="3" width="21" style="21" bestFit="1" customWidth="1"/>
    <col min="4" max="12" width="8.6328125" style="21" bestFit="1" customWidth="1"/>
    <col min="13" max="13" width="13.6328125" style="21" bestFit="1" customWidth="1"/>
    <col min="14" max="20" width="8.6328125" style="21" bestFit="1" customWidth="1"/>
    <col min="21" max="21" width="15.6328125" style="21" bestFit="1" customWidth="1"/>
    <col min="22" max="22" width="8.6328125" style="21" bestFit="1" customWidth="1"/>
    <col min="23" max="23" width="20.453125" style="21" bestFit="1" customWidth="1"/>
    <col min="24" max="24" width="8.81640625" style="4"/>
  </cols>
  <sheetData>
    <row r="1" spans="1:24" x14ac:dyDescent="0.35">
      <c r="A1" s="20" t="s">
        <v>1</v>
      </c>
      <c r="B1" s="20" t="s">
        <v>621</v>
      </c>
      <c r="C1" s="20" t="s">
        <v>622</v>
      </c>
      <c r="D1" s="20" t="s">
        <v>3</v>
      </c>
      <c r="E1" s="20" t="s">
        <v>4</v>
      </c>
      <c r="F1" s="20" t="s">
        <v>5</v>
      </c>
      <c r="G1" s="20" t="s">
        <v>6</v>
      </c>
      <c r="H1" s="20" t="s">
        <v>7</v>
      </c>
      <c r="I1" s="20" t="s">
        <v>8</v>
      </c>
      <c r="J1" s="20" t="s">
        <v>9</v>
      </c>
      <c r="K1" s="20" t="s">
        <v>10</v>
      </c>
      <c r="L1" s="20" t="s">
        <v>11</v>
      </c>
      <c r="M1" s="20" t="s">
        <v>616</v>
      </c>
      <c r="N1" s="20" t="s">
        <v>617</v>
      </c>
      <c r="O1" s="20" t="s">
        <v>618</v>
      </c>
      <c r="P1" s="20" t="s">
        <v>619</v>
      </c>
      <c r="Q1" s="20" t="s">
        <v>620</v>
      </c>
      <c r="R1" s="20" t="s">
        <v>623</v>
      </c>
      <c r="S1" s="20" t="s">
        <v>624</v>
      </c>
      <c r="T1" s="20" t="s">
        <v>12</v>
      </c>
      <c r="U1" s="20" t="s">
        <v>625</v>
      </c>
      <c r="V1" s="20" t="s">
        <v>15</v>
      </c>
      <c r="W1" s="20" t="s">
        <v>626</v>
      </c>
      <c r="X1" s="2" t="s">
        <v>14</v>
      </c>
    </row>
    <row r="2" spans="1:24" x14ac:dyDescent="0.35">
      <c r="A2" s="21">
        <v>24</v>
      </c>
      <c r="B2" s="21">
        <v>2</v>
      </c>
      <c r="C2" s="21">
        <v>2.5</v>
      </c>
      <c r="D2" s="21">
        <v>0</v>
      </c>
      <c r="F2" s="21">
        <v>0</v>
      </c>
      <c r="H2" s="21">
        <v>0</v>
      </c>
      <c r="K2" s="21">
        <v>0</v>
      </c>
      <c r="M2" s="21">
        <v>0</v>
      </c>
      <c r="N2" s="21">
        <v>0.5</v>
      </c>
      <c r="O2" s="21">
        <v>0</v>
      </c>
      <c r="P2" s="21">
        <v>0</v>
      </c>
      <c r="Q2" s="21">
        <v>0</v>
      </c>
      <c r="R2" s="21">
        <v>1</v>
      </c>
      <c r="S2" s="21">
        <v>0</v>
      </c>
      <c r="T2" s="21">
        <v>0</v>
      </c>
      <c r="U2" s="21">
        <v>-4</v>
      </c>
      <c r="V2" s="21">
        <v>-0.1</v>
      </c>
      <c r="W2" s="21">
        <v>0.111</v>
      </c>
      <c r="X2" s="4">
        <v>0</v>
      </c>
    </row>
    <row r="3" spans="1:24" x14ac:dyDescent="0.35">
      <c r="A3" s="21">
        <v>27</v>
      </c>
      <c r="B3" s="21">
        <v>4</v>
      </c>
      <c r="C3" s="21">
        <v>1.8</v>
      </c>
      <c r="D3" s="21">
        <v>0</v>
      </c>
      <c r="F3" s="21">
        <v>0</v>
      </c>
      <c r="H3" s="21">
        <v>0</v>
      </c>
      <c r="K3" s="21">
        <v>0</v>
      </c>
      <c r="M3" s="21">
        <v>0</v>
      </c>
      <c r="N3" s="21">
        <v>0.3</v>
      </c>
      <c r="O3" s="21">
        <v>0.3</v>
      </c>
      <c r="P3" s="21">
        <v>0</v>
      </c>
      <c r="Q3" s="21">
        <v>0</v>
      </c>
      <c r="R3" s="21">
        <v>0</v>
      </c>
      <c r="S3" s="21">
        <v>0</v>
      </c>
      <c r="T3" s="21">
        <v>5</v>
      </c>
      <c r="U3" s="21">
        <v>5.6</v>
      </c>
      <c r="V3" s="21">
        <v>10.9</v>
      </c>
      <c r="W3" s="21">
        <v>0.114</v>
      </c>
      <c r="X3" s="4">
        <v>0</v>
      </c>
    </row>
    <row r="4" spans="1:24" x14ac:dyDescent="0.35">
      <c r="A4" s="21">
        <v>29</v>
      </c>
      <c r="B4" s="21">
        <v>1</v>
      </c>
      <c r="C4" s="21">
        <v>3</v>
      </c>
      <c r="D4" s="21">
        <v>0</v>
      </c>
      <c r="F4" s="21">
        <v>0</v>
      </c>
      <c r="H4" s="21">
        <v>0</v>
      </c>
      <c r="K4" s="21">
        <v>0</v>
      </c>
      <c r="M4" s="21">
        <v>1</v>
      </c>
      <c r="N4" s="21">
        <v>1</v>
      </c>
      <c r="O4" s="21">
        <v>0</v>
      </c>
      <c r="P4" s="21">
        <v>0</v>
      </c>
      <c r="Q4" s="21">
        <v>0</v>
      </c>
      <c r="R4" s="21">
        <v>0</v>
      </c>
      <c r="S4" s="21">
        <v>0</v>
      </c>
      <c r="T4" s="21">
        <v>6</v>
      </c>
      <c r="U4" s="21">
        <v>7.5</v>
      </c>
      <c r="V4" s="21">
        <v>13.8</v>
      </c>
      <c r="W4" s="21">
        <v>0.19600000000000001</v>
      </c>
      <c r="X4" s="4">
        <v>0</v>
      </c>
    </row>
    <row r="5" spans="1:24" x14ac:dyDescent="0.35">
      <c r="A5" s="21">
        <v>25</v>
      </c>
      <c r="B5" s="21">
        <v>1</v>
      </c>
      <c r="C5" s="21">
        <v>4</v>
      </c>
      <c r="D5" s="21">
        <v>2</v>
      </c>
      <c r="E5" s="21">
        <v>1</v>
      </c>
      <c r="F5" s="21">
        <v>1</v>
      </c>
      <c r="G5" s="21">
        <v>1</v>
      </c>
      <c r="H5" s="21">
        <v>1</v>
      </c>
      <c r="I5" s="21">
        <v>1</v>
      </c>
      <c r="J5" s="21">
        <v>1.25</v>
      </c>
      <c r="K5" s="21">
        <v>0</v>
      </c>
      <c r="M5" s="21">
        <v>0</v>
      </c>
      <c r="N5" s="21">
        <v>1</v>
      </c>
      <c r="O5" s="21">
        <v>0</v>
      </c>
      <c r="P5" s="21">
        <v>0</v>
      </c>
      <c r="Q5" s="21">
        <v>0</v>
      </c>
      <c r="R5" s="21">
        <v>0</v>
      </c>
      <c r="S5" s="21">
        <v>5</v>
      </c>
      <c r="T5" s="21">
        <v>2</v>
      </c>
      <c r="U5" s="21">
        <v>44.1</v>
      </c>
      <c r="V5" s="21">
        <v>53.4</v>
      </c>
      <c r="W5" s="21">
        <v>0.56499999999999995</v>
      </c>
      <c r="X5" s="4">
        <v>0</v>
      </c>
    </row>
    <row r="6" spans="1:24" x14ac:dyDescent="0.35">
      <c r="A6" s="21">
        <v>39</v>
      </c>
      <c r="B6" s="21">
        <v>3</v>
      </c>
      <c r="C6" s="21">
        <v>19.3</v>
      </c>
      <c r="D6" s="21">
        <v>2.2999999999999998</v>
      </c>
      <c r="E6" s="21">
        <v>0.42899999999999999</v>
      </c>
      <c r="F6" s="21">
        <v>2</v>
      </c>
      <c r="G6" s="21">
        <v>0.5</v>
      </c>
      <c r="H6" s="21">
        <v>0.3</v>
      </c>
      <c r="I6" s="21">
        <v>0</v>
      </c>
      <c r="J6" s="21">
        <v>0.64300000000000002</v>
      </c>
      <c r="K6" s="21">
        <v>0</v>
      </c>
      <c r="M6" s="21">
        <v>2.7</v>
      </c>
      <c r="N6" s="21">
        <v>0</v>
      </c>
      <c r="O6" s="21">
        <v>0.3</v>
      </c>
      <c r="P6" s="21">
        <v>0.3</v>
      </c>
      <c r="Q6" s="21">
        <v>0.3</v>
      </c>
      <c r="R6" s="21">
        <v>2.7</v>
      </c>
      <c r="S6" s="21">
        <v>3</v>
      </c>
      <c r="T6" s="21">
        <v>13</v>
      </c>
      <c r="U6" s="21">
        <v>-7.2</v>
      </c>
      <c r="V6" s="21">
        <v>5.5</v>
      </c>
      <c r="W6" s="21">
        <v>7.0000000000000007E-2</v>
      </c>
      <c r="X6" s="4">
        <v>0</v>
      </c>
    </row>
    <row r="7" spans="1:24" x14ac:dyDescent="0.35">
      <c r="A7" s="21">
        <v>28</v>
      </c>
      <c r="B7" s="21">
        <v>4</v>
      </c>
      <c r="C7" s="21">
        <v>3</v>
      </c>
      <c r="D7" s="21">
        <v>1</v>
      </c>
      <c r="E7" s="21">
        <v>0.5</v>
      </c>
      <c r="F7" s="21">
        <v>0.3</v>
      </c>
      <c r="G7" s="21">
        <v>1</v>
      </c>
      <c r="H7" s="21">
        <v>0.8</v>
      </c>
      <c r="I7" s="21">
        <v>0.33300000000000002</v>
      </c>
      <c r="J7" s="21">
        <v>0.625</v>
      </c>
      <c r="K7" s="21">
        <v>0</v>
      </c>
      <c r="M7" s="21">
        <v>0.8</v>
      </c>
      <c r="N7" s="21">
        <v>0.3</v>
      </c>
      <c r="O7" s="21">
        <v>0</v>
      </c>
      <c r="P7" s="21">
        <v>0</v>
      </c>
      <c r="Q7" s="21">
        <v>0</v>
      </c>
      <c r="R7" s="21">
        <v>0.3</v>
      </c>
      <c r="S7" s="21">
        <v>1.3</v>
      </c>
      <c r="T7" s="21">
        <v>4</v>
      </c>
      <c r="U7" s="21">
        <v>2.1</v>
      </c>
      <c r="V7" s="21">
        <v>15.9</v>
      </c>
      <c r="W7" s="21">
        <v>0.16500000000000001</v>
      </c>
      <c r="X7" s="4">
        <v>0</v>
      </c>
    </row>
    <row r="8" spans="1:24" x14ac:dyDescent="0.35">
      <c r="A8" s="21">
        <v>22</v>
      </c>
      <c r="B8" s="21">
        <v>4</v>
      </c>
      <c r="C8" s="21">
        <v>5.3</v>
      </c>
      <c r="D8" s="21">
        <v>1.8</v>
      </c>
      <c r="E8" s="21">
        <v>0.57099999999999995</v>
      </c>
      <c r="F8" s="21">
        <v>0</v>
      </c>
      <c r="H8" s="21">
        <v>1.8</v>
      </c>
      <c r="I8" s="21">
        <v>0.57099999999999995</v>
      </c>
      <c r="J8" s="21">
        <v>0.57099999999999995</v>
      </c>
      <c r="K8" s="21">
        <v>0</v>
      </c>
      <c r="M8" s="21">
        <v>1.5</v>
      </c>
      <c r="N8" s="21">
        <v>0.3</v>
      </c>
      <c r="O8" s="21">
        <v>0</v>
      </c>
      <c r="P8" s="21">
        <v>0</v>
      </c>
      <c r="Q8" s="21">
        <v>0.3</v>
      </c>
      <c r="R8" s="21">
        <v>0.3</v>
      </c>
      <c r="S8" s="21">
        <v>2</v>
      </c>
      <c r="T8" s="21">
        <v>1</v>
      </c>
      <c r="U8" s="21">
        <v>-2.6</v>
      </c>
      <c r="V8" s="21">
        <v>15.2</v>
      </c>
      <c r="W8" s="21">
        <v>0.105</v>
      </c>
      <c r="X8" s="4">
        <v>0</v>
      </c>
    </row>
    <row r="9" spans="1:24" x14ac:dyDescent="0.35">
      <c r="A9" s="21">
        <v>24</v>
      </c>
      <c r="B9" s="21">
        <v>17</v>
      </c>
      <c r="C9" s="21">
        <v>4.5</v>
      </c>
      <c r="D9" s="21">
        <v>1.3</v>
      </c>
      <c r="E9" s="21">
        <v>0.40899999999999997</v>
      </c>
      <c r="F9" s="21">
        <v>0.6</v>
      </c>
      <c r="G9" s="21">
        <v>0.5</v>
      </c>
      <c r="H9" s="21">
        <v>0.7</v>
      </c>
      <c r="I9" s="21">
        <v>0.33300000000000002</v>
      </c>
      <c r="J9" s="21">
        <v>0.52300000000000002</v>
      </c>
      <c r="K9" s="21">
        <v>0</v>
      </c>
      <c r="M9" s="21">
        <v>0.9</v>
      </c>
      <c r="N9" s="21">
        <v>0.4</v>
      </c>
      <c r="O9" s="21">
        <v>0.1</v>
      </c>
      <c r="P9" s="21">
        <v>0</v>
      </c>
      <c r="Q9" s="21">
        <v>0.2</v>
      </c>
      <c r="R9" s="21">
        <v>0.2</v>
      </c>
      <c r="S9" s="21">
        <v>1.4</v>
      </c>
      <c r="T9" s="21">
        <v>1</v>
      </c>
      <c r="U9" s="21">
        <v>-2.6</v>
      </c>
      <c r="V9" s="21">
        <v>9.1999999999999993</v>
      </c>
      <c r="W9" s="21">
        <v>0.03</v>
      </c>
      <c r="X9" s="4">
        <v>0</v>
      </c>
    </row>
    <row r="10" spans="1:24" x14ac:dyDescent="0.35">
      <c r="A10" s="21">
        <v>22</v>
      </c>
      <c r="B10" s="21">
        <v>5</v>
      </c>
      <c r="C10" s="21">
        <v>7</v>
      </c>
      <c r="D10" s="21">
        <v>0.8</v>
      </c>
      <c r="E10" s="21">
        <v>0.5</v>
      </c>
      <c r="F10" s="21">
        <v>0.2</v>
      </c>
      <c r="G10" s="21">
        <v>0</v>
      </c>
      <c r="H10" s="21">
        <v>0.6</v>
      </c>
      <c r="I10" s="21">
        <v>0.66700000000000004</v>
      </c>
      <c r="J10" s="21">
        <v>0.5</v>
      </c>
      <c r="K10" s="21">
        <v>0</v>
      </c>
      <c r="M10" s="21">
        <v>1.8</v>
      </c>
      <c r="N10" s="21">
        <v>0.6</v>
      </c>
      <c r="O10" s="21">
        <v>0.6</v>
      </c>
      <c r="P10" s="21">
        <v>0</v>
      </c>
      <c r="Q10" s="21">
        <v>0.2</v>
      </c>
      <c r="R10" s="21">
        <v>0.4</v>
      </c>
      <c r="S10" s="21">
        <v>0.8</v>
      </c>
      <c r="T10" s="21">
        <v>0</v>
      </c>
      <c r="U10" s="21">
        <v>-1.2</v>
      </c>
      <c r="V10" s="21">
        <v>10.9</v>
      </c>
      <c r="W10" s="21">
        <v>9.2999999999999999E-2</v>
      </c>
      <c r="X10" s="4">
        <v>-0.1</v>
      </c>
    </row>
    <row r="11" spans="1:24" x14ac:dyDescent="0.35">
      <c r="A11" s="21">
        <v>21</v>
      </c>
      <c r="B11" s="21">
        <v>10</v>
      </c>
      <c r="C11" s="21">
        <v>7.5</v>
      </c>
      <c r="D11" s="21">
        <v>3.8</v>
      </c>
      <c r="E11" s="21">
        <v>0.34200000000000003</v>
      </c>
      <c r="F11" s="21">
        <v>3</v>
      </c>
      <c r="G11" s="21">
        <v>0.36699999999999999</v>
      </c>
      <c r="H11" s="21">
        <v>0.8</v>
      </c>
      <c r="I11" s="21">
        <v>0.25</v>
      </c>
      <c r="J11" s="21">
        <v>0.48699999999999999</v>
      </c>
      <c r="K11" s="21">
        <v>0</v>
      </c>
      <c r="M11" s="21">
        <v>0.7</v>
      </c>
      <c r="N11" s="21">
        <v>0.8</v>
      </c>
      <c r="O11" s="21">
        <v>0.1</v>
      </c>
      <c r="P11" s="21">
        <v>0.1</v>
      </c>
      <c r="Q11" s="21">
        <v>0.2</v>
      </c>
      <c r="R11" s="21">
        <v>0.4</v>
      </c>
      <c r="S11" s="21">
        <v>3.7</v>
      </c>
      <c r="T11" s="21">
        <v>1</v>
      </c>
      <c r="U11" s="21">
        <v>-1.5</v>
      </c>
      <c r="V11" s="21">
        <v>9.8000000000000007</v>
      </c>
      <c r="W11" s="21">
        <v>3.7999999999999999E-2</v>
      </c>
      <c r="X11" s="4">
        <v>-0.1</v>
      </c>
    </row>
    <row r="12" spans="1:24" x14ac:dyDescent="0.35">
      <c r="A12" s="21">
        <v>27</v>
      </c>
      <c r="B12" s="21">
        <v>13</v>
      </c>
      <c r="C12" s="21">
        <v>10.5</v>
      </c>
      <c r="D12" s="21">
        <v>2</v>
      </c>
      <c r="E12" s="21">
        <v>0.38500000000000001</v>
      </c>
      <c r="F12" s="21">
        <v>1.2</v>
      </c>
      <c r="G12" s="21">
        <v>0.26700000000000002</v>
      </c>
      <c r="H12" s="21">
        <v>0.8</v>
      </c>
      <c r="I12" s="21">
        <v>0.54500000000000004</v>
      </c>
      <c r="J12" s="21">
        <v>0.46200000000000002</v>
      </c>
      <c r="K12" s="21">
        <v>0</v>
      </c>
      <c r="M12" s="21">
        <v>2.5</v>
      </c>
      <c r="N12" s="21">
        <v>0.7</v>
      </c>
      <c r="O12" s="21">
        <v>0.2</v>
      </c>
      <c r="P12" s="21">
        <v>0.2</v>
      </c>
      <c r="Q12" s="21">
        <v>0.8</v>
      </c>
      <c r="R12" s="21">
        <v>0.8</v>
      </c>
      <c r="S12" s="21">
        <v>1.8</v>
      </c>
      <c r="T12" s="21">
        <v>5</v>
      </c>
      <c r="U12" s="21">
        <v>-7.1</v>
      </c>
      <c r="V12" s="21">
        <v>4.5999999999999996</v>
      </c>
      <c r="W12" s="21">
        <v>-3.4000000000000002E-2</v>
      </c>
      <c r="X12" s="4">
        <v>-0.1</v>
      </c>
    </row>
    <row r="13" spans="1:24" x14ac:dyDescent="0.35">
      <c r="A13" s="21">
        <v>24</v>
      </c>
      <c r="B13" s="21">
        <v>9</v>
      </c>
      <c r="C13" s="21">
        <v>2.4</v>
      </c>
      <c r="D13" s="21">
        <v>1</v>
      </c>
      <c r="E13" s="21">
        <v>0.44400000000000001</v>
      </c>
      <c r="F13" s="21">
        <v>0.1</v>
      </c>
      <c r="G13" s="21">
        <v>0</v>
      </c>
      <c r="H13" s="21">
        <v>0.9</v>
      </c>
      <c r="I13" s="21">
        <v>0.5</v>
      </c>
      <c r="J13" s="21">
        <v>0.44400000000000001</v>
      </c>
      <c r="K13" s="21">
        <v>0</v>
      </c>
      <c r="M13" s="21">
        <v>0.3</v>
      </c>
      <c r="N13" s="21">
        <v>0.2</v>
      </c>
      <c r="O13" s="21">
        <v>0.1</v>
      </c>
      <c r="P13" s="21">
        <v>0</v>
      </c>
      <c r="Q13" s="21">
        <v>0.2</v>
      </c>
      <c r="R13" s="21">
        <v>0.3</v>
      </c>
      <c r="S13" s="21">
        <v>0.9</v>
      </c>
      <c r="T13" s="21">
        <v>0</v>
      </c>
      <c r="U13" s="21">
        <v>-10.1</v>
      </c>
      <c r="V13" s="21">
        <v>5.9</v>
      </c>
      <c r="W13" s="21">
        <v>-7.0000000000000007E-2</v>
      </c>
      <c r="X13" s="4">
        <v>0</v>
      </c>
    </row>
    <row r="14" spans="1:24" x14ac:dyDescent="0.35">
      <c r="A14" s="21">
        <v>28</v>
      </c>
      <c r="B14" s="21">
        <v>9</v>
      </c>
      <c r="C14" s="21">
        <v>4.8</v>
      </c>
      <c r="D14" s="21">
        <v>1.9</v>
      </c>
      <c r="E14" s="21">
        <v>0.29399999999999998</v>
      </c>
      <c r="F14" s="21">
        <v>1.4</v>
      </c>
      <c r="G14" s="21">
        <v>0.308</v>
      </c>
      <c r="H14" s="21">
        <v>0.4</v>
      </c>
      <c r="I14" s="21">
        <v>0.25</v>
      </c>
      <c r="J14" s="21">
        <v>0.41199999999999998</v>
      </c>
      <c r="K14" s="21">
        <v>0</v>
      </c>
      <c r="M14" s="21">
        <v>0.6</v>
      </c>
      <c r="N14" s="21">
        <v>0.1</v>
      </c>
      <c r="O14" s="21">
        <v>0</v>
      </c>
      <c r="P14" s="21">
        <v>0.2</v>
      </c>
      <c r="Q14" s="21">
        <v>0.2</v>
      </c>
      <c r="R14" s="21">
        <v>0.3</v>
      </c>
      <c r="S14" s="21">
        <v>1.6</v>
      </c>
      <c r="T14" s="21">
        <v>0</v>
      </c>
      <c r="U14" s="21">
        <v>-7.7</v>
      </c>
      <c r="V14" s="21">
        <v>4</v>
      </c>
      <c r="W14" s="21">
        <v>-3.1E-2</v>
      </c>
      <c r="X14" s="4">
        <v>0</v>
      </c>
    </row>
    <row r="15" spans="1:24" x14ac:dyDescent="0.35">
      <c r="A15" s="21">
        <v>23</v>
      </c>
      <c r="B15" s="21">
        <v>2</v>
      </c>
      <c r="C15" s="21">
        <v>8</v>
      </c>
      <c r="D15" s="21">
        <v>1.5</v>
      </c>
      <c r="E15" s="21">
        <v>0.33300000000000002</v>
      </c>
      <c r="F15" s="21">
        <v>0</v>
      </c>
      <c r="H15" s="21">
        <v>1.5</v>
      </c>
      <c r="I15" s="21">
        <v>0.33300000000000002</v>
      </c>
      <c r="J15" s="21">
        <v>0.33300000000000002</v>
      </c>
      <c r="K15" s="21">
        <v>0</v>
      </c>
      <c r="M15" s="21">
        <v>1.5</v>
      </c>
      <c r="N15" s="21">
        <v>2</v>
      </c>
      <c r="O15" s="21">
        <v>1</v>
      </c>
      <c r="P15" s="21">
        <v>0</v>
      </c>
      <c r="Q15" s="21">
        <v>0</v>
      </c>
      <c r="R15" s="21">
        <v>2.5</v>
      </c>
      <c r="S15" s="21">
        <v>1</v>
      </c>
      <c r="T15" s="21">
        <v>0</v>
      </c>
      <c r="U15" s="21">
        <v>0.3</v>
      </c>
      <c r="V15" s="21">
        <v>13.9</v>
      </c>
      <c r="W15" s="21">
        <v>0.214</v>
      </c>
      <c r="X15" s="4">
        <v>0</v>
      </c>
    </row>
    <row r="16" spans="1:24" x14ac:dyDescent="0.35">
      <c r="A16" s="21">
        <v>37</v>
      </c>
      <c r="B16" s="21">
        <v>19</v>
      </c>
      <c r="C16" s="21">
        <v>6</v>
      </c>
      <c r="D16" s="21">
        <v>1.2</v>
      </c>
      <c r="E16" s="21">
        <v>0.26100000000000001</v>
      </c>
      <c r="F16" s="21">
        <v>0.8</v>
      </c>
      <c r="G16" s="21">
        <v>0.2</v>
      </c>
      <c r="H16" s="21">
        <v>0.4</v>
      </c>
      <c r="I16" s="21">
        <v>0.375</v>
      </c>
      <c r="J16" s="21">
        <v>0.32600000000000001</v>
      </c>
      <c r="K16" s="21">
        <v>0</v>
      </c>
      <c r="M16" s="21">
        <v>0.6</v>
      </c>
      <c r="N16" s="21">
        <v>1.2</v>
      </c>
      <c r="O16" s="21">
        <v>0.1</v>
      </c>
      <c r="P16" s="21">
        <v>0</v>
      </c>
      <c r="Q16" s="21">
        <v>0.5</v>
      </c>
      <c r="R16" s="21">
        <v>0.6</v>
      </c>
      <c r="S16" s="21">
        <v>0.8</v>
      </c>
      <c r="T16" s="21">
        <v>10</v>
      </c>
      <c r="U16" s="21">
        <v>-7</v>
      </c>
      <c r="V16" s="21">
        <v>2.4</v>
      </c>
      <c r="W16" s="21">
        <v>-3.5000000000000003E-2</v>
      </c>
      <c r="X16" s="4">
        <v>0</v>
      </c>
    </row>
    <row r="17" spans="1:24" x14ac:dyDescent="0.35">
      <c r="A17" s="21">
        <v>23</v>
      </c>
      <c r="B17" s="21">
        <v>2</v>
      </c>
      <c r="C17" s="21">
        <v>5</v>
      </c>
      <c r="D17" s="21">
        <v>2.5</v>
      </c>
      <c r="E17" s="21">
        <v>0.2</v>
      </c>
      <c r="F17" s="21">
        <v>2.5</v>
      </c>
      <c r="G17" s="21">
        <v>0.2</v>
      </c>
      <c r="H17" s="21">
        <v>0</v>
      </c>
      <c r="J17" s="21">
        <v>0.3</v>
      </c>
      <c r="K17" s="21">
        <v>0</v>
      </c>
      <c r="M17" s="21">
        <v>0</v>
      </c>
      <c r="N17" s="21">
        <v>0.5</v>
      </c>
      <c r="O17" s="21">
        <v>0</v>
      </c>
      <c r="P17" s="21">
        <v>0</v>
      </c>
      <c r="Q17" s="21">
        <v>0.5</v>
      </c>
      <c r="R17" s="21">
        <v>0</v>
      </c>
      <c r="S17" s="21">
        <v>1.5</v>
      </c>
      <c r="T17" s="21">
        <v>0</v>
      </c>
      <c r="U17" s="21">
        <v>-18.600000000000001</v>
      </c>
      <c r="V17" s="21">
        <v>-5.2</v>
      </c>
      <c r="W17" s="21">
        <v>-0.3</v>
      </c>
      <c r="X17" s="4">
        <v>-0.2</v>
      </c>
    </row>
    <row r="18" spans="1:24" x14ac:dyDescent="0.35">
      <c r="A18" s="21">
        <v>24</v>
      </c>
      <c r="B18" s="21">
        <v>1</v>
      </c>
      <c r="C18" s="21">
        <v>7</v>
      </c>
      <c r="D18" s="21">
        <v>1</v>
      </c>
      <c r="E18" s="21">
        <v>0</v>
      </c>
      <c r="F18" s="21">
        <v>1</v>
      </c>
      <c r="G18" s="21">
        <v>0</v>
      </c>
      <c r="H18" s="21">
        <v>0</v>
      </c>
      <c r="J18" s="21">
        <v>0</v>
      </c>
      <c r="K18" s="21">
        <v>0</v>
      </c>
      <c r="M18" s="21">
        <v>2</v>
      </c>
      <c r="N18" s="21">
        <v>0</v>
      </c>
      <c r="O18" s="21">
        <v>0</v>
      </c>
      <c r="P18" s="21">
        <v>0</v>
      </c>
      <c r="Q18" s="21">
        <v>0</v>
      </c>
      <c r="R18" s="21">
        <v>0</v>
      </c>
      <c r="S18" s="21">
        <v>0</v>
      </c>
      <c r="T18" s="21">
        <v>0</v>
      </c>
      <c r="U18" s="21">
        <v>-11.8</v>
      </c>
      <c r="V18" s="21">
        <v>-1.7</v>
      </c>
      <c r="W18" s="21">
        <v>-0.114</v>
      </c>
      <c r="X18" s="4">
        <v>0</v>
      </c>
    </row>
    <row r="19" spans="1:24" x14ac:dyDescent="0.35">
      <c r="A19" s="21">
        <v>23</v>
      </c>
      <c r="B19" s="21">
        <v>3</v>
      </c>
      <c r="C19" s="21">
        <v>1</v>
      </c>
      <c r="D19" s="21">
        <v>0.3</v>
      </c>
      <c r="E19" s="21">
        <v>0</v>
      </c>
      <c r="F19" s="21">
        <v>0</v>
      </c>
      <c r="H19" s="21">
        <v>0.3</v>
      </c>
      <c r="I19" s="21">
        <v>0</v>
      </c>
      <c r="J19" s="21">
        <v>0</v>
      </c>
      <c r="K19" s="21">
        <v>0</v>
      </c>
      <c r="M19" s="21">
        <v>0</v>
      </c>
      <c r="N19" s="21">
        <v>0</v>
      </c>
      <c r="O19" s="21">
        <v>0</v>
      </c>
      <c r="P19" s="21">
        <v>0</v>
      </c>
      <c r="Q19" s="21">
        <v>0</v>
      </c>
      <c r="R19" s="21">
        <v>0</v>
      </c>
      <c r="S19" s="21">
        <v>0</v>
      </c>
      <c r="T19" s="21">
        <v>0</v>
      </c>
      <c r="U19" s="21">
        <v>-22.7</v>
      </c>
      <c r="V19" s="21">
        <v>-11.7</v>
      </c>
      <c r="W19" s="21">
        <v>-0.30399999999999999</v>
      </c>
      <c r="X19" s="4">
        <v>0</v>
      </c>
    </row>
    <row r="20" spans="1:24" x14ac:dyDescent="0.35">
      <c r="A20" s="21">
        <v>25</v>
      </c>
      <c r="B20" s="21">
        <v>3</v>
      </c>
      <c r="C20" s="21">
        <v>2</v>
      </c>
      <c r="D20" s="21">
        <v>0.3</v>
      </c>
      <c r="E20" s="21">
        <v>0</v>
      </c>
      <c r="F20" s="21">
        <v>0</v>
      </c>
      <c r="H20" s="21">
        <v>0.3</v>
      </c>
      <c r="I20" s="21">
        <v>0</v>
      </c>
      <c r="J20" s="21">
        <v>0</v>
      </c>
      <c r="K20" s="21">
        <v>0</v>
      </c>
      <c r="M20" s="21">
        <v>0.3</v>
      </c>
      <c r="N20" s="21">
        <v>0.7</v>
      </c>
      <c r="O20" s="21">
        <v>0</v>
      </c>
      <c r="P20" s="21">
        <v>0</v>
      </c>
      <c r="Q20" s="21">
        <v>0</v>
      </c>
      <c r="R20" s="21">
        <v>0</v>
      </c>
      <c r="S20" s="21">
        <v>0</v>
      </c>
      <c r="T20" s="21">
        <v>3</v>
      </c>
      <c r="U20" s="21">
        <v>3.3</v>
      </c>
      <c r="V20" s="21">
        <v>9.8000000000000007</v>
      </c>
      <c r="W20" s="21">
        <v>4.9000000000000002E-2</v>
      </c>
      <c r="X20" s="4">
        <v>0</v>
      </c>
    </row>
    <row r="21" spans="1:24" x14ac:dyDescent="0.35">
      <c r="A21" s="21">
        <v>24</v>
      </c>
      <c r="B21" s="21">
        <v>3</v>
      </c>
      <c r="C21" s="21">
        <v>2</v>
      </c>
      <c r="D21" s="21">
        <v>0.7</v>
      </c>
      <c r="E21" s="21">
        <v>0</v>
      </c>
      <c r="F21" s="21">
        <v>0.3</v>
      </c>
      <c r="G21" s="21">
        <v>0</v>
      </c>
      <c r="H21" s="21">
        <v>0.3</v>
      </c>
      <c r="I21" s="21">
        <v>0</v>
      </c>
      <c r="J21" s="21">
        <v>0</v>
      </c>
      <c r="K21" s="21">
        <v>0</v>
      </c>
      <c r="M21" s="21">
        <v>0.7</v>
      </c>
      <c r="N21" s="21">
        <v>0</v>
      </c>
      <c r="O21" s="21">
        <v>0.3</v>
      </c>
      <c r="P21" s="21">
        <v>0</v>
      </c>
      <c r="Q21" s="21">
        <v>0</v>
      </c>
      <c r="R21" s="21">
        <v>0</v>
      </c>
      <c r="S21" s="21">
        <v>0</v>
      </c>
      <c r="T21" s="21">
        <v>0</v>
      </c>
      <c r="U21" s="21">
        <v>-11.8</v>
      </c>
      <c r="V21" s="21">
        <v>0.1</v>
      </c>
      <c r="W21" s="21">
        <v>-0.19600000000000001</v>
      </c>
      <c r="X21" s="4">
        <v>0</v>
      </c>
    </row>
    <row r="22" spans="1:24" x14ac:dyDescent="0.35">
      <c r="A22" s="21">
        <v>26</v>
      </c>
      <c r="B22" s="21">
        <v>2</v>
      </c>
      <c r="C22" s="21">
        <v>5</v>
      </c>
      <c r="D22" s="21">
        <v>1</v>
      </c>
      <c r="E22" s="21">
        <v>0</v>
      </c>
      <c r="F22" s="21">
        <v>0.5</v>
      </c>
      <c r="G22" s="21">
        <v>0</v>
      </c>
      <c r="H22" s="21">
        <v>0.5</v>
      </c>
      <c r="I22" s="21">
        <v>0</v>
      </c>
      <c r="J22" s="21">
        <v>0</v>
      </c>
      <c r="K22" s="21">
        <v>0</v>
      </c>
      <c r="M22" s="21">
        <v>0.5</v>
      </c>
      <c r="N22" s="21">
        <v>1.5</v>
      </c>
      <c r="O22" s="21">
        <v>0</v>
      </c>
      <c r="P22" s="21">
        <v>0</v>
      </c>
      <c r="Q22" s="21">
        <v>0</v>
      </c>
      <c r="R22" s="21">
        <v>1</v>
      </c>
      <c r="S22" s="21">
        <v>0</v>
      </c>
      <c r="T22" s="21">
        <v>2</v>
      </c>
      <c r="U22" s="21">
        <v>-11</v>
      </c>
      <c r="V22" s="21">
        <v>-0.3</v>
      </c>
      <c r="W22" s="21">
        <v>-4.7E-2</v>
      </c>
      <c r="X22" s="4">
        <v>0</v>
      </c>
    </row>
    <row r="23" spans="1:24" x14ac:dyDescent="0.35">
      <c r="A23" s="21">
        <v>27</v>
      </c>
      <c r="B23" s="21">
        <v>1</v>
      </c>
      <c r="C23" s="21">
        <v>8</v>
      </c>
      <c r="D23" s="21">
        <v>2</v>
      </c>
      <c r="E23" s="21">
        <v>0</v>
      </c>
      <c r="F23" s="21">
        <v>1</v>
      </c>
      <c r="G23" s="21">
        <v>0</v>
      </c>
      <c r="H23" s="21">
        <v>1</v>
      </c>
      <c r="I23" s="21">
        <v>0</v>
      </c>
      <c r="J23" s="21">
        <v>0</v>
      </c>
      <c r="K23" s="21">
        <v>0</v>
      </c>
      <c r="M23" s="21">
        <v>1</v>
      </c>
      <c r="N23" s="21">
        <v>1</v>
      </c>
      <c r="O23" s="21">
        <v>0</v>
      </c>
      <c r="P23" s="21">
        <v>0</v>
      </c>
      <c r="Q23" s="21">
        <v>0</v>
      </c>
      <c r="R23" s="21">
        <v>0</v>
      </c>
      <c r="S23" s="21">
        <v>0</v>
      </c>
      <c r="T23" s="21">
        <v>4</v>
      </c>
      <c r="U23" s="21">
        <v>-16.899999999999999</v>
      </c>
      <c r="V23" s="21">
        <v>-4</v>
      </c>
      <c r="W23" s="21">
        <v>-0.191</v>
      </c>
      <c r="X23" s="4">
        <v>0</v>
      </c>
    </row>
    <row r="24" spans="1:24" x14ac:dyDescent="0.35">
      <c r="A24" s="21">
        <v>24</v>
      </c>
      <c r="B24" s="21">
        <v>6</v>
      </c>
      <c r="C24" s="21">
        <v>5</v>
      </c>
      <c r="D24" s="21">
        <v>0.8</v>
      </c>
      <c r="E24" s="21">
        <v>0.8</v>
      </c>
      <c r="F24" s="21">
        <v>0.3</v>
      </c>
      <c r="G24" s="21">
        <v>0.5</v>
      </c>
      <c r="H24" s="21">
        <v>0.5</v>
      </c>
      <c r="I24" s="21">
        <v>1</v>
      </c>
      <c r="J24" s="21">
        <v>0.9</v>
      </c>
      <c r="K24" s="21">
        <v>0.3</v>
      </c>
      <c r="L24" s="21">
        <v>1</v>
      </c>
      <c r="M24" s="21">
        <v>0.5</v>
      </c>
      <c r="N24" s="21">
        <v>1</v>
      </c>
      <c r="O24" s="21">
        <v>0</v>
      </c>
      <c r="P24" s="21">
        <v>0</v>
      </c>
      <c r="Q24" s="21">
        <v>0.2</v>
      </c>
      <c r="R24" s="21">
        <v>0.3</v>
      </c>
      <c r="S24" s="21">
        <v>1.8</v>
      </c>
      <c r="T24" s="21">
        <v>0</v>
      </c>
      <c r="U24" s="21">
        <v>0.5</v>
      </c>
      <c r="V24" s="21">
        <v>16.8</v>
      </c>
      <c r="W24" s="21">
        <v>0.22</v>
      </c>
      <c r="X24" s="4">
        <v>-0.1</v>
      </c>
    </row>
    <row r="25" spans="1:24" x14ac:dyDescent="0.35">
      <c r="A25" s="21">
        <v>26</v>
      </c>
      <c r="B25" s="21">
        <v>6</v>
      </c>
      <c r="C25" s="21">
        <v>12</v>
      </c>
      <c r="D25" s="21">
        <v>4.2</v>
      </c>
      <c r="E25" s="21">
        <v>0.64</v>
      </c>
      <c r="F25" s="21">
        <v>2.8</v>
      </c>
      <c r="G25" s="21">
        <v>0.52900000000000003</v>
      </c>
      <c r="H25" s="21">
        <v>1.3</v>
      </c>
      <c r="I25" s="21">
        <v>0.875</v>
      </c>
      <c r="J25" s="21">
        <v>0.82</v>
      </c>
      <c r="K25" s="21">
        <v>0.3</v>
      </c>
      <c r="L25" s="21">
        <v>1</v>
      </c>
      <c r="M25" s="21">
        <v>1.8</v>
      </c>
      <c r="N25" s="21">
        <v>0.3</v>
      </c>
      <c r="O25" s="21">
        <v>0</v>
      </c>
      <c r="P25" s="21">
        <v>0</v>
      </c>
      <c r="Q25" s="21">
        <v>0.7</v>
      </c>
      <c r="R25" s="21">
        <v>1.7</v>
      </c>
      <c r="S25" s="21">
        <v>7.2</v>
      </c>
      <c r="T25" s="21">
        <v>0</v>
      </c>
      <c r="U25" s="21">
        <v>-0.1</v>
      </c>
      <c r="V25" s="21">
        <v>16.100000000000001</v>
      </c>
      <c r="W25" s="21">
        <v>0.125</v>
      </c>
      <c r="X25" s="4">
        <v>0</v>
      </c>
    </row>
    <row r="26" spans="1:24" x14ac:dyDescent="0.35">
      <c r="A26" s="21">
        <v>24</v>
      </c>
      <c r="B26" s="21">
        <v>12</v>
      </c>
      <c r="C26" s="21">
        <v>4.4000000000000004</v>
      </c>
      <c r="D26" s="21">
        <v>1.3</v>
      </c>
      <c r="E26" s="21">
        <v>0.53300000000000003</v>
      </c>
      <c r="F26" s="21">
        <v>0.8</v>
      </c>
      <c r="G26" s="21">
        <v>0.3</v>
      </c>
      <c r="H26" s="21">
        <v>0.4</v>
      </c>
      <c r="I26" s="21">
        <v>1</v>
      </c>
      <c r="J26" s="21">
        <v>0.63300000000000001</v>
      </c>
      <c r="K26" s="21">
        <v>0.2</v>
      </c>
      <c r="L26" s="21">
        <v>1</v>
      </c>
      <c r="M26" s="21">
        <v>0.8</v>
      </c>
      <c r="N26" s="21">
        <v>0.3</v>
      </c>
      <c r="O26" s="21">
        <v>0.1</v>
      </c>
      <c r="P26" s="21">
        <v>0.1</v>
      </c>
      <c r="Q26" s="21">
        <v>0.2</v>
      </c>
      <c r="R26" s="21">
        <v>0.9</v>
      </c>
      <c r="S26" s="21">
        <v>1.8</v>
      </c>
      <c r="T26" s="21">
        <v>2</v>
      </c>
      <c r="U26" s="21">
        <v>-4.0999999999999996</v>
      </c>
      <c r="V26" s="21">
        <v>11.1</v>
      </c>
      <c r="W26" s="21">
        <v>0.108</v>
      </c>
      <c r="X26" s="4">
        <v>-0.1</v>
      </c>
    </row>
    <row r="27" spans="1:24" x14ac:dyDescent="0.35">
      <c r="A27" s="21">
        <v>27</v>
      </c>
      <c r="B27" s="21">
        <v>71</v>
      </c>
      <c r="C27" s="21">
        <v>21.7</v>
      </c>
      <c r="D27" s="21">
        <v>6.7</v>
      </c>
      <c r="E27" s="21">
        <v>0.45100000000000001</v>
      </c>
      <c r="F27" s="21">
        <v>5.6</v>
      </c>
      <c r="G27" s="21">
        <v>0.41599999999999998</v>
      </c>
      <c r="H27" s="21">
        <v>1.1000000000000001</v>
      </c>
      <c r="I27" s="21">
        <v>0.64</v>
      </c>
      <c r="J27" s="21">
        <v>0.627</v>
      </c>
      <c r="K27" s="21">
        <v>0.2</v>
      </c>
      <c r="L27" s="21">
        <v>1</v>
      </c>
      <c r="M27" s="21">
        <v>3.2</v>
      </c>
      <c r="N27" s="21">
        <v>0.9</v>
      </c>
      <c r="O27" s="21">
        <v>0.6</v>
      </c>
      <c r="P27" s="21">
        <v>0.2</v>
      </c>
      <c r="Q27" s="21">
        <v>0.3</v>
      </c>
      <c r="R27" s="21">
        <v>1.2</v>
      </c>
      <c r="S27" s="21">
        <v>8.5</v>
      </c>
      <c r="T27" s="21">
        <v>3</v>
      </c>
      <c r="U27" s="21">
        <v>0.8</v>
      </c>
      <c r="V27" s="21">
        <v>12.8</v>
      </c>
      <c r="W27" s="21">
        <v>0.13600000000000001</v>
      </c>
      <c r="X27" s="4">
        <v>-0.1</v>
      </c>
    </row>
    <row r="28" spans="1:24" x14ac:dyDescent="0.35">
      <c r="A28" s="21">
        <v>24</v>
      </c>
      <c r="B28" s="21">
        <v>21</v>
      </c>
      <c r="C28" s="21">
        <v>6</v>
      </c>
      <c r="D28" s="21">
        <v>1.4</v>
      </c>
      <c r="E28" s="21">
        <v>0.4</v>
      </c>
      <c r="F28" s="21">
        <v>1</v>
      </c>
      <c r="G28" s="21">
        <v>0.47599999999999998</v>
      </c>
      <c r="H28" s="21">
        <v>0.4</v>
      </c>
      <c r="I28" s="21">
        <v>0.222</v>
      </c>
      <c r="J28" s="21">
        <v>0.56699999999999995</v>
      </c>
      <c r="K28" s="21">
        <v>0.1</v>
      </c>
      <c r="L28" s="21">
        <v>1</v>
      </c>
      <c r="M28" s="21">
        <v>1.2</v>
      </c>
      <c r="N28" s="21">
        <v>0.2</v>
      </c>
      <c r="O28" s="21">
        <v>0.2</v>
      </c>
      <c r="P28" s="21">
        <v>0</v>
      </c>
      <c r="Q28" s="21">
        <v>0.2</v>
      </c>
      <c r="R28" s="21">
        <v>0.6</v>
      </c>
      <c r="S28" s="21">
        <v>1.7</v>
      </c>
      <c r="T28" s="21">
        <v>0</v>
      </c>
      <c r="U28" s="21">
        <v>-2</v>
      </c>
      <c r="V28" s="21">
        <v>10.1</v>
      </c>
      <c r="W28" s="21">
        <v>0.125</v>
      </c>
      <c r="X28" s="4">
        <v>-0.1</v>
      </c>
    </row>
    <row r="29" spans="1:24" x14ac:dyDescent="0.35">
      <c r="A29" s="21">
        <v>24</v>
      </c>
      <c r="B29" s="21">
        <v>25</v>
      </c>
      <c r="C29" s="21">
        <v>10.1</v>
      </c>
      <c r="D29" s="21">
        <v>3.3</v>
      </c>
      <c r="E29" s="21">
        <v>0.41499999999999998</v>
      </c>
      <c r="F29" s="21">
        <v>2.1</v>
      </c>
      <c r="G29" s="21">
        <v>0.36499999999999999</v>
      </c>
      <c r="H29" s="21">
        <v>1.2</v>
      </c>
      <c r="I29" s="21">
        <v>0.5</v>
      </c>
      <c r="J29" s="21">
        <v>0.53</v>
      </c>
      <c r="K29" s="21">
        <v>0.8</v>
      </c>
      <c r="L29" s="21">
        <v>1</v>
      </c>
      <c r="M29" s="21">
        <v>1.2</v>
      </c>
      <c r="N29" s="21">
        <v>1.4</v>
      </c>
      <c r="O29" s="21">
        <v>0.4</v>
      </c>
      <c r="P29" s="21">
        <v>0</v>
      </c>
      <c r="Q29" s="21">
        <v>0.2</v>
      </c>
      <c r="R29" s="21">
        <v>0.9</v>
      </c>
      <c r="S29" s="21">
        <v>4.2</v>
      </c>
      <c r="T29" s="21">
        <v>0</v>
      </c>
      <c r="U29" s="21">
        <v>0.5</v>
      </c>
      <c r="V29" s="21">
        <v>14.2</v>
      </c>
      <c r="W29" s="21">
        <v>0.16</v>
      </c>
      <c r="X29" s="4">
        <v>-0.1</v>
      </c>
    </row>
    <row r="30" spans="1:24" x14ac:dyDescent="0.35">
      <c r="A30" s="21">
        <v>23</v>
      </c>
      <c r="B30" s="21">
        <v>1</v>
      </c>
      <c r="C30" s="21">
        <v>5</v>
      </c>
      <c r="D30" s="21">
        <v>4</v>
      </c>
      <c r="E30" s="21">
        <v>0.5</v>
      </c>
      <c r="F30" s="21">
        <v>1</v>
      </c>
      <c r="G30" s="21">
        <v>0</v>
      </c>
      <c r="H30" s="21">
        <v>3</v>
      </c>
      <c r="I30" s="21">
        <v>0.66700000000000004</v>
      </c>
      <c r="J30" s="21">
        <v>0.5</v>
      </c>
      <c r="K30" s="21">
        <v>2</v>
      </c>
      <c r="L30" s="21">
        <v>1</v>
      </c>
      <c r="M30" s="21">
        <v>1</v>
      </c>
      <c r="N30" s="21">
        <v>0</v>
      </c>
      <c r="O30" s="21">
        <v>0</v>
      </c>
      <c r="P30" s="21">
        <v>0</v>
      </c>
      <c r="Q30" s="21">
        <v>0</v>
      </c>
      <c r="R30" s="21">
        <v>0</v>
      </c>
      <c r="S30" s="21">
        <v>6</v>
      </c>
      <c r="T30" s="21">
        <v>4</v>
      </c>
      <c r="U30" s="21">
        <v>1.6</v>
      </c>
      <c r="V30" s="21">
        <v>31.2</v>
      </c>
      <c r="W30" s="21">
        <v>0.23699999999999999</v>
      </c>
      <c r="X30" s="4">
        <v>-0.4</v>
      </c>
    </row>
    <row r="31" spans="1:24" x14ac:dyDescent="0.35">
      <c r="A31" s="21">
        <v>24</v>
      </c>
      <c r="B31" s="21">
        <v>6</v>
      </c>
      <c r="C31" s="21">
        <v>4.2</v>
      </c>
      <c r="D31" s="21">
        <v>1.3</v>
      </c>
      <c r="E31" s="21">
        <v>0.5</v>
      </c>
      <c r="F31" s="21">
        <v>0.2</v>
      </c>
      <c r="G31" s="21">
        <v>0</v>
      </c>
      <c r="H31" s="21">
        <v>1.2</v>
      </c>
      <c r="I31" s="21">
        <v>0.57099999999999995</v>
      </c>
      <c r="J31" s="21">
        <v>0.5</v>
      </c>
      <c r="K31" s="21">
        <v>0.3</v>
      </c>
      <c r="L31" s="21">
        <v>1</v>
      </c>
      <c r="M31" s="21">
        <v>1.3</v>
      </c>
      <c r="N31" s="21">
        <v>0.3</v>
      </c>
      <c r="O31" s="21">
        <v>0.2</v>
      </c>
      <c r="P31" s="21">
        <v>0</v>
      </c>
      <c r="Q31" s="21">
        <v>0</v>
      </c>
      <c r="R31" s="21">
        <v>0.5</v>
      </c>
      <c r="S31" s="21">
        <v>1.7</v>
      </c>
      <c r="T31" s="21">
        <v>0</v>
      </c>
      <c r="U31" s="21">
        <v>-1.8</v>
      </c>
      <c r="V31" s="21">
        <v>18.100000000000001</v>
      </c>
      <c r="W31" s="21">
        <v>0.20100000000000001</v>
      </c>
      <c r="X31" s="4">
        <v>-0.4</v>
      </c>
    </row>
    <row r="32" spans="1:24" x14ac:dyDescent="0.35">
      <c r="A32" s="21">
        <v>25</v>
      </c>
      <c r="B32" s="21">
        <v>31</v>
      </c>
      <c r="C32" s="21">
        <v>16.2</v>
      </c>
      <c r="D32" s="21">
        <v>5.2</v>
      </c>
      <c r="E32" s="21">
        <v>0.40100000000000002</v>
      </c>
      <c r="F32" s="21">
        <v>2.6</v>
      </c>
      <c r="G32" s="21">
        <v>0.32900000000000001</v>
      </c>
      <c r="H32" s="21">
        <v>2.6</v>
      </c>
      <c r="I32" s="21">
        <v>0.47499999999999998</v>
      </c>
      <c r="J32" s="21">
        <v>0.48499999999999999</v>
      </c>
      <c r="K32" s="21">
        <v>0.4</v>
      </c>
      <c r="L32" s="21">
        <v>1</v>
      </c>
      <c r="M32" s="21">
        <v>1.6</v>
      </c>
      <c r="N32" s="21">
        <v>2.6</v>
      </c>
      <c r="O32" s="21">
        <v>0.9</v>
      </c>
      <c r="P32" s="21">
        <v>0.3</v>
      </c>
      <c r="Q32" s="21">
        <v>1.1000000000000001</v>
      </c>
      <c r="R32" s="21">
        <v>1.3</v>
      </c>
      <c r="S32" s="21">
        <v>5.4</v>
      </c>
      <c r="T32" s="21">
        <v>1</v>
      </c>
      <c r="U32" s="21">
        <v>-2.2999999999999998</v>
      </c>
      <c r="V32" s="21">
        <v>10.1</v>
      </c>
      <c r="W32" s="21">
        <v>3.4000000000000002E-2</v>
      </c>
      <c r="X32" s="4">
        <v>-0.1</v>
      </c>
    </row>
    <row r="33" spans="1:24" x14ac:dyDescent="0.35">
      <c r="A33" s="21">
        <v>26</v>
      </c>
      <c r="B33" s="21">
        <v>21</v>
      </c>
      <c r="C33" s="21">
        <v>8.8000000000000007</v>
      </c>
      <c r="D33" s="21">
        <v>3.2</v>
      </c>
      <c r="E33" s="21">
        <v>0.41799999999999998</v>
      </c>
      <c r="F33" s="21">
        <v>0.4</v>
      </c>
      <c r="G33" s="21">
        <v>0.5</v>
      </c>
      <c r="H33" s="21">
        <v>2.8</v>
      </c>
      <c r="I33" s="21">
        <v>0.40699999999999997</v>
      </c>
      <c r="J33" s="21">
        <v>0.44800000000000001</v>
      </c>
      <c r="K33" s="21">
        <v>0</v>
      </c>
      <c r="L33" s="21">
        <v>1</v>
      </c>
      <c r="M33" s="21">
        <v>1</v>
      </c>
      <c r="N33" s="21">
        <v>1.3</v>
      </c>
      <c r="O33" s="21">
        <v>0.5</v>
      </c>
      <c r="P33" s="21">
        <v>0.1</v>
      </c>
      <c r="Q33" s="21">
        <v>0.7</v>
      </c>
      <c r="R33" s="21">
        <v>0.6</v>
      </c>
      <c r="S33" s="21">
        <v>2.9</v>
      </c>
      <c r="T33" s="21">
        <v>7</v>
      </c>
      <c r="U33" s="21">
        <v>-4.7</v>
      </c>
      <c r="V33" s="21">
        <v>8.9</v>
      </c>
      <c r="W33" s="21">
        <v>-2.5999999999999999E-2</v>
      </c>
      <c r="X33" s="4">
        <v>-0.2</v>
      </c>
    </row>
    <row r="34" spans="1:24" x14ac:dyDescent="0.35">
      <c r="A34" s="21">
        <v>23</v>
      </c>
      <c r="B34" s="21">
        <v>11</v>
      </c>
      <c r="C34" s="21">
        <v>6.4</v>
      </c>
      <c r="D34" s="21">
        <v>3</v>
      </c>
      <c r="E34" s="21">
        <v>0.33300000000000002</v>
      </c>
      <c r="F34" s="21">
        <v>1.9</v>
      </c>
      <c r="G34" s="21">
        <v>0.28599999999999998</v>
      </c>
      <c r="H34" s="21">
        <v>1.1000000000000001</v>
      </c>
      <c r="I34" s="21">
        <v>0.41699999999999998</v>
      </c>
      <c r="J34" s="21">
        <v>0.42399999999999999</v>
      </c>
      <c r="K34" s="21">
        <v>0.2</v>
      </c>
      <c r="L34" s="21">
        <v>1</v>
      </c>
      <c r="M34" s="21">
        <v>1.1000000000000001</v>
      </c>
      <c r="N34" s="21">
        <v>1.3</v>
      </c>
      <c r="O34" s="21">
        <v>0.6</v>
      </c>
      <c r="P34" s="21">
        <v>0.2</v>
      </c>
      <c r="Q34" s="21">
        <v>0.5</v>
      </c>
      <c r="R34" s="21">
        <v>0.6</v>
      </c>
      <c r="S34" s="21">
        <v>2.7</v>
      </c>
      <c r="T34" s="21">
        <v>0</v>
      </c>
      <c r="U34" s="21">
        <v>0.7</v>
      </c>
      <c r="V34" s="21">
        <v>13.9</v>
      </c>
      <c r="W34" s="21">
        <v>3.5999999999999997E-2</v>
      </c>
      <c r="X34" s="4">
        <v>0</v>
      </c>
    </row>
    <row r="35" spans="1:24" x14ac:dyDescent="0.35">
      <c r="A35" s="21">
        <v>27</v>
      </c>
      <c r="B35" s="21">
        <v>19</v>
      </c>
      <c r="C35" s="21">
        <v>3.6</v>
      </c>
      <c r="D35" s="21">
        <v>1.6</v>
      </c>
      <c r="E35" s="21">
        <v>0.32300000000000001</v>
      </c>
      <c r="F35" s="21">
        <v>1</v>
      </c>
      <c r="G35" s="21">
        <v>0.316</v>
      </c>
      <c r="H35" s="21">
        <v>0.6</v>
      </c>
      <c r="I35" s="21">
        <v>0.33300000000000002</v>
      </c>
      <c r="J35" s="21">
        <v>0.41899999999999998</v>
      </c>
      <c r="K35" s="21">
        <v>0.1</v>
      </c>
      <c r="L35" s="21">
        <v>1</v>
      </c>
      <c r="M35" s="21">
        <v>0.4</v>
      </c>
      <c r="N35" s="21">
        <v>0.2</v>
      </c>
      <c r="O35" s="21">
        <v>0.1</v>
      </c>
      <c r="P35" s="21">
        <v>0</v>
      </c>
      <c r="Q35" s="21">
        <v>0.2</v>
      </c>
      <c r="R35" s="21">
        <v>0.1</v>
      </c>
      <c r="S35" s="21">
        <v>1.5</v>
      </c>
      <c r="T35" s="21">
        <v>3</v>
      </c>
      <c r="U35" s="21">
        <v>-7.5</v>
      </c>
      <c r="V35" s="21">
        <v>6.1</v>
      </c>
      <c r="W35" s="21">
        <v>-5.7000000000000002E-2</v>
      </c>
      <c r="X35" s="4">
        <v>-0.1</v>
      </c>
    </row>
    <row r="36" spans="1:24" x14ac:dyDescent="0.35">
      <c r="A36" s="21">
        <v>21</v>
      </c>
      <c r="B36" s="21">
        <v>13</v>
      </c>
      <c r="C36" s="21">
        <v>2.5</v>
      </c>
      <c r="D36" s="21">
        <v>1.2</v>
      </c>
      <c r="E36" s="21">
        <v>0.4</v>
      </c>
      <c r="F36" s="21">
        <v>0.4</v>
      </c>
      <c r="G36" s="21">
        <v>0</v>
      </c>
      <c r="H36" s="21">
        <v>0.8</v>
      </c>
      <c r="I36" s="21">
        <v>0.6</v>
      </c>
      <c r="J36" s="21">
        <v>0.4</v>
      </c>
      <c r="K36" s="21">
        <v>0.6</v>
      </c>
      <c r="L36" s="21">
        <v>1</v>
      </c>
      <c r="M36" s="21">
        <v>0.8</v>
      </c>
      <c r="N36" s="21">
        <v>0</v>
      </c>
      <c r="O36" s="21">
        <v>0.2</v>
      </c>
      <c r="P36" s="21">
        <v>0.1</v>
      </c>
      <c r="Q36" s="21">
        <v>0.2</v>
      </c>
      <c r="R36" s="21">
        <v>0.2</v>
      </c>
      <c r="S36" s="21">
        <v>1.5</v>
      </c>
      <c r="T36" s="21">
        <v>1</v>
      </c>
      <c r="U36" s="21">
        <v>-3.7</v>
      </c>
      <c r="V36" s="21">
        <v>19.899999999999999</v>
      </c>
      <c r="W36" s="21">
        <v>0.14499999999999999</v>
      </c>
      <c r="X36" s="4">
        <v>0.1</v>
      </c>
    </row>
    <row r="37" spans="1:24" x14ac:dyDescent="0.35">
      <c r="A37" s="21">
        <v>31</v>
      </c>
      <c r="B37" s="21">
        <v>8</v>
      </c>
      <c r="C37" s="21">
        <v>18.8</v>
      </c>
      <c r="D37" s="21">
        <v>4.8</v>
      </c>
      <c r="E37" s="21">
        <v>0.28899999999999998</v>
      </c>
      <c r="F37" s="21">
        <v>2.8</v>
      </c>
      <c r="G37" s="21">
        <v>0.27300000000000002</v>
      </c>
      <c r="H37" s="21">
        <v>2</v>
      </c>
      <c r="I37" s="21">
        <v>0.313</v>
      </c>
      <c r="J37" s="21">
        <v>0.36799999999999999</v>
      </c>
      <c r="K37" s="21">
        <v>0.5</v>
      </c>
      <c r="L37" s="21">
        <v>1</v>
      </c>
      <c r="M37" s="21">
        <v>1.5</v>
      </c>
      <c r="N37" s="21">
        <v>1.5</v>
      </c>
      <c r="O37" s="21">
        <v>1</v>
      </c>
      <c r="P37" s="21">
        <v>0.1</v>
      </c>
      <c r="Q37" s="21">
        <v>1</v>
      </c>
      <c r="R37" s="21">
        <v>2.1</v>
      </c>
      <c r="S37" s="21">
        <v>4</v>
      </c>
      <c r="T37" s="21">
        <v>9</v>
      </c>
      <c r="U37" s="21">
        <v>-6.7</v>
      </c>
      <c r="V37" s="21">
        <v>4.4000000000000004</v>
      </c>
      <c r="W37" s="21">
        <v>-2.1000000000000001E-2</v>
      </c>
      <c r="X37" s="4">
        <v>-0.2</v>
      </c>
    </row>
    <row r="38" spans="1:24" x14ac:dyDescent="0.35">
      <c r="A38" s="21">
        <v>19</v>
      </c>
      <c r="B38" s="21">
        <v>6</v>
      </c>
      <c r="C38" s="21">
        <v>4.5</v>
      </c>
      <c r="D38" s="21">
        <v>1.8</v>
      </c>
      <c r="E38" s="21">
        <v>0.36399999999999999</v>
      </c>
      <c r="F38" s="21">
        <v>0.3</v>
      </c>
      <c r="G38" s="21">
        <v>0</v>
      </c>
      <c r="H38" s="21">
        <v>1.5</v>
      </c>
      <c r="I38" s="21">
        <v>0.44400000000000001</v>
      </c>
      <c r="J38" s="21">
        <v>0.36399999999999999</v>
      </c>
      <c r="K38" s="21">
        <v>0.5</v>
      </c>
      <c r="L38" s="21">
        <v>1</v>
      </c>
      <c r="M38" s="21">
        <v>0.7</v>
      </c>
      <c r="N38" s="21">
        <v>0</v>
      </c>
      <c r="O38" s="21">
        <v>0</v>
      </c>
      <c r="P38" s="21">
        <v>0</v>
      </c>
      <c r="Q38" s="21">
        <v>0.2</v>
      </c>
      <c r="R38" s="21">
        <v>0.7</v>
      </c>
      <c r="S38" s="21">
        <v>1.8</v>
      </c>
      <c r="T38" s="21">
        <v>0</v>
      </c>
      <c r="U38" s="21">
        <v>-8.3000000000000007</v>
      </c>
      <c r="V38" s="21">
        <v>4.3</v>
      </c>
      <c r="W38" s="21">
        <v>-3.3000000000000002E-2</v>
      </c>
      <c r="X38" s="4">
        <v>0.5</v>
      </c>
    </row>
    <row r="39" spans="1:24" x14ac:dyDescent="0.35">
      <c r="A39" s="21">
        <v>23</v>
      </c>
      <c r="B39" s="21">
        <v>20</v>
      </c>
      <c r="C39" s="21">
        <v>6.3</v>
      </c>
      <c r="D39" s="21">
        <v>1.7</v>
      </c>
      <c r="E39" s="21">
        <v>0.32400000000000001</v>
      </c>
      <c r="F39" s="21">
        <v>0.9</v>
      </c>
      <c r="G39" s="21">
        <v>5.8999999999999997E-2</v>
      </c>
      <c r="H39" s="21">
        <v>0.9</v>
      </c>
      <c r="I39" s="21">
        <v>0.58799999999999997</v>
      </c>
      <c r="J39" s="21">
        <v>0.33800000000000002</v>
      </c>
      <c r="K39" s="21">
        <v>0.2</v>
      </c>
      <c r="L39" s="21">
        <v>1</v>
      </c>
      <c r="M39" s="21">
        <v>0.9</v>
      </c>
      <c r="N39" s="21">
        <v>0.3</v>
      </c>
      <c r="O39" s="21">
        <v>0.3</v>
      </c>
      <c r="P39" s="21">
        <v>0.3</v>
      </c>
      <c r="Q39" s="21">
        <v>0.3</v>
      </c>
      <c r="R39" s="21">
        <v>0.9</v>
      </c>
      <c r="S39" s="21">
        <v>1.3</v>
      </c>
      <c r="T39" s="21">
        <v>0</v>
      </c>
      <c r="U39" s="21">
        <v>-8.5</v>
      </c>
      <c r="V39" s="21">
        <v>4.5</v>
      </c>
      <c r="W39" s="21">
        <v>-3.1E-2</v>
      </c>
      <c r="X39" s="4">
        <v>-0.1</v>
      </c>
    </row>
    <row r="40" spans="1:24" x14ac:dyDescent="0.35">
      <c r="A40" s="21">
        <v>23</v>
      </c>
      <c r="B40" s="21">
        <v>4</v>
      </c>
      <c r="C40" s="21">
        <v>7.3</v>
      </c>
      <c r="D40" s="21">
        <v>1.8</v>
      </c>
      <c r="E40" s="21">
        <v>0.28599999999999998</v>
      </c>
      <c r="F40" s="21">
        <v>0.3</v>
      </c>
      <c r="G40" s="21">
        <v>0</v>
      </c>
      <c r="H40" s="21">
        <v>1.5</v>
      </c>
      <c r="I40" s="21">
        <v>0.33300000000000002</v>
      </c>
      <c r="J40" s="21">
        <v>0.28599999999999998</v>
      </c>
      <c r="K40" s="21">
        <v>0.5</v>
      </c>
      <c r="L40" s="21">
        <v>1</v>
      </c>
      <c r="M40" s="21">
        <v>2</v>
      </c>
      <c r="N40" s="21">
        <v>0.5</v>
      </c>
      <c r="O40" s="21">
        <v>0.3</v>
      </c>
      <c r="P40" s="21">
        <v>0.3</v>
      </c>
      <c r="Q40" s="21">
        <v>0</v>
      </c>
      <c r="R40" s="21">
        <v>1.5</v>
      </c>
      <c r="S40" s="21">
        <v>1.5</v>
      </c>
      <c r="T40" s="21">
        <v>0</v>
      </c>
      <c r="U40" s="21">
        <v>-7.2</v>
      </c>
      <c r="V40" s="21">
        <v>6.7</v>
      </c>
      <c r="W40" s="21">
        <v>0.06</v>
      </c>
      <c r="X40" s="4">
        <v>0</v>
      </c>
    </row>
    <row r="41" spans="1:24" x14ac:dyDescent="0.35">
      <c r="A41" s="21">
        <v>23</v>
      </c>
      <c r="B41" s="21">
        <v>12</v>
      </c>
      <c r="C41" s="21">
        <v>7.3</v>
      </c>
      <c r="D41" s="21">
        <v>1.7</v>
      </c>
      <c r="E41" s="21">
        <v>0.25</v>
      </c>
      <c r="F41" s="21">
        <v>0.8</v>
      </c>
      <c r="G41" s="21">
        <v>0</v>
      </c>
      <c r="H41" s="21">
        <v>0.9</v>
      </c>
      <c r="I41" s="21">
        <v>0.45500000000000002</v>
      </c>
      <c r="J41" s="21">
        <v>0.25</v>
      </c>
      <c r="K41" s="21">
        <v>0.2</v>
      </c>
      <c r="L41" s="21">
        <v>1</v>
      </c>
      <c r="M41" s="21">
        <v>1.7</v>
      </c>
      <c r="N41" s="21">
        <v>0.7</v>
      </c>
      <c r="O41" s="21">
        <v>0.1</v>
      </c>
      <c r="P41" s="21">
        <v>0.1</v>
      </c>
      <c r="Q41" s="21">
        <v>0.7</v>
      </c>
      <c r="R41" s="21">
        <v>0.5</v>
      </c>
      <c r="S41" s="21">
        <v>1</v>
      </c>
      <c r="T41" s="21">
        <v>0</v>
      </c>
      <c r="U41" s="21">
        <v>-9.6999999999999993</v>
      </c>
      <c r="V41" s="21">
        <v>1.9</v>
      </c>
      <c r="W41" s="21">
        <v>-8.2000000000000003E-2</v>
      </c>
      <c r="X41" s="4">
        <v>-0.2</v>
      </c>
    </row>
    <row r="42" spans="1:24" x14ac:dyDescent="0.35">
      <c r="A42" s="21">
        <v>22</v>
      </c>
      <c r="B42" s="21">
        <v>5</v>
      </c>
      <c r="C42" s="21">
        <v>8.8000000000000007</v>
      </c>
      <c r="D42" s="21">
        <v>4.2</v>
      </c>
      <c r="E42" s="21">
        <v>0.14299999999999999</v>
      </c>
      <c r="F42" s="21">
        <v>2</v>
      </c>
      <c r="G42" s="21">
        <v>0</v>
      </c>
      <c r="H42" s="21">
        <v>2.2000000000000002</v>
      </c>
      <c r="I42" s="21">
        <v>0.27300000000000002</v>
      </c>
      <c r="J42" s="21">
        <v>0.14299999999999999</v>
      </c>
      <c r="K42" s="21">
        <v>0.4</v>
      </c>
      <c r="L42" s="21">
        <v>1</v>
      </c>
      <c r="M42" s="21">
        <v>1.6</v>
      </c>
      <c r="N42" s="21">
        <v>0.4</v>
      </c>
      <c r="O42" s="21">
        <v>0.2</v>
      </c>
      <c r="P42" s="21">
        <v>0.4</v>
      </c>
      <c r="Q42" s="21">
        <v>0.2</v>
      </c>
      <c r="R42" s="21">
        <v>0.2</v>
      </c>
      <c r="S42" s="21">
        <v>1.6</v>
      </c>
      <c r="T42" s="21">
        <v>0</v>
      </c>
      <c r="U42" s="21">
        <v>-18.2</v>
      </c>
      <c r="V42" s="21">
        <v>-2.2999999999999998</v>
      </c>
      <c r="W42" s="21">
        <v>-0.28299999999999997</v>
      </c>
      <c r="X42" s="4">
        <v>-0.2</v>
      </c>
    </row>
    <row r="43" spans="1:24" x14ac:dyDescent="0.35">
      <c r="A43" s="21">
        <v>24</v>
      </c>
      <c r="B43" s="21">
        <v>4</v>
      </c>
      <c r="C43" s="21">
        <v>8.3000000000000007</v>
      </c>
      <c r="D43" s="21">
        <v>1.8</v>
      </c>
      <c r="E43" s="21">
        <v>0.14299999999999999</v>
      </c>
      <c r="F43" s="21">
        <v>0.8</v>
      </c>
      <c r="G43" s="21">
        <v>0</v>
      </c>
      <c r="H43" s="21">
        <v>1</v>
      </c>
      <c r="I43" s="21">
        <v>0.25</v>
      </c>
      <c r="J43" s="21">
        <v>0.14299999999999999</v>
      </c>
      <c r="K43" s="21">
        <v>0.3</v>
      </c>
      <c r="L43" s="21">
        <v>1</v>
      </c>
      <c r="M43" s="21">
        <v>1</v>
      </c>
      <c r="N43" s="21">
        <v>0.8</v>
      </c>
      <c r="O43" s="21">
        <v>0.5</v>
      </c>
      <c r="P43" s="21">
        <v>0</v>
      </c>
      <c r="Q43" s="21">
        <v>1</v>
      </c>
      <c r="R43" s="21">
        <v>0.3</v>
      </c>
      <c r="S43" s="21">
        <v>0.8</v>
      </c>
      <c r="T43" s="21">
        <v>1</v>
      </c>
      <c r="U43" s="21">
        <v>-11.1</v>
      </c>
      <c r="V43" s="21">
        <v>-2.6</v>
      </c>
      <c r="W43" s="21">
        <v>-0.19900000000000001</v>
      </c>
      <c r="X43" s="4">
        <v>-0.2</v>
      </c>
    </row>
    <row r="44" spans="1:24" x14ac:dyDescent="0.35">
      <c r="A44" s="21">
        <v>24</v>
      </c>
      <c r="B44" s="21">
        <v>1</v>
      </c>
      <c r="C44" s="21">
        <v>17</v>
      </c>
      <c r="D44" s="21">
        <v>8</v>
      </c>
      <c r="E44" s="21">
        <v>0.125</v>
      </c>
      <c r="F44" s="21">
        <v>6</v>
      </c>
      <c r="G44" s="21">
        <v>0</v>
      </c>
      <c r="H44" s="21">
        <v>2</v>
      </c>
      <c r="I44" s="21">
        <v>0.5</v>
      </c>
      <c r="J44" s="21">
        <v>0.125</v>
      </c>
      <c r="K44" s="21">
        <v>2</v>
      </c>
      <c r="L44" s="21">
        <v>1</v>
      </c>
      <c r="M44" s="21">
        <v>7</v>
      </c>
      <c r="N44" s="21">
        <v>2</v>
      </c>
      <c r="O44" s="21">
        <v>0</v>
      </c>
      <c r="P44" s="21">
        <v>0</v>
      </c>
      <c r="Q44" s="21">
        <v>0</v>
      </c>
      <c r="R44" s="21">
        <v>0</v>
      </c>
      <c r="S44" s="21">
        <v>4</v>
      </c>
      <c r="T44" s="21">
        <v>2</v>
      </c>
      <c r="U44" s="21">
        <v>-14.7</v>
      </c>
      <c r="V44" s="21">
        <v>7.9</v>
      </c>
      <c r="W44" s="21">
        <v>-0.06</v>
      </c>
      <c r="X44" s="4">
        <v>0</v>
      </c>
    </row>
    <row r="45" spans="1:24" x14ac:dyDescent="0.35">
      <c r="A45" s="21">
        <v>23</v>
      </c>
      <c r="B45" s="21">
        <v>8</v>
      </c>
      <c r="C45" s="21">
        <v>2</v>
      </c>
      <c r="D45" s="21">
        <v>1</v>
      </c>
      <c r="E45" s="21">
        <v>0.125</v>
      </c>
      <c r="F45" s="21">
        <v>0.4</v>
      </c>
      <c r="G45" s="21">
        <v>0</v>
      </c>
      <c r="H45" s="21">
        <v>0.6</v>
      </c>
      <c r="I45" s="21">
        <v>0.2</v>
      </c>
      <c r="J45" s="21">
        <v>0.125</v>
      </c>
      <c r="K45" s="21">
        <v>0.1</v>
      </c>
      <c r="L45" s="21">
        <v>1</v>
      </c>
      <c r="M45" s="21">
        <v>0.5</v>
      </c>
      <c r="N45" s="21">
        <v>0.3</v>
      </c>
      <c r="O45" s="21">
        <v>0.1</v>
      </c>
      <c r="P45" s="21">
        <v>0</v>
      </c>
      <c r="Q45" s="21">
        <v>0.3</v>
      </c>
      <c r="R45" s="21">
        <v>0.5</v>
      </c>
      <c r="S45" s="21">
        <v>0.4</v>
      </c>
      <c r="T45" s="21">
        <v>0</v>
      </c>
      <c r="U45" s="21">
        <v>-20.7</v>
      </c>
      <c r="V45" s="21">
        <v>-6.1</v>
      </c>
      <c r="W45" s="21">
        <v>-0.33</v>
      </c>
      <c r="X45" s="4">
        <v>1.1000000000000001</v>
      </c>
    </row>
    <row r="46" spans="1:24" x14ac:dyDescent="0.35">
      <c r="A46" s="21">
        <v>28</v>
      </c>
      <c r="B46" s="21">
        <v>71</v>
      </c>
      <c r="C46" s="21">
        <v>19.7</v>
      </c>
      <c r="D46" s="21">
        <v>6</v>
      </c>
      <c r="E46" s="21">
        <v>0.40600000000000003</v>
      </c>
      <c r="F46" s="21">
        <v>5.2</v>
      </c>
      <c r="G46" s="21">
        <v>0.372</v>
      </c>
      <c r="H46" s="21">
        <v>0.8</v>
      </c>
      <c r="I46" s="21">
        <v>0.625</v>
      </c>
      <c r="J46" s="21">
        <v>0.56699999999999995</v>
      </c>
      <c r="K46" s="21">
        <v>0.4</v>
      </c>
      <c r="L46" s="21">
        <v>0.96599999999999997</v>
      </c>
      <c r="M46" s="21">
        <v>2.2000000000000002</v>
      </c>
      <c r="N46" s="21">
        <v>1.5</v>
      </c>
      <c r="O46" s="21">
        <v>0.7</v>
      </c>
      <c r="P46" s="21">
        <v>0.2</v>
      </c>
      <c r="Q46" s="21">
        <v>0.5</v>
      </c>
      <c r="R46" s="21">
        <v>1.7</v>
      </c>
      <c r="S46" s="21">
        <v>7.2</v>
      </c>
      <c r="T46" s="21">
        <v>4</v>
      </c>
      <c r="U46" s="21">
        <v>0.3</v>
      </c>
      <c r="V46" s="21">
        <v>11.1</v>
      </c>
      <c r="W46" s="21">
        <v>0.113</v>
      </c>
      <c r="X46" s="4">
        <v>0</v>
      </c>
    </row>
    <row r="47" spans="1:24" x14ac:dyDescent="0.35">
      <c r="A47" s="21">
        <v>32</v>
      </c>
      <c r="B47" s="21">
        <v>25</v>
      </c>
      <c r="C47" s="21">
        <v>5.8</v>
      </c>
      <c r="D47" s="21">
        <v>3</v>
      </c>
      <c r="E47" s="21">
        <v>0.36499999999999999</v>
      </c>
      <c r="F47" s="21">
        <v>1.5</v>
      </c>
      <c r="G47" s="21">
        <v>0.24299999999999999</v>
      </c>
      <c r="H47" s="21">
        <v>1.5</v>
      </c>
      <c r="I47" s="21">
        <v>0.48599999999999999</v>
      </c>
      <c r="J47" s="21">
        <v>0.42599999999999999</v>
      </c>
      <c r="K47" s="21">
        <v>0.8</v>
      </c>
      <c r="L47" s="21">
        <v>0.95199999999999996</v>
      </c>
      <c r="M47" s="21">
        <v>0.8</v>
      </c>
      <c r="N47" s="21">
        <v>0.4</v>
      </c>
      <c r="O47" s="21">
        <v>0.2</v>
      </c>
      <c r="P47" s="21">
        <v>0</v>
      </c>
      <c r="Q47" s="21">
        <v>0.4</v>
      </c>
      <c r="R47" s="21">
        <v>0.2</v>
      </c>
      <c r="S47" s="21">
        <v>3.3</v>
      </c>
      <c r="T47" s="21">
        <v>7</v>
      </c>
      <c r="U47" s="21">
        <v>-5.0999999999999996</v>
      </c>
      <c r="V47" s="21">
        <v>11.9</v>
      </c>
      <c r="W47" s="21">
        <v>-3.1E-2</v>
      </c>
      <c r="X47" s="4">
        <v>-0.2</v>
      </c>
    </row>
    <row r="48" spans="1:24" x14ac:dyDescent="0.35">
      <c r="A48" s="21">
        <v>20</v>
      </c>
      <c r="B48" s="21">
        <v>60</v>
      </c>
      <c r="C48" s="21">
        <v>22.8</v>
      </c>
      <c r="D48" s="21">
        <v>9.5</v>
      </c>
      <c r="E48" s="21">
        <v>0.39100000000000001</v>
      </c>
      <c r="F48" s="21">
        <v>5.0999999999999996</v>
      </c>
      <c r="G48" s="21">
        <v>0.34</v>
      </c>
      <c r="H48" s="21">
        <v>4.4000000000000004</v>
      </c>
      <c r="I48" s="21">
        <v>0.45</v>
      </c>
      <c r="J48" s="21">
        <v>0.48199999999999998</v>
      </c>
      <c r="K48" s="21">
        <v>0.8</v>
      </c>
      <c r="L48" s="21">
        <v>0.93500000000000005</v>
      </c>
      <c r="M48" s="21">
        <v>2.1</v>
      </c>
      <c r="N48" s="21">
        <v>2.4</v>
      </c>
      <c r="O48" s="21">
        <v>0.3</v>
      </c>
      <c r="P48" s="21">
        <v>0.1</v>
      </c>
      <c r="Q48" s="21">
        <v>1.4</v>
      </c>
      <c r="R48" s="21">
        <v>1.3</v>
      </c>
      <c r="S48" s="21">
        <v>9.9</v>
      </c>
      <c r="T48" s="21">
        <v>1</v>
      </c>
      <c r="U48" s="21">
        <v>-5.7</v>
      </c>
      <c r="V48" s="21">
        <v>8.3000000000000007</v>
      </c>
      <c r="W48" s="21">
        <v>-1.9E-2</v>
      </c>
      <c r="X48" s="4">
        <v>-0.2</v>
      </c>
    </row>
    <row r="49" spans="1:24" x14ac:dyDescent="0.35">
      <c r="A49" s="21">
        <v>36</v>
      </c>
      <c r="B49" s="21">
        <v>70</v>
      </c>
      <c r="C49" s="21">
        <v>32.200000000000003</v>
      </c>
      <c r="D49" s="21">
        <v>18</v>
      </c>
      <c r="E49" s="21">
        <v>0.44800000000000001</v>
      </c>
      <c r="F49" s="21">
        <v>11.2</v>
      </c>
      <c r="G49" s="21">
        <v>0.39700000000000002</v>
      </c>
      <c r="H49" s="21">
        <v>6.8</v>
      </c>
      <c r="I49" s="21">
        <v>0.53400000000000003</v>
      </c>
      <c r="J49" s="21">
        <v>0.57199999999999995</v>
      </c>
      <c r="K49" s="21">
        <v>4.3</v>
      </c>
      <c r="L49" s="21">
        <v>0.93300000000000005</v>
      </c>
      <c r="M49" s="21">
        <v>4.4000000000000004</v>
      </c>
      <c r="N49" s="21">
        <v>6</v>
      </c>
      <c r="O49" s="21">
        <v>1.1000000000000001</v>
      </c>
      <c r="P49" s="21">
        <v>0.4</v>
      </c>
      <c r="Q49" s="21">
        <v>2.9</v>
      </c>
      <c r="R49" s="21">
        <v>1.4</v>
      </c>
      <c r="S49" s="21">
        <v>24.5</v>
      </c>
      <c r="T49" s="21">
        <v>15</v>
      </c>
      <c r="U49" s="21">
        <v>6.3</v>
      </c>
      <c r="V49" s="21">
        <v>21.5</v>
      </c>
      <c r="W49" s="21">
        <v>0.16800000000000001</v>
      </c>
      <c r="X49" s="4">
        <v>0.1</v>
      </c>
    </row>
    <row r="50" spans="1:24" x14ac:dyDescent="0.35">
      <c r="A50" s="21">
        <v>36</v>
      </c>
      <c r="B50" s="21">
        <v>29</v>
      </c>
      <c r="C50" s="21">
        <v>11.1</v>
      </c>
      <c r="D50" s="21">
        <v>3.3</v>
      </c>
      <c r="E50" s="21">
        <v>0.375</v>
      </c>
      <c r="F50" s="21">
        <v>2.6</v>
      </c>
      <c r="G50" s="21">
        <v>0.34699999999999998</v>
      </c>
      <c r="H50" s="21">
        <v>0.7</v>
      </c>
      <c r="I50" s="21">
        <v>0.47599999999999998</v>
      </c>
      <c r="J50" s="21">
        <v>0.51</v>
      </c>
      <c r="K50" s="21">
        <v>0.5</v>
      </c>
      <c r="L50" s="21">
        <v>0.92900000000000005</v>
      </c>
      <c r="M50" s="21">
        <v>0.8</v>
      </c>
      <c r="N50" s="21">
        <v>0.9</v>
      </c>
      <c r="O50" s="21">
        <v>0.4</v>
      </c>
      <c r="P50" s="21">
        <v>0.1</v>
      </c>
      <c r="Q50" s="21">
        <v>0.6</v>
      </c>
      <c r="R50" s="21">
        <v>0.8</v>
      </c>
      <c r="S50" s="21">
        <v>3.8</v>
      </c>
      <c r="T50" s="21">
        <v>15</v>
      </c>
      <c r="U50" s="21">
        <v>-3.2</v>
      </c>
      <c r="V50" s="21">
        <v>8.4</v>
      </c>
      <c r="W50" s="21">
        <v>1.7000000000000001E-2</v>
      </c>
      <c r="X50" s="4">
        <v>0</v>
      </c>
    </row>
    <row r="51" spans="1:24" x14ac:dyDescent="0.35">
      <c r="A51" s="21">
        <v>39</v>
      </c>
      <c r="B51" s="21">
        <v>82</v>
      </c>
      <c r="C51" s="21">
        <v>28</v>
      </c>
      <c r="D51" s="21">
        <v>7.1</v>
      </c>
      <c r="E51" s="21">
        <v>0.42699999999999999</v>
      </c>
      <c r="F51" s="21">
        <v>4.5</v>
      </c>
      <c r="G51" s="21">
        <v>0.377</v>
      </c>
      <c r="H51" s="21">
        <v>2.6</v>
      </c>
      <c r="I51" s="21">
        <v>0.51400000000000001</v>
      </c>
      <c r="J51" s="21">
        <v>0.54700000000000004</v>
      </c>
      <c r="K51" s="21">
        <v>1.1000000000000001</v>
      </c>
      <c r="L51" s="21">
        <v>0.92400000000000004</v>
      </c>
      <c r="M51" s="21">
        <v>3.6</v>
      </c>
      <c r="N51" s="21">
        <v>7.4</v>
      </c>
      <c r="O51" s="21">
        <v>1.3</v>
      </c>
      <c r="P51" s="21">
        <v>0.3</v>
      </c>
      <c r="Q51" s="21">
        <v>1.6</v>
      </c>
      <c r="R51" s="21">
        <v>1.8</v>
      </c>
      <c r="S51" s="21">
        <v>8.8000000000000007</v>
      </c>
      <c r="T51" s="21">
        <v>19</v>
      </c>
      <c r="U51" s="21">
        <v>0.8</v>
      </c>
      <c r="V51" s="21">
        <v>14.7</v>
      </c>
      <c r="W51" s="21">
        <v>0.12</v>
      </c>
      <c r="X51" s="4">
        <v>-0.1</v>
      </c>
    </row>
    <row r="52" spans="1:24" x14ac:dyDescent="0.35">
      <c r="A52" s="21">
        <v>24</v>
      </c>
      <c r="B52" s="21">
        <v>40</v>
      </c>
      <c r="C52" s="21">
        <v>15.2</v>
      </c>
      <c r="D52" s="21">
        <v>3.4</v>
      </c>
      <c r="E52" s="21">
        <v>0.496</v>
      </c>
      <c r="F52" s="21">
        <v>1.4</v>
      </c>
      <c r="G52" s="21">
        <v>0.40699999999999997</v>
      </c>
      <c r="H52" s="21">
        <v>2</v>
      </c>
      <c r="I52" s="21">
        <v>0.55600000000000005</v>
      </c>
      <c r="J52" s="21">
        <v>0.57799999999999996</v>
      </c>
      <c r="K52" s="21">
        <v>0.3</v>
      </c>
      <c r="L52" s="21">
        <v>0.92300000000000004</v>
      </c>
      <c r="M52" s="21">
        <v>2.9</v>
      </c>
      <c r="N52" s="21">
        <v>1.1000000000000001</v>
      </c>
      <c r="O52" s="21">
        <v>0.5</v>
      </c>
      <c r="P52" s="21">
        <v>0.5</v>
      </c>
      <c r="Q52" s="21">
        <v>0.4</v>
      </c>
      <c r="R52" s="21">
        <v>1.6</v>
      </c>
      <c r="S52" s="21">
        <v>4.2</v>
      </c>
      <c r="T52" s="21">
        <v>3</v>
      </c>
      <c r="U52" s="21">
        <v>-1.4</v>
      </c>
      <c r="V52" s="21">
        <v>11.3</v>
      </c>
      <c r="W52" s="21">
        <v>9.6000000000000002E-2</v>
      </c>
      <c r="X52" s="4">
        <v>1</v>
      </c>
    </row>
    <row r="53" spans="1:24" x14ac:dyDescent="0.35">
      <c r="A53" s="21">
        <v>34</v>
      </c>
      <c r="B53" s="21">
        <v>58</v>
      </c>
      <c r="C53" s="21">
        <v>36.1</v>
      </c>
      <c r="D53" s="21">
        <v>17.100000000000001</v>
      </c>
      <c r="E53" s="21">
        <v>0.44800000000000001</v>
      </c>
      <c r="F53" s="21">
        <v>9</v>
      </c>
      <c r="G53" s="21">
        <v>0.376</v>
      </c>
      <c r="H53" s="21">
        <v>8.1</v>
      </c>
      <c r="I53" s="21">
        <v>0.52800000000000002</v>
      </c>
      <c r="J53" s="21">
        <v>0.54700000000000004</v>
      </c>
      <c r="K53" s="21">
        <v>6.8</v>
      </c>
      <c r="L53" s="21">
        <v>0.92100000000000004</v>
      </c>
      <c r="M53" s="21">
        <v>4.7</v>
      </c>
      <c r="N53" s="21">
        <v>7.1</v>
      </c>
      <c r="O53" s="21">
        <v>1.2</v>
      </c>
      <c r="P53" s="21">
        <v>0.2</v>
      </c>
      <c r="Q53" s="21">
        <v>2.8</v>
      </c>
      <c r="R53" s="21">
        <v>1.7</v>
      </c>
      <c r="S53" s="21">
        <v>24.9</v>
      </c>
      <c r="T53" s="21">
        <v>12</v>
      </c>
      <c r="U53" s="21">
        <v>4</v>
      </c>
      <c r="V53" s="21">
        <v>21.3</v>
      </c>
      <c r="W53" s="21">
        <v>0.17499999999999999</v>
      </c>
      <c r="X53" s="4">
        <v>0</v>
      </c>
    </row>
    <row r="54" spans="1:24" x14ac:dyDescent="0.35">
      <c r="A54" s="21">
        <v>38</v>
      </c>
      <c r="B54" s="21">
        <v>28</v>
      </c>
      <c r="C54" s="21">
        <v>8.1</v>
      </c>
      <c r="D54" s="21">
        <v>2.1</v>
      </c>
      <c r="E54" s="21">
        <v>0.3</v>
      </c>
      <c r="F54" s="21">
        <v>1</v>
      </c>
      <c r="G54" s="21">
        <v>0.214</v>
      </c>
      <c r="H54" s="21">
        <v>1.1000000000000001</v>
      </c>
      <c r="I54" s="21">
        <v>0.375</v>
      </c>
      <c r="J54" s="21">
        <v>0.35</v>
      </c>
      <c r="K54" s="21">
        <v>0.4</v>
      </c>
      <c r="L54" s="21">
        <v>0.91700000000000004</v>
      </c>
      <c r="M54" s="21">
        <v>1</v>
      </c>
      <c r="N54" s="21">
        <v>1.1000000000000001</v>
      </c>
      <c r="O54" s="21">
        <v>0.6</v>
      </c>
      <c r="P54" s="21">
        <v>0.1</v>
      </c>
      <c r="Q54" s="21">
        <v>0.4</v>
      </c>
      <c r="R54" s="21">
        <v>0.8</v>
      </c>
      <c r="S54" s="21">
        <v>1.9</v>
      </c>
      <c r="T54" s="21">
        <v>14</v>
      </c>
      <c r="U54" s="21">
        <v>-3.6</v>
      </c>
      <c r="V54" s="21">
        <v>8.5</v>
      </c>
      <c r="W54" s="21">
        <v>3.3000000000000002E-2</v>
      </c>
      <c r="X54" s="4">
        <v>0</v>
      </c>
    </row>
    <row r="55" spans="1:24" x14ac:dyDescent="0.35">
      <c r="A55" s="21">
        <v>32</v>
      </c>
      <c r="B55" s="21">
        <v>50</v>
      </c>
      <c r="C55" s="21">
        <v>36.1</v>
      </c>
      <c r="D55" s="21">
        <v>18.899999999999999</v>
      </c>
      <c r="E55" s="21">
        <v>0.47299999999999998</v>
      </c>
      <c r="F55" s="21">
        <v>7.2</v>
      </c>
      <c r="G55" s="21">
        <v>0.40100000000000002</v>
      </c>
      <c r="H55" s="21">
        <v>11.7</v>
      </c>
      <c r="I55" s="21">
        <v>0.51700000000000002</v>
      </c>
      <c r="J55" s="21">
        <v>0.54900000000000004</v>
      </c>
      <c r="K55" s="21">
        <v>4.3</v>
      </c>
      <c r="L55" s="21">
        <v>0.91600000000000004</v>
      </c>
      <c r="M55" s="21">
        <v>4.8</v>
      </c>
      <c r="N55" s="21">
        <v>4.5999999999999996</v>
      </c>
      <c r="O55" s="21">
        <v>1.3</v>
      </c>
      <c r="P55" s="21">
        <v>0.5</v>
      </c>
      <c r="Q55" s="21">
        <v>2.2000000000000002</v>
      </c>
      <c r="R55" s="21">
        <v>2</v>
      </c>
      <c r="S55" s="21">
        <v>24.7</v>
      </c>
      <c r="T55" s="21">
        <v>13</v>
      </c>
      <c r="U55" s="21">
        <v>3.4</v>
      </c>
      <c r="V55" s="21">
        <v>19.899999999999999</v>
      </c>
      <c r="W55" s="21">
        <v>0.124</v>
      </c>
      <c r="X55" s="4">
        <v>0</v>
      </c>
    </row>
    <row r="56" spans="1:24" x14ac:dyDescent="0.35">
      <c r="A56" s="21">
        <v>25</v>
      </c>
      <c r="B56" s="21">
        <v>45</v>
      </c>
      <c r="C56" s="21">
        <v>24.9</v>
      </c>
      <c r="D56" s="21">
        <v>8.4</v>
      </c>
      <c r="E56" s="21">
        <v>0.50700000000000001</v>
      </c>
      <c r="F56" s="21">
        <v>4.3</v>
      </c>
      <c r="G56" s="21">
        <v>0.43099999999999999</v>
      </c>
      <c r="H56" s="21">
        <v>4.0999999999999996</v>
      </c>
      <c r="I56" s="21">
        <v>0.58699999999999997</v>
      </c>
      <c r="J56" s="21">
        <v>0.61699999999999999</v>
      </c>
      <c r="K56" s="21">
        <v>1.8</v>
      </c>
      <c r="L56" s="21">
        <v>0.91300000000000003</v>
      </c>
      <c r="M56" s="21">
        <v>4</v>
      </c>
      <c r="N56" s="21">
        <v>1.2</v>
      </c>
      <c r="O56" s="21">
        <v>0.8</v>
      </c>
      <c r="P56" s="21">
        <v>0.4</v>
      </c>
      <c r="Q56" s="21">
        <v>0.8</v>
      </c>
      <c r="R56" s="21">
        <v>2.5</v>
      </c>
      <c r="S56" s="21">
        <v>12</v>
      </c>
      <c r="T56" s="21">
        <v>4</v>
      </c>
      <c r="U56" s="21">
        <v>-0.5</v>
      </c>
      <c r="V56" s="21">
        <v>14.6</v>
      </c>
      <c r="W56" s="21">
        <v>0.126</v>
      </c>
      <c r="X56" s="4">
        <v>0</v>
      </c>
    </row>
    <row r="57" spans="1:24" x14ac:dyDescent="0.35">
      <c r="A57" s="21">
        <v>34</v>
      </c>
      <c r="B57" s="21">
        <v>62</v>
      </c>
      <c r="C57" s="21">
        <v>30.6</v>
      </c>
      <c r="D57" s="21">
        <v>9.1999999999999993</v>
      </c>
      <c r="E57" s="21">
        <v>0.443</v>
      </c>
      <c r="F57" s="21">
        <v>4.9000000000000004</v>
      </c>
      <c r="G57" s="21">
        <v>0.35299999999999998</v>
      </c>
      <c r="H57" s="21">
        <v>4.3</v>
      </c>
      <c r="I57" s="21">
        <v>0.54700000000000004</v>
      </c>
      <c r="J57" s="21">
        <v>0.53800000000000003</v>
      </c>
      <c r="K57" s="21">
        <v>1.2</v>
      </c>
      <c r="L57" s="21">
        <v>0.90900000000000003</v>
      </c>
      <c r="M57" s="21">
        <v>4.3</v>
      </c>
      <c r="N57" s="21">
        <v>3.9</v>
      </c>
      <c r="O57" s="21">
        <v>1.1000000000000001</v>
      </c>
      <c r="P57" s="21">
        <v>0.4</v>
      </c>
      <c r="Q57" s="21">
        <v>1.2</v>
      </c>
      <c r="R57" s="21">
        <v>1.6</v>
      </c>
      <c r="S57" s="21">
        <v>11.1</v>
      </c>
      <c r="T57" s="21">
        <v>15</v>
      </c>
      <c r="U57" s="21">
        <v>0.7</v>
      </c>
      <c r="V57" s="21">
        <v>13.5</v>
      </c>
      <c r="W57" s="21">
        <v>0.13</v>
      </c>
      <c r="X57" s="4">
        <v>-0.1</v>
      </c>
    </row>
    <row r="58" spans="1:24" x14ac:dyDescent="0.35">
      <c r="A58" s="21">
        <v>28</v>
      </c>
      <c r="B58" s="21">
        <v>46</v>
      </c>
      <c r="C58" s="21">
        <v>10.199999999999999</v>
      </c>
      <c r="D58" s="21">
        <v>3.6</v>
      </c>
      <c r="E58" s="21">
        <v>0.42199999999999999</v>
      </c>
      <c r="F58" s="21">
        <v>2.2999999999999998</v>
      </c>
      <c r="G58" s="21">
        <v>0.32100000000000001</v>
      </c>
      <c r="H58" s="21">
        <v>1.3</v>
      </c>
      <c r="I58" s="21">
        <v>0.6</v>
      </c>
      <c r="J58" s="21">
        <v>0.52400000000000002</v>
      </c>
      <c r="K58" s="21">
        <v>0.5</v>
      </c>
      <c r="L58" s="21">
        <v>0.90900000000000003</v>
      </c>
      <c r="M58" s="21">
        <v>2</v>
      </c>
      <c r="N58" s="21">
        <v>0.6</v>
      </c>
      <c r="O58" s="21">
        <v>0.3</v>
      </c>
      <c r="P58" s="21">
        <v>0.3</v>
      </c>
      <c r="Q58" s="21">
        <v>0.3</v>
      </c>
      <c r="R58" s="21">
        <v>0.9</v>
      </c>
      <c r="S58" s="21">
        <v>4.2</v>
      </c>
      <c r="T58" s="21">
        <v>1</v>
      </c>
      <c r="U58" s="21">
        <v>-0.3</v>
      </c>
      <c r="V58" s="21">
        <v>13.7</v>
      </c>
      <c r="W58" s="21">
        <v>0.105</v>
      </c>
      <c r="X58" s="4">
        <v>-0.1</v>
      </c>
    </row>
    <row r="59" spans="1:24" x14ac:dyDescent="0.35">
      <c r="A59" s="21">
        <v>30</v>
      </c>
      <c r="B59" s="21">
        <v>72</v>
      </c>
      <c r="C59" s="21">
        <v>15.1</v>
      </c>
      <c r="D59" s="21">
        <v>6.2</v>
      </c>
      <c r="E59" s="21">
        <v>0.40100000000000002</v>
      </c>
      <c r="F59" s="21">
        <v>3.6</v>
      </c>
      <c r="G59" s="21">
        <v>0.36299999999999999</v>
      </c>
      <c r="H59" s="21">
        <v>2.6</v>
      </c>
      <c r="I59" s="21">
        <v>0.45300000000000001</v>
      </c>
      <c r="J59" s="21">
        <v>0.50600000000000001</v>
      </c>
      <c r="K59" s="21">
        <v>0.8</v>
      </c>
      <c r="L59" s="21">
        <v>0.90700000000000003</v>
      </c>
      <c r="M59" s="21">
        <v>1.4</v>
      </c>
      <c r="N59" s="21">
        <v>2.8</v>
      </c>
      <c r="O59" s="21">
        <v>0.5</v>
      </c>
      <c r="P59" s="21">
        <v>0.2</v>
      </c>
      <c r="Q59" s="21">
        <v>0.7</v>
      </c>
      <c r="R59" s="21">
        <v>1.5</v>
      </c>
      <c r="S59" s="21">
        <v>6.9</v>
      </c>
      <c r="T59" s="21">
        <v>9</v>
      </c>
      <c r="U59" s="21">
        <v>-0.2</v>
      </c>
      <c r="V59" s="21">
        <v>13.8</v>
      </c>
      <c r="W59" s="21">
        <v>9.9000000000000005E-2</v>
      </c>
      <c r="X59" s="4">
        <v>-0.1</v>
      </c>
    </row>
    <row r="60" spans="1:24" x14ac:dyDescent="0.35">
      <c r="A60" s="21">
        <v>34</v>
      </c>
      <c r="B60" s="21">
        <v>72</v>
      </c>
      <c r="C60" s="21">
        <v>27.3</v>
      </c>
      <c r="D60" s="21">
        <v>12.2</v>
      </c>
      <c r="E60" s="21">
        <v>0.41199999999999998</v>
      </c>
      <c r="F60" s="21">
        <v>7.7</v>
      </c>
      <c r="G60" s="21">
        <v>0.39100000000000001</v>
      </c>
      <c r="H60" s="21">
        <v>4.5</v>
      </c>
      <c r="I60" s="21">
        <v>0.44800000000000001</v>
      </c>
      <c r="J60" s="21">
        <v>0.53500000000000003</v>
      </c>
      <c r="K60" s="21">
        <v>1</v>
      </c>
      <c r="L60" s="21">
        <v>0.90500000000000003</v>
      </c>
      <c r="M60" s="21">
        <v>3.4</v>
      </c>
      <c r="N60" s="21">
        <v>2</v>
      </c>
      <c r="O60" s="21">
        <v>0.7</v>
      </c>
      <c r="P60" s="21">
        <v>0.4</v>
      </c>
      <c r="Q60" s="21">
        <v>1.2</v>
      </c>
      <c r="R60" s="21">
        <v>1.1000000000000001</v>
      </c>
      <c r="S60" s="21">
        <v>14</v>
      </c>
      <c r="T60" s="21">
        <v>13</v>
      </c>
      <c r="U60" s="21">
        <v>-1</v>
      </c>
      <c r="V60" s="21">
        <v>12.9</v>
      </c>
      <c r="W60" s="21">
        <v>4.4999999999999998E-2</v>
      </c>
      <c r="X60" s="4">
        <v>0</v>
      </c>
    </row>
    <row r="61" spans="1:24" x14ac:dyDescent="0.35">
      <c r="A61" s="21">
        <v>23</v>
      </c>
      <c r="B61" s="21">
        <v>13</v>
      </c>
      <c r="C61" s="21">
        <v>24.5</v>
      </c>
      <c r="D61" s="21">
        <v>12.4</v>
      </c>
      <c r="E61" s="21">
        <v>0.435</v>
      </c>
      <c r="F61" s="21">
        <v>4.5999999999999996</v>
      </c>
      <c r="G61" s="21">
        <v>0.4</v>
      </c>
      <c r="H61" s="21">
        <v>7.8</v>
      </c>
      <c r="I61" s="21">
        <v>0.45500000000000002</v>
      </c>
      <c r="J61" s="21">
        <v>0.50900000000000001</v>
      </c>
      <c r="K61" s="21">
        <v>1.6</v>
      </c>
      <c r="L61" s="21">
        <v>0.90500000000000003</v>
      </c>
      <c r="M61" s="21">
        <v>2.9</v>
      </c>
      <c r="N61" s="21">
        <v>3</v>
      </c>
      <c r="O61" s="21">
        <v>0.5</v>
      </c>
      <c r="P61" s="21">
        <v>0.3</v>
      </c>
      <c r="Q61" s="21">
        <v>1.9</v>
      </c>
      <c r="R61" s="21">
        <v>1.8</v>
      </c>
      <c r="S61" s="21">
        <v>14.1</v>
      </c>
      <c r="T61" s="21">
        <v>3</v>
      </c>
      <c r="U61" s="21">
        <v>-2.4</v>
      </c>
      <c r="V61" s="21">
        <v>13.3</v>
      </c>
      <c r="W61" s="21">
        <v>1.9E-2</v>
      </c>
      <c r="X61" s="4">
        <v>0</v>
      </c>
    </row>
    <row r="62" spans="1:24" x14ac:dyDescent="0.35">
      <c r="A62" s="21">
        <v>23</v>
      </c>
      <c r="B62" s="21">
        <v>82</v>
      </c>
      <c r="C62" s="21">
        <v>23.6</v>
      </c>
      <c r="D62" s="21">
        <v>8.1</v>
      </c>
      <c r="E62" s="21">
        <v>0.41499999999999998</v>
      </c>
      <c r="F62" s="21">
        <v>5.9</v>
      </c>
      <c r="G62" s="21">
        <v>0.371</v>
      </c>
      <c r="H62" s="21">
        <v>2.2999999999999998</v>
      </c>
      <c r="I62" s="21">
        <v>0.53</v>
      </c>
      <c r="J62" s="21">
        <v>0.54900000000000004</v>
      </c>
      <c r="K62" s="21">
        <v>1.1000000000000001</v>
      </c>
      <c r="L62" s="21">
        <v>0.90400000000000003</v>
      </c>
      <c r="M62" s="21">
        <v>3.9</v>
      </c>
      <c r="N62" s="21">
        <v>1.4</v>
      </c>
      <c r="O62" s="21">
        <v>0.7</v>
      </c>
      <c r="P62" s="21">
        <v>0.4</v>
      </c>
      <c r="Q62" s="21">
        <v>0.9</v>
      </c>
      <c r="R62" s="21">
        <v>1.4</v>
      </c>
      <c r="S62" s="21">
        <v>9.9</v>
      </c>
      <c r="T62" s="21">
        <v>2</v>
      </c>
      <c r="U62" s="21">
        <v>-1.3</v>
      </c>
      <c r="V62" s="21">
        <v>12.2</v>
      </c>
      <c r="W62" s="21">
        <v>6.2E-2</v>
      </c>
      <c r="X62" s="4">
        <v>-0.1</v>
      </c>
    </row>
    <row r="63" spans="1:24" x14ac:dyDescent="0.35">
      <c r="A63" s="21">
        <v>24</v>
      </c>
      <c r="B63" s="21">
        <v>74</v>
      </c>
      <c r="C63" s="21">
        <v>33.1</v>
      </c>
      <c r="D63" s="21">
        <v>15.1</v>
      </c>
      <c r="E63" s="21">
        <v>0.45300000000000001</v>
      </c>
      <c r="F63" s="21">
        <v>7.9</v>
      </c>
      <c r="G63" s="21">
        <v>0.37</v>
      </c>
      <c r="H63" s="21">
        <v>7.3</v>
      </c>
      <c r="I63" s="21">
        <v>0.54400000000000004</v>
      </c>
      <c r="J63" s="21">
        <v>0.55000000000000004</v>
      </c>
      <c r="K63" s="21">
        <v>4.0999999999999996</v>
      </c>
      <c r="L63" s="21">
        <v>0.90200000000000002</v>
      </c>
      <c r="M63" s="21">
        <v>3.7</v>
      </c>
      <c r="N63" s="21">
        <v>4.5</v>
      </c>
      <c r="O63" s="21">
        <v>0.9</v>
      </c>
      <c r="P63" s="21">
        <v>0.2</v>
      </c>
      <c r="Q63" s="21">
        <v>2.4</v>
      </c>
      <c r="R63" s="21">
        <v>2.1</v>
      </c>
      <c r="S63" s="21">
        <v>20.399999999999999</v>
      </c>
      <c r="T63" s="21">
        <v>5</v>
      </c>
      <c r="U63" s="21">
        <v>-0.9</v>
      </c>
      <c r="V63" s="21">
        <v>15.5</v>
      </c>
      <c r="W63" s="21">
        <v>8.7999999999999995E-2</v>
      </c>
      <c r="X63" s="4">
        <v>0</v>
      </c>
    </row>
    <row r="64" spans="1:24" x14ac:dyDescent="0.35">
      <c r="A64" s="21">
        <v>25</v>
      </c>
      <c r="B64" s="21">
        <v>70</v>
      </c>
      <c r="C64" s="21">
        <v>32.700000000000003</v>
      </c>
      <c r="D64" s="21">
        <v>16.100000000000001</v>
      </c>
      <c r="E64" s="21">
        <v>0.42599999999999999</v>
      </c>
      <c r="F64" s="21">
        <v>8.5</v>
      </c>
      <c r="G64" s="21">
        <v>0.36299999999999999</v>
      </c>
      <c r="H64" s="21">
        <v>7.6</v>
      </c>
      <c r="I64" s="21">
        <v>0.496</v>
      </c>
      <c r="J64" s="21">
        <v>0.52100000000000002</v>
      </c>
      <c r="K64" s="21">
        <v>2.8</v>
      </c>
      <c r="L64" s="21">
        <v>0.90200000000000002</v>
      </c>
      <c r="M64" s="21">
        <v>2.7</v>
      </c>
      <c r="N64" s="21">
        <v>4.8</v>
      </c>
      <c r="O64" s="21">
        <v>0.9</v>
      </c>
      <c r="P64" s="21">
        <v>0.1</v>
      </c>
      <c r="Q64" s="21">
        <v>2</v>
      </c>
      <c r="R64" s="21">
        <v>1.7</v>
      </c>
      <c r="S64" s="21">
        <v>19.3</v>
      </c>
      <c r="T64" s="21">
        <v>6</v>
      </c>
      <c r="U64" s="21">
        <v>-0.1</v>
      </c>
      <c r="V64" s="21">
        <v>14.9</v>
      </c>
      <c r="W64" s="21">
        <v>8.6999999999999994E-2</v>
      </c>
      <c r="X64" s="4">
        <v>-0.1</v>
      </c>
    </row>
    <row r="65" spans="1:24" x14ac:dyDescent="0.35">
      <c r="A65" s="21">
        <v>37</v>
      </c>
      <c r="B65" s="21">
        <v>71</v>
      </c>
      <c r="C65" s="21">
        <v>24.7</v>
      </c>
      <c r="D65" s="21">
        <v>6.6</v>
      </c>
      <c r="E65" s="21">
        <v>0.4</v>
      </c>
      <c r="F65" s="21">
        <v>4.4000000000000004</v>
      </c>
      <c r="G65" s="21">
        <v>0.41</v>
      </c>
      <c r="H65" s="21">
        <v>2.2000000000000002</v>
      </c>
      <c r="I65" s="21">
        <v>0.38</v>
      </c>
      <c r="J65" s="21">
        <v>0.53500000000000003</v>
      </c>
      <c r="K65" s="21">
        <v>1.3</v>
      </c>
      <c r="L65" s="21">
        <v>0.9</v>
      </c>
      <c r="M65" s="21">
        <v>2.6</v>
      </c>
      <c r="N65" s="21">
        <v>4.5</v>
      </c>
      <c r="O65" s="21">
        <v>1.1000000000000001</v>
      </c>
      <c r="P65" s="21">
        <v>0.2</v>
      </c>
      <c r="Q65" s="21">
        <v>1.1000000000000001</v>
      </c>
      <c r="R65" s="21">
        <v>1.6</v>
      </c>
      <c r="S65" s="21">
        <v>8.1999999999999993</v>
      </c>
      <c r="T65" s="21">
        <v>17</v>
      </c>
      <c r="U65" s="21">
        <v>1.2</v>
      </c>
      <c r="V65" s="21">
        <v>13.3</v>
      </c>
      <c r="W65" s="21">
        <v>0.14199999999999999</v>
      </c>
      <c r="X65" s="4">
        <v>0</v>
      </c>
    </row>
    <row r="66" spans="1:24" x14ac:dyDescent="0.35">
      <c r="A66" s="21">
        <v>21</v>
      </c>
      <c r="B66" s="21">
        <v>16</v>
      </c>
      <c r="C66" s="21">
        <v>14.9</v>
      </c>
      <c r="D66" s="21">
        <v>4.5999999999999996</v>
      </c>
      <c r="E66" s="21">
        <v>0.41899999999999998</v>
      </c>
      <c r="F66" s="21">
        <v>1.4</v>
      </c>
      <c r="G66" s="21">
        <v>0.30399999999999999</v>
      </c>
      <c r="H66" s="21">
        <v>3.2</v>
      </c>
      <c r="I66" s="21">
        <v>0.47099999999999997</v>
      </c>
      <c r="J66" s="21">
        <v>0.46600000000000003</v>
      </c>
      <c r="K66" s="21">
        <v>0.6</v>
      </c>
      <c r="L66" s="21">
        <v>0.9</v>
      </c>
      <c r="M66" s="21">
        <v>2.8</v>
      </c>
      <c r="N66" s="21">
        <v>1.1000000000000001</v>
      </c>
      <c r="O66" s="21">
        <v>0.6</v>
      </c>
      <c r="P66" s="21">
        <v>0</v>
      </c>
      <c r="Q66" s="21">
        <v>0.8</v>
      </c>
      <c r="R66" s="21">
        <v>0.9</v>
      </c>
      <c r="S66" s="21">
        <v>4.9000000000000004</v>
      </c>
      <c r="T66" s="21">
        <v>1</v>
      </c>
      <c r="U66" s="21">
        <v>-6.3</v>
      </c>
      <c r="V66" s="21">
        <v>9.1</v>
      </c>
      <c r="W66" s="21">
        <v>-4.0000000000000001E-3</v>
      </c>
      <c r="X66" s="4">
        <v>0</v>
      </c>
    </row>
    <row r="67" spans="1:24" x14ac:dyDescent="0.35">
      <c r="A67" s="21">
        <v>26</v>
      </c>
      <c r="B67" s="21">
        <v>76</v>
      </c>
      <c r="C67" s="21">
        <v>34.200000000000003</v>
      </c>
      <c r="D67" s="21">
        <v>21.8</v>
      </c>
      <c r="E67" s="21">
        <v>0.51900000000000002</v>
      </c>
      <c r="F67" s="21">
        <v>5.7</v>
      </c>
      <c r="G67" s="21">
        <v>0.375</v>
      </c>
      <c r="H67" s="21">
        <v>16.100000000000001</v>
      </c>
      <c r="I67" s="21">
        <v>0.57099999999999995</v>
      </c>
      <c r="J67" s="21">
        <v>0.56899999999999995</v>
      </c>
      <c r="K67" s="21">
        <v>8.8000000000000007</v>
      </c>
      <c r="L67" s="21">
        <v>0.89800000000000002</v>
      </c>
      <c r="M67" s="21">
        <v>5</v>
      </c>
      <c r="N67" s="21">
        <v>6.4</v>
      </c>
      <c r="O67" s="21">
        <v>1.7</v>
      </c>
      <c r="P67" s="21">
        <v>1</v>
      </c>
      <c r="Q67" s="21">
        <v>2.4</v>
      </c>
      <c r="R67" s="21">
        <v>2.2000000000000002</v>
      </c>
      <c r="S67" s="21">
        <v>32.700000000000003</v>
      </c>
      <c r="T67" s="21">
        <v>6</v>
      </c>
      <c r="U67" s="21">
        <v>11.5</v>
      </c>
      <c r="V67" s="21">
        <v>30.7</v>
      </c>
      <c r="W67" s="21">
        <v>0.309</v>
      </c>
      <c r="X67" s="4">
        <v>0</v>
      </c>
    </row>
    <row r="68" spans="1:24" x14ac:dyDescent="0.35">
      <c r="A68" s="21">
        <v>28</v>
      </c>
      <c r="B68" s="21">
        <v>65</v>
      </c>
      <c r="C68" s="21">
        <v>22.6</v>
      </c>
      <c r="D68" s="21">
        <v>6.6</v>
      </c>
      <c r="E68" s="21">
        <v>0.47799999999999998</v>
      </c>
      <c r="F68" s="21">
        <v>4</v>
      </c>
      <c r="G68" s="21">
        <v>0.433</v>
      </c>
      <c r="H68" s="21">
        <v>2.6</v>
      </c>
      <c r="I68" s="21">
        <v>0.54700000000000004</v>
      </c>
      <c r="J68" s="21">
        <v>0.60899999999999999</v>
      </c>
      <c r="K68" s="21">
        <v>0.9</v>
      </c>
      <c r="L68" s="21">
        <v>0.89500000000000002</v>
      </c>
      <c r="M68" s="21">
        <v>2.8</v>
      </c>
      <c r="N68" s="21">
        <v>3.3</v>
      </c>
      <c r="O68" s="21">
        <v>0.8</v>
      </c>
      <c r="P68" s="21">
        <v>0.1</v>
      </c>
      <c r="Q68" s="21">
        <v>1.1000000000000001</v>
      </c>
      <c r="R68" s="21">
        <v>0.9</v>
      </c>
      <c r="S68" s="21">
        <v>8.9</v>
      </c>
      <c r="T68" s="21">
        <v>7</v>
      </c>
      <c r="U68" s="21">
        <v>1.1000000000000001</v>
      </c>
      <c r="V68" s="21">
        <v>13.6</v>
      </c>
      <c r="W68" s="21">
        <v>0.127</v>
      </c>
      <c r="X68" s="4">
        <v>0.1</v>
      </c>
    </row>
    <row r="69" spans="1:24" x14ac:dyDescent="0.35">
      <c r="A69" s="21">
        <v>28</v>
      </c>
      <c r="B69" s="21">
        <v>81</v>
      </c>
      <c r="C69" s="21">
        <v>26.8</v>
      </c>
      <c r="D69" s="21">
        <v>8.4</v>
      </c>
      <c r="E69" s="21">
        <v>0.44800000000000001</v>
      </c>
      <c r="F69" s="21">
        <v>5</v>
      </c>
      <c r="G69" s="21">
        <v>0.41399999999999998</v>
      </c>
      <c r="H69" s="21">
        <v>3.5</v>
      </c>
      <c r="I69" s="21">
        <v>0.496</v>
      </c>
      <c r="J69" s="21">
        <v>0.56999999999999995</v>
      </c>
      <c r="K69" s="21">
        <v>0.7</v>
      </c>
      <c r="L69" s="21">
        <v>0.89500000000000002</v>
      </c>
      <c r="M69" s="21">
        <v>2.4</v>
      </c>
      <c r="N69" s="21">
        <v>5.3</v>
      </c>
      <c r="O69" s="21">
        <v>0.9</v>
      </c>
      <c r="P69" s="21">
        <v>0.1</v>
      </c>
      <c r="Q69" s="21">
        <v>1.1000000000000001</v>
      </c>
      <c r="R69" s="21">
        <v>0.8</v>
      </c>
      <c r="S69" s="21">
        <v>10.199999999999999</v>
      </c>
      <c r="T69" s="21">
        <v>9</v>
      </c>
      <c r="U69" s="21">
        <v>0.1</v>
      </c>
      <c r="V69" s="21">
        <v>14.5</v>
      </c>
      <c r="W69" s="21">
        <v>9.6000000000000002E-2</v>
      </c>
      <c r="X69" s="4">
        <v>-0.8</v>
      </c>
    </row>
    <row r="70" spans="1:24" x14ac:dyDescent="0.35">
      <c r="A70" s="21">
        <v>22</v>
      </c>
      <c r="B70" s="21">
        <v>46</v>
      </c>
      <c r="C70" s="21">
        <v>6</v>
      </c>
      <c r="D70" s="21">
        <v>2</v>
      </c>
      <c r="E70" s="21">
        <v>0.48899999999999999</v>
      </c>
      <c r="F70" s="21">
        <v>0.9</v>
      </c>
      <c r="G70" s="21">
        <v>0.32600000000000001</v>
      </c>
      <c r="H70" s="21">
        <v>1</v>
      </c>
      <c r="I70" s="21">
        <v>0.63800000000000001</v>
      </c>
      <c r="J70" s="21">
        <v>0.56699999999999995</v>
      </c>
      <c r="K70" s="21">
        <v>0.4</v>
      </c>
      <c r="L70" s="21">
        <v>0.89500000000000002</v>
      </c>
      <c r="M70" s="21">
        <v>1</v>
      </c>
      <c r="N70" s="21">
        <v>0.4</v>
      </c>
      <c r="O70" s="21">
        <v>0.3</v>
      </c>
      <c r="P70" s="21">
        <v>0.3</v>
      </c>
      <c r="Q70" s="21">
        <v>0.2</v>
      </c>
      <c r="R70" s="21">
        <v>0.7</v>
      </c>
      <c r="S70" s="21">
        <v>2.6</v>
      </c>
      <c r="T70" s="21">
        <v>2</v>
      </c>
      <c r="U70" s="21">
        <v>2.2000000000000002</v>
      </c>
      <c r="V70" s="21">
        <v>15.5</v>
      </c>
      <c r="W70" s="21">
        <v>0.153</v>
      </c>
      <c r="X70" s="4">
        <v>-0.1</v>
      </c>
    </row>
    <row r="71" spans="1:24" x14ac:dyDescent="0.35">
      <c r="A71" s="21">
        <v>38</v>
      </c>
      <c r="B71" s="21">
        <v>60</v>
      </c>
      <c r="C71" s="21">
        <v>27.7</v>
      </c>
      <c r="D71" s="21">
        <v>7.7</v>
      </c>
      <c r="E71" s="21">
        <v>0.42299999999999999</v>
      </c>
      <c r="F71" s="21">
        <v>5.2</v>
      </c>
      <c r="G71" s="21">
        <v>0.36299999999999999</v>
      </c>
      <c r="H71" s="21">
        <v>2.5</v>
      </c>
      <c r="I71" s="21">
        <v>0.55100000000000005</v>
      </c>
      <c r="J71" s="21">
        <v>0.54700000000000004</v>
      </c>
      <c r="K71" s="21">
        <v>0.6</v>
      </c>
      <c r="L71" s="21">
        <v>0.89500000000000002</v>
      </c>
      <c r="M71" s="21">
        <v>6.2</v>
      </c>
      <c r="N71" s="21">
        <v>2.1</v>
      </c>
      <c r="O71" s="21">
        <v>0.6</v>
      </c>
      <c r="P71" s="21">
        <v>0.9</v>
      </c>
      <c r="Q71" s="21">
        <v>0.8</v>
      </c>
      <c r="R71" s="21">
        <v>1.4</v>
      </c>
      <c r="S71" s="21">
        <v>9</v>
      </c>
      <c r="T71" s="21">
        <v>17</v>
      </c>
      <c r="U71" s="21">
        <v>1.2</v>
      </c>
      <c r="V71" s="21">
        <v>12.9</v>
      </c>
      <c r="W71" s="21">
        <v>0.129</v>
      </c>
      <c r="X71" s="4">
        <v>1</v>
      </c>
    </row>
    <row r="72" spans="1:24" x14ac:dyDescent="0.35">
      <c r="A72" s="21">
        <v>26</v>
      </c>
      <c r="B72" s="21">
        <v>69</v>
      </c>
      <c r="C72" s="21">
        <v>32</v>
      </c>
      <c r="D72" s="21">
        <v>14.8</v>
      </c>
      <c r="E72" s="21">
        <v>0.48399999999999999</v>
      </c>
      <c r="F72" s="21">
        <v>6.1</v>
      </c>
      <c r="G72" s="21">
        <v>0.39200000000000002</v>
      </c>
      <c r="H72" s="21">
        <v>8.6999999999999993</v>
      </c>
      <c r="I72" s="21">
        <v>0.54800000000000004</v>
      </c>
      <c r="J72" s="21">
        <v>0.56499999999999995</v>
      </c>
      <c r="K72" s="21">
        <v>2.9</v>
      </c>
      <c r="L72" s="21">
        <v>0.89400000000000002</v>
      </c>
      <c r="M72" s="21">
        <v>6.1</v>
      </c>
      <c r="N72" s="21">
        <v>5.3</v>
      </c>
      <c r="O72" s="21">
        <v>1.2</v>
      </c>
      <c r="P72" s="21">
        <v>0.4</v>
      </c>
      <c r="Q72" s="21">
        <v>2.4</v>
      </c>
      <c r="R72" s="21">
        <v>2.4</v>
      </c>
      <c r="S72" s="21">
        <v>19.2</v>
      </c>
      <c r="T72" s="21">
        <v>4</v>
      </c>
      <c r="U72" s="21">
        <v>3.2</v>
      </c>
      <c r="V72" s="21">
        <v>17.899999999999999</v>
      </c>
      <c r="W72" s="21">
        <v>0.14199999999999999</v>
      </c>
      <c r="X72" s="4">
        <v>-0.2</v>
      </c>
    </row>
    <row r="73" spans="1:24" x14ac:dyDescent="0.35">
      <c r="A73" s="21">
        <v>28</v>
      </c>
      <c r="B73" s="21">
        <v>75</v>
      </c>
      <c r="C73" s="21">
        <v>37.299999999999997</v>
      </c>
      <c r="D73" s="21">
        <v>18.899999999999999</v>
      </c>
      <c r="E73" s="21">
        <v>0.46100000000000002</v>
      </c>
      <c r="F73" s="21">
        <v>7.3</v>
      </c>
      <c r="G73" s="21">
        <v>0.33200000000000002</v>
      </c>
      <c r="H73" s="21">
        <v>11.6</v>
      </c>
      <c r="I73" s="21">
        <v>0.54200000000000004</v>
      </c>
      <c r="J73" s="21">
        <v>0.52500000000000002</v>
      </c>
      <c r="K73" s="21">
        <v>6.4</v>
      </c>
      <c r="L73" s="21">
        <v>0.89400000000000002</v>
      </c>
      <c r="M73" s="21">
        <v>4.0999999999999996</v>
      </c>
      <c r="N73" s="21">
        <v>7.1</v>
      </c>
      <c r="O73" s="21">
        <v>0.9</v>
      </c>
      <c r="P73" s="21">
        <v>0.2</v>
      </c>
      <c r="Q73" s="21">
        <v>2.9</v>
      </c>
      <c r="R73" s="21">
        <v>2.6</v>
      </c>
      <c r="S73" s="21">
        <v>25.6</v>
      </c>
      <c r="T73" s="21">
        <v>9</v>
      </c>
      <c r="U73" s="21">
        <v>0.4</v>
      </c>
      <c r="V73" s="21">
        <v>19.3</v>
      </c>
      <c r="W73" s="21">
        <v>0.111</v>
      </c>
      <c r="X73" s="4">
        <v>0.1</v>
      </c>
    </row>
    <row r="74" spans="1:24" x14ac:dyDescent="0.35">
      <c r="A74" s="21">
        <v>28</v>
      </c>
      <c r="B74" s="21">
        <v>57</v>
      </c>
      <c r="C74" s="21">
        <v>31.6</v>
      </c>
      <c r="D74" s="21">
        <v>13.1</v>
      </c>
      <c r="E74" s="21">
        <v>0.47499999999999998</v>
      </c>
      <c r="F74" s="21">
        <v>7.2</v>
      </c>
      <c r="G74" s="21">
        <v>0.39</v>
      </c>
      <c r="H74" s="21">
        <v>5.9</v>
      </c>
      <c r="I74" s="21">
        <v>0.57799999999999996</v>
      </c>
      <c r="J74" s="21">
        <v>0.58199999999999996</v>
      </c>
      <c r="K74" s="21">
        <v>3.9</v>
      </c>
      <c r="L74" s="21">
        <v>0.89300000000000002</v>
      </c>
      <c r="M74" s="21">
        <v>4.3</v>
      </c>
      <c r="N74" s="21">
        <v>3.4</v>
      </c>
      <c r="O74" s="21">
        <v>0.9</v>
      </c>
      <c r="P74" s="21">
        <v>0.4</v>
      </c>
      <c r="Q74" s="21">
        <v>1.7</v>
      </c>
      <c r="R74" s="21">
        <v>1.8</v>
      </c>
      <c r="S74" s="21">
        <v>18.8</v>
      </c>
      <c r="T74" s="21">
        <v>5</v>
      </c>
      <c r="U74" s="21">
        <v>3.1</v>
      </c>
      <c r="V74" s="21">
        <v>18.2</v>
      </c>
      <c r="W74" s="21">
        <v>0.13700000000000001</v>
      </c>
      <c r="X74" s="4">
        <v>0.1</v>
      </c>
    </row>
    <row r="75" spans="1:24" x14ac:dyDescent="0.35">
      <c r="A75" s="21">
        <v>27</v>
      </c>
      <c r="B75" s="21">
        <v>72</v>
      </c>
      <c r="C75" s="21">
        <v>24.3</v>
      </c>
      <c r="D75" s="21">
        <v>7.1</v>
      </c>
      <c r="E75" s="21">
        <v>0.47099999999999997</v>
      </c>
      <c r="F75" s="21">
        <v>3.4</v>
      </c>
      <c r="G75" s="21">
        <v>0.40899999999999997</v>
      </c>
      <c r="H75" s="21">
        <v>3.7</v>
      </c>
      <c r="I75" s="21">
        <v>0.52900000000000003</v>
      </c>
      <c r="J75" s="21">
        <v>0.56999999999999995</v>
      </c>
      <c r="K75" s="21">
        <v>1.8</v>
      </c>
      <c r="L75" s="21">
        <v>0.89100000000000001</v>
      </c>
      <c r="M75" s="21">
        <v>2.2000000000000002</v>
      </c>
      <c r="N75" s="21">
        <v>1.1000000000000001</v>
      </c>
      <c r="O75" s="21">
        <v>0.6</v>
      </c>
      <c r="P75" s="21">
        <v>0.1</v>
      </c>
      <c r="Q75" s="21">
        <v>0.6</v>
      </c>
      <c r="R75" s="21">
        <v>1.7</v>
      </c>
      <c r="S75" s="21">
        <v>9.6999999999999993</v>
      </c>
      <c r="T75" s="21">
        <v>5</v>
      </c>
      <c r="U75" s="21">
        <v>-1.7</v>
      </c>
      <c r="V75" s="21">
        <v>11.2</v>
      </c>
      <c r="W75" s="21">
        <v>0.111</v>
      </c>
      <c r="X75" s="4">
        <v>-0.3</v>
      </c>
    </row>
    <row r="76" spans="1:24" x14ac:dyDescent="0.35">
      <c r="A76" s="21">
        <v>21</v>
      </c>
      <c r="B76" s="21">
        <v>71</v>
      </c>
      <c r="C76" s="21">
        <v>20.2</v>
      </c>
      <c r="D76" s="21">
        <v>8.4</v>
      </c>
      <c r="E76" s="21">
        <v>0.45900000000000002</v>
      </c>
      <c r="F76" s="21">
        <v>5.2</v>
      </c>
      <c r="G76" s="21">
        <v>0.42199999999999999</v>
      </c>
      <c r="H76" s="21">
        <v>3.2</v>
      </c>
      <c r="I76" s="21">
        <v>0.52</v>
      </c>
      <c r="J76" s="21">
        <v>0.59</v>
      </c>
      <c r="K76" s="21">
        <v>1</v>
      </c>
      <c r="L76" s="21">
        <v>0.89</v>
      </c>
      <c r="M76" s="21">
        <v>3</v>
      </c>
      <c r="N76" s="21">
        <v>1.5</v>
      </c>
      <c r="O76" s="21">
        <v>0.6</v>
      </c>
      <c r="P76" s="21">
        <v>0.1</v>
      </c>
      <c r="Q76" s="21">
        <v>1.5</v>
      </c>
      <c r="R76" s="21">
        <v>1.6</v>
      </c>
      <c r="S76" s="21">
        <v>10.9</v>
      </c>
      <c r="T76" s="21">
        <v>1</v>
      </c>
      <c r="U76" s="21">
        <v>-1.2</v>
      </c>
      <c r="V76" s="21">
        <v>13.4</v>
      </c>
      <c r="W76" s="21">
        <v>4.2000000000000003E-2</v>
      </c>
      <c r="X76" s="4">
        <v>1.2</v>
      </c>
    </row>
    <row r="77" spans="1:24" x14ac:dyDescent="0.35">
      <c r="A77" s="21">
        <v>23</v>
      </c>
      <c r="B77" s="21">
        <v>59</v>
      </c>
      <c r="C77" s="21">
        <v>17.7</v>
      </c>
      <c r="D77" s="21">
        <v>5.9</v>
      </c>
      <c r="E77" s="21">
        <v>0.42899999999999999</v>
      </c>
      <c r="F77" s="21">
        <v>4.4000000000000004</v>
      </c>
      <c r="G77" s="21">
        <v>0.40500000000000003</v>
      </c>
      <c r="H77" s="21">
        <v>1.5</v>
      </c>
      <c r="I77" s="21">
        <v>0.5</v>
      </c>
      <c r="J77" s="21">
        <v>0.58099999999999996</v>
      </c>
      <c r="K77" s="21">
        <v>0.3</v>
      </c>
      <c r="L77" s="21">
        <v>0.88900000000000001</v>
      </c>
      <c r="M77" s="21">
        <v>2.7</v>
      </c>
      <c r="N77" s="21">
        <v>0.9</v>
      </c>
      <c r="O77" s="21">
        <v>0.3</v>
      </c>
      <c r="P77" s="21">
        <v>0.2</v>
      </c>
      <c r="Q77" s="21">
        <v>0.5</v>
      </c>
      <c r="R77" s="21">
        <v>1.6</v>
      </c>
      <c r="S77" s="21">
        <v>7.1</v>
      </c>
      <c r="T77" s="21">
        <v>0</v>
      </c>
      <c r="U77" s="21">
        <v>-2.2999999999999998</v>
      </c>
      <c r="V77" s="21">
        <v>10.7</v>
      </c>
      <c r="W77" s="21">
        <v>7.9000000000000001E-2</v>
      </c>
      <c r="X77" s="4">
        <v>-0.6</v>
      </c>
    </row>
    <row r="78" spans="1:24" x14ac:dyDescent="0.35">
      <c r="A78" s="21">
        <v>23</v>
      </c>
      <c r="B78" s="21">
        <v>63</v>
      </c>
      <c r="C78" s="21">
        <v>19.5</v>
      </c>
      <c r="D78" s="21">
        <v>4.5999999999999996</v>
      </c>
      <c r="E78" s="21">
        <v>0.41799999999999998</v>
      </c>
      <c r="F78" s="21">
        <v>3.2</v>
      </c>
      <c r="G78" s="21">
        <v>0.34200000000000003</v>
      </c>
      <c r="H78" s="21">
        <v>1.4</v>
      </c>
      <c r="I78" s="21">
        <v>0.59099999999999997</v>
      </c>
      <c r="J78" s="21">
        <v>0.53700000000000003</v>
      </c>
      <c r="K78" s="21">
        <v>0.4</v>
      </c>
      <c r="L78" s="21">
        <v>0.88900000000000001</v>
      </c>
      <c r="M78" s="21">
        <v>2.8</v>
      </c>
      <c r="N78" s="21">
        <v>1.3</v>
      </c>
      <c r="O78" s="21">
        <v>0.6</v>
      </c>
      <c r="P78" s="21">
        <v>0.2</v>
      </c>
      <c r="Q78" s="21">
        <v>0.3</v>
      </c>
      <c r="R78" s="21">
        <v>2</v>
      </c>
      <c r="S78" s="21">
        <v>5.3</v>
      </c>
      <c r="T78" s="21">
        <v>1</v>
      </c>
      <c r="U78" s="21">
        <v>-2</v>
      </c>
      <c r="V78" s="21">
        <v>9.1999999999999993</v>
      </c>
      <c r="W78" s="21">
        <v>8.1000000000000003E-2</v>
      </c>
      <c r="X78" s="4">
        <v>0</v>
      </c>
    </row>
    <row r="79" spans="1:24" x14ac:dyDescent="0.35">
      <c r="A79" s="21">
        <v>30</v>
      </c>
      <c r="B79" s="21">
        <v>74</v>
      </c>
      <c r="C79" s="21">
        <v>24.1</v>
      </c>
      <c r="D79" s="21">
        <v>9</v>
      </c>
      <c r="E79" s="21">
        <v>0.437</v>
      </c>
      <c r="F79" s="21">
        <v>6.5</v>
      </c>
      <c r="G79" s="21">
        <v>0.39300000000000002</v>
      </c>
      <c r="H79" s="21">
        <v>2.4</v>
      </c>
      <c r="I79" s="21">
        <v>0.55600000000000005</v>
      </c>
      <c r="J79" s="21">
        <v>0.58099999999999996</v>
      </c>
      <c r="K79" s="21">
        <v>0.7</v>
      </c>
      <c r="L79" s="21">
        <v>0.88700000000000001</v>
      </c>
      <c r="M79" s="21">
        <v>2.2999999999999998</v>
      </c>
      <c r="N79" s="21">
        <v>2.4</v>
      </c>
      <c r="O79" s="21">
        <v>0.5</v>
      </c>
      <c r="P79" s="21">
        <v>0.1</v>
      </c>
      <c r="Q79" s="21">
        <v>1.2</v>
      </c>
      <c r="R79" s="21">
        <v>1.8</v>
      </c>
      <c r="S79" s="21">
        <v>11</v>
      </c>
      <c r="T79" s="21">
        <v>6</v>
      </c>
      <c r="U79" s="21">
        <v>-1.7</v>
      </c>
      <c r="V79" s="21">
        <v>11.8</v>
      </c>
      <c r="W79" s="21">
        <v>7.0999999999999994E-2</v>
      </c>
      <c r="X79" s="4">
        <v>0.1</v>
      </c>
    </row>
    <row r="80" spans="1:24" x14ac:dyDescent="0.35">
      <c r="A80" s="21">
        <v>24</v>
      </c>
      <c r="B80" s="21">
        <v>53</v>
      </c>
      <c r="C80" s="21">
        <v>35</v>
      </c>
      <c r="D80" s="21">
        <v>15.8</v>
      </c>
      <c r="E80" s="21">
        <v>0.45400000000000001</v>
      </c>
      <c r="F80" s="21">
        <v>8.3000000000000007</v>
      </c>
      <c r="G80" s="21">
        <v>0.36099999999999999</v>
      </c>
      <c r="H80" s="21">
        <v>7.6</v>
      </c>
      <c r="I80" s="21">
        <v>0.55600000000000005</v>
      </c>
      <c r="J80" s="21">
        <v>0.54800000000000004</v>
      </c>
      <c r="K80" s="21">
        <v>4.3</v>
      </c>
      <c r="L80" s="21">
        <v>0.88700000000000001</v>
      </c>
      <c r="M80" s="21">
        <v>5.0999999999999996</v>
      </c>
      <c r="N80" s="21">
        <v>3.5</v>
      </c>
      <c r="O80" s="21">
        <v>1.1000000000000001</v>
      </c>
      <c r="P80" s="21">
        <v>0.7</v>
      </c>
      <c r="Q80" s="21">
        <v>1.9</v>
      </c>
      <c r="R80" s="21">
        <v>2.1</v>
      </c>
      <c r="S80" s="21">
        <v>21.2</v>
      </c>
      <c r="T80" s="21">
        <v>3</v>
      </c>
      <c r="U80" s="21">
        <v>0.8</v>
      </c>
      <c r="V80" s="21">
        <v>17.3</v>
      </c>
      <c r="W80" s="21">
        <v>9.0999999999999998E-2</v>
      </c>
      <c r="X80" s="4">
        <v>-0.1</v>
      </c>
    </row>
    <row r="81" spans="1:24" x14ac:dyDescent="0.35">
      <c r="A81" s="21">
        <v>27</v>
      </c>
      <c r="B81" s="21">
        <v>67</v>
      </c>
      <c r="C81" s="21">
        <v>36.1</v>
      </c>
      <c r="D81" s="21">
        <v>16.7</v>
      </c>
      <c r="E81" s="21">
        <v>0.47399999999999998</v>
      </c>
      <c r="F81" s="21">
        <v>5.9</v>
      </c>
      <c r="G81" s="21">
        <v>0.39300000000000002</v>
      </c>
      <c r="H81" s="21">
        <v>10.8</v>
      </c>
      <c r="I81" s="21">
        <v>0.51800000000000002</v>
      </c>
      <c r="J81" s="21">
        <v>0.54300000000000004</v>
      </c>
      <c r="K81" s="21">
        <v>3.7</v>
      </c>
      <c r="L81" s="21">
        <v>0.88600000000000001</v>
      </c>
      <c r="M81" s="21">
        <v>3.9</v>
      </c>
      <c r="N81" s="21">
        <v>6</v>
      </c>
      <c r="O81" s="21">
        <v>1.4</v>
      </c>
      <c r="P81" s="21">
        <v>0.5</v>
      </c>
      <c r="Q81" s="21">
        <v>2.1</v>
      </c>
      <c r="R81" s="21">
        <v>1.9</v>
      </c>
      <c r="S81" s="21">
        <v>21.4</v>
      </c>
      <c r="T81" s="21">
        <v>8</v>
      </c>
      <c r="U81" s="21">
        <v>0.8</v>
      </c>
      <c r="V81" s="21">
        <v>17.8</v>
      </c>
      <c r="W81" s="21">
        <v>0.123</v>
      </c>
      <c r="X81" s="4">
        <v>-0.1</v>
      </c>
    </row>
    <row r="82" spans="1:24" x14ac:dyDescent="0.35">
      <c r="A82" s="21">
        <v>27</v>
      </c>
      <c r="B82" s="21">
        <v>64</v>
      </c>
      <c r="C82" s="21">
        <v>15.3</v>
      </c>
      <c r="D82" s="21">
        <v>4.7</v>
      </c>
      <c r="E82" s="21">
        <v>0.50700000000000001</v>
      </c>
      <c r="F82" s="21">
        <v>1.7</v>
      </c>
      <c r="G82" s="21">
        <v>0.30199999999999999</v>
      </c>
      <c r="H82" s="21">
        <v>3.1</v>
      </c>
      <c r="I82" s="21">
        <v>0.61699999999999999</v>
      </c>
      <c r="J82" s="21">
        <v>0.56000000000000005</v>
      </c>
      <c r="K82" s="21">
        <v>1.2</v>
      </c>
      <c r="L82" s="21">
        <v>0.88500000000000001</v>
      </c>
      <c r="M82" s="21">
        <v>4.5</v>
      </c>
      <c r="N82" s="21">
        <v>1.7</v>
      </c>
      <c r="O82" s="21">
        <v>0.5</v>
      </c>
      <c r="P82" s="21">
        <v>0.5</v>
      </c>
      <c r="Q82" s="21">
        <v>0.9</v>
      </c>
      <c r="R82" s="21">
        <v>2.1</v>
      </c>
      <c r="S82" s="21">
        <v>6.4</v>
      </c>
      <c r="T82" s="21">
        <v>7</v>
      </c>
      <c r="U82" s="21">
        <v>0</v>
      </c>
      <c r="V82" s="21">
        <v>16</v>
      </c>
      <c r="W82" s="21">
        <v>0.13200000000000001</v>
      </c>
      <c r="X82" s="4">
        <v>0</v>
      </c>
    </row>
    <row r="83" spans="1:24" x14ac:dyDescent="0.35">
      <c r="A83" s="21">
        <v>24</v>
      </c>
      <c r="B83" s="21">
        <v>24</v>
      </c>
      <c r="C83" s="21">
        <v>10</v>
      </c>
      <c r="D83" s="21">
        <v>4.9000000000000004</v>
      </c>
      <c r="E83" s="21">
        <v>0.39800000000000002</v>
      </c>
      <c r="F83" s="21">
        <v>3.4</v>
      </c>
      <c r="G83" s="21">
        <v>0.39</v>
      </c>
      <c r="H83" s="21">
        <v>1.5</v>
      </c>
      <c r="I83" s="21">
        <v>0.41699999999999998</v>
      </c>
      <c r="J83" s="21">
        <v>0.53400000000000003</v>
      </c>
      <c r="K83" s="21">
        <v>1.1000000000000001</v>
      </c>
      <c r="L83" s="21">
        <v>0.88500000000000001</v>
      </c>
      <c r="M83" s="21">
        <v>1</v>
      </c>
      <c r="N83" s="21">
        <v>1.3</v>
      </c>
      <c r="O83" s="21">
        <v>0.8</v>
      </c>
      <c r="P83" s="21">
        <v>0.2</v>
      </c>
      <c r="Q83" s="21">
        <v>1</v>
      </c>
      <c r="R83" s="21">
        <v>1.2</v>
      </c>
      <c r="S83" s="21">
        <v>6.2</v>
      </c>
      <c r="T83" s="21">
        <v>3</v>
      </c>
      <c r="U83" s="21">
        <v>2.7</v>
      </c>
      <c r="V83" s="21">
        <v>16</v>
      </c>
      <c r="W83" s="21">
        <v>9.5000000000000001E-2</v>
      </c>
      <c r="X83" s="4">
        <v>-0.1</v>
      </c>
    </row>
    <row r="84" spans="1:24" x14ac:dyDescent="0.35">
      <c r="A84" s="21">
        <v>25</v>
      </c>
      <c r="B84" s="21">
        <v>68</v>
      </c>
      <c r="C84" s="21">
        <v>29.4</v>
      </c>
      <c r="D84" s="21">
        <v>15.5</v>
      </c>
      <c r="E84" s="21">
        <v>0.432</v>
      </c>
      <c r="F84" s="21">
        <v>9.1</v>
      </c>
      <c r="G84" s="21">
        <v>0.378</v>
      </c>
      <c r="H84" s="21">
        <v>6.4</v>
      </c>
      <c r="I84" s="21">
        <v>0.51</v>
      </c>
      <c r="J84" s="21">
        <v>0.54400000000000004</v>
      </c>
      <c r="K84" s="21">
        <v>4</v>
      </c>
      <c r="L84" s="21">
        <v>0.88300000000000001</v>
      </c>
      <c r="M84" s="21">
        <v>3</v>
      </c>
      <c r="N84" s="21">
        <v>4.5</v>
      </c>
      <c r="O84" s="21">
        <v>1.3</v>
      </c>
      <c r="P84" s="21">
        <v>0.4</v>
      </c>
      <c r="Q84" s="21">
        <v>3</v>
      </c>
      <c r="R84" s="21">
        <v>3</v>
      </c>
      <c r="S84" s="21">
        <v>20.5</v>
      </c>
      <c r="T84" s="21">
        <v>5</v>
      </c>
      <c r="U84" s="21">
        <v>0.4</v>
      </c>
      <c r="V84" s="21">
        <v>16.600000000000001</v>
      </c>
      <c r="W84" s="21">
        <v>4.7E-2</v>
      </c>
      <c r="X84" s="4">
        <v>0.8</v>
      </c>
    </row>
    <row r="85" spans="1:24" x14ac:dyDescent="0.35">
      <c r="A85" s="21">
        <v>27</v>
      </c>
      <c r="B85" s="21">
        <v>20</v>
      </c>
      <c r="C85" s="21">
        <v>17.600000000000001</v>
      </c>
      <c r="D85" s="21">
        <v>3.9</v>
      </c>
      <c r="E85" s="21">
        <v>0.64100000000000001</v>
      </c>
      <c r="F85" s="21">
        <v>0.2</v>
      </c>
      <c r="G85" s="21">
        <v>0.33300000000000002</v>
      </c>
      <c r="H85" s="21">
        <v>3.8</v>
      </c>
      <c r="I85" s="21">
        <v>0.65300000000000002</v>
      </c>
      <c r="J85" s="21">
        <v>0.64700000000000002</v>
      </c>
      <c r="K85" s="21">
        <v>0.9</v>
      </c>
      <c r="L85" s="21">
        <v>0.88200000000000001</v>
      </c>
      <c r="M85" s="21">
        <v>5.9</v>
      </c>
      <c r="N85" s="21">
        <v>1.1000000000000001</v>
      </c>
      <c r="O85" s="21">
        <v>0.7</v>
      </c>
      <c r="P85" s="21">
        <v>1.7</v>
      </c>
      <c r="Q85" s="21">
        <v>0.9</v>
      </c>
      <c r="R85" s="21">
        <v>1.6</v>
      </c>
      <c r="S85" s="21">
        <v>5.8</v>
      </c>
      <c r="T85" s="21">
        <v>6</v>
      </c>
      <c r="U85" s="21">
        <v>3</v>
      </c>
      <c r="V85" s="21">
        <v>18.899999999999999</v>
      </c>
      <c r="W85" s="21">
        <v>0.17499999999999999</v>
      </c>
      <c r="X85" s="4">
        <v>-0.1</v>
      </c>
    </row>
    <row r="86" spans="1:24" x14ac:dyDescent="0.35">
      <c r="A86" s="21">
        <v>22</v>
      </c>
      <c r="B86" s="21">
        <v>58</v>
      </c>
      <c r="C86" s="21">
        <v>13.6</v>
      </c>
      <c r="D86" s="21">
        <v>3.3</v>
      </c>
      <c r="E86" s="21">
        <v>0.42099999999999999</v>
      </c>
      <c r="F86" s="21">
        <v>2.8</v>
      </c>
      <c r="G86" s="21">
        <v>0.4</v>
      </c>
      <c r="H86" s="21">
        <v>0.5</v>
      </c>
      <c r="I86" s="21">
        <v>0.53300000000000003</v>
      </c>
      <c r="J86" s="21">
        <v>0.58899999999999997</v>
      </c>
      <c r="K86" s="21">
        <v>0.3</v>
      </c>
      <c r="L86" s="21">
        <v>0.88200000000000001</v>
      </c>
      <c r="M86" s="21">
        <v>1.3</v>
      </c>
      <c r="N86" s="21">
        <v>0.6</v>
      </c>
      <c r="O86" s="21">
        <v>0.4</v>
      </c>
      <c r="P86" s="21">
        <v>0.1</v>
      </c>
      <c r="Q86" s="21">
        <v>0.2</v>
      </c>
      <c r="R86" s="21">
        <v>1.1000000000000001</v>
      </c>
      <c r="S86" s="21">
        <v>4.0999999999999996</v>
      </c>
      <c r="T86" s="21">
        <v>2</v>
      </c>
      <c r="U86" s="21">
        <v>-2.2000000000000002</v>
      </c>
      <c r="V86" s="21">
        <v>9.4</v>
      </c>
      <c r="W86" s="21">
        <v>0.109</v>
      </c>
      <c r="X86" s="4">
        <v>0.2</v>
      </c>
    </row>
    <row r="87" spans="1:24" x14ac:dyDescent="0.35">
      <c r="A87" s="21">
        <v>23</v>
      </c>
      <c r="B87" s="21">
        <v>35</v>
      </c>
      <c r="C87" s="21">
        <v>28.6</v>
      </c>
      <c r="D87" s="21">
        <v>13.7</v>
      </c>
      <c r="E87" s="21">
        <v>0.41</v>
      </c>
      <c r="F87" s="21">
        <v>6.9</v>
      </c>
      <c r="G87" s="21">
        <v>0.314</v>
      </c>
      <c r="H87" s="21">
        <v>6.8</v>
      </c>
      <c r="I87" s="21">
        <v>0.50600000000000001</v>
      </c>
      <c r="J87" s="21">
        <v>0.48899999999999999</v>
      </c>
      <c r="K87" s="21">
        <v>3.1</v>
      </c>
      <c r="L87" s="21">
        <v>0.88200000000000001</v>
      </c>
      <c r="M87" s="21">
        <v>4</v>
      </c>
      <c r="N87" s="21">
        <v>3.7</v>
      </c>
      <c r="O87" s="21">
        <v>1.5</v>
      </c>
      <c r="P87" s="21">
        <v>0.9</v>
      </c>
      <c r="Q87" s="21">
        <v>2.9</v>
      </c>
      <c r="R87" s="21">
        <v>2.8</v>
      </c>
      <c r="S87" s="21">
        <v>16.2</v>
      </c>
      <c r="T87" s="21">
        <v>3</v>
      </c>
      <c r="U87" s="21">
        <v>0.4</v>
      </c>
      <c r="V87" s="21">
        <v>14.4</v>
      </c>
      <c r="W87" s="21">
        <v>5.1999999999999998E-2</v>
      </c>
      <c r="X87" s="4">
        <v>0</v>
      </c>
    </row>
    <row r="88" spans="1:24" x14ac:dyDescent="0.35">
      <c r="A88" s="21">
        <v>30</v>
      </c>
      <c r="B88" s="21">
        <v>19</v>
      </c>
      <c r="C88" s="21">
        <v>30.2</v>
      </c>
      <c r="D88" s="21">
        <v>16.600000000000001</v>
      </c>
      <c r="E88" s="21">
        <v>0.44400000000000001</v>
      </c>
      <c r="F88" s="21">
        <v>4.0999999999999996</v>
      </c>
      <c r="G88" s="21">
        <v>0.29899999999999999</v>
      </c>
      <c r="H88" s="21">
        <v>12.5</v>
      </c>
      <c r="I88" s="21">
        <v>0.49199999999999999</v>
      </c>
      <c r="J88" s="21">
        <v>0.48099999999999998</v>
      </c>
      <c r="K88" s="21">
        <v>8.9</v>
      </c>
      <c r="L88" s="21">
        <v>0.88200000000000001</v>
      </c>
      <c r="M88" s="21">
        <v>8.1999999999999993</v>
      </c>
      <c r="N88" s="21">
        <v>4.5</v>
      </c>
      <c r="O88" s="21">
        <v>0.7</v>
      </c>
      <c r="P88" s="21">
        <v>0.9</v>
      </c>
      <c r="Q88" s="21">
        <v>3.3</v>
      </c>
      <c r="R88" s="21">
        <v>2.2000000000000002</v>
      </c>
      <c r="S88" s="21">
        <v>23.8</v>
      </c>
      <c r="T88" s="21">
        <v>10</v>
      </c>
      <c r="U88" s="21">
        <v>3.5</v>
      </c>
      <c r="V88" s="21">
        <v>23.4</v>
      </c>
      <c r="W88" s="21">
        <v>0.11799999999999999</v>
      </c>
      <c r="X88" s="4">
        <v>0.3</v>
      </c>
    </row>
    <row r="89" spans="1:24" x14ac:dyDescent="0.35">
      <c r="A89" s="21">
        <v>23</v>
      </c>
      <c r="B89" s="21">
        <v>25</v>
      </c>
      <c r="C89" s="21">
        <v>31.2</v>
      </c>
      <c r="D89" s="21">
        <v>18.2</v>
      </c>
      <c r="E89" s="21">
        <v>0.438</v>
      </c>
      <c r="F89" s="21">
        <v>7.8</v>
      </c>
      <c r="G89" s="21">
        <v>0.34899999999999998</v>
      </c>
      <c r="H89" s="21">
        <v>10.4</v>
      </c>
      <c r="I89" s="21">
        <v>0.50600000000000001</v>
      </c>
      <c r="J89" s="21">
        <v>0.51300000000000001</v>
      </c>
      <c r="K89" s="21">
        <v>6</v>
      </c>
      <c r="L89" s="21">
        <v>0.88100000000000001</v>
      </c>
      <c r="M89" s="21">
        <v>3.3</v>
      </c>
      <c r="N89" s="21">
        <v>3.8</v>
      </c>
      <c r="O89" s="21">
        <v>0.6</v>
      </c>
      <c r="P89" s="21">
        <v>0.1</v>
      </c>
      <c r="Q89" s="21">
        <v>2.5</v>
      </c>
      <c r="R89" s="21">
        <v>1.8</v>
      </c>
      <c r="S89" s="21">
        <v>24</v>
      </c>
      <c r="T89" s="21">
        <v>3</v>
      </c>
      <c r="U89" s="21">
        <v>0.3</v>
      </c>
      <c r="V89" s="21">
        <v>18</v>
      </c>
      <c r="W89" s="21">
        <v>7.0999999999999994E-2</v>
      </c>
      <c r="X89" s="4">
        <v>-0.1</v>
      </c>
    </row>
    <row r="90" spans="1:24" x14ac:dyDescent="0.35">
      <c r="A90" s="21">
        <v>25</v>
      </c>
      <c r="B90" s="21">
        <v>14</v>
      </c>
      <c r="C90" s="21">
        <v>16.2</v>
      </c>
      <c r="D90" s="21">
        <v>6.2</v>
      </c>
      <c r="E90" s="21">
        <v>0.48299999999999998</v>
      </c>
      <c r="F90" s="21">
        <v>2.8</v>
      </c>
      <c r="G90" s="21">
        <v>0.308</v>
      </c>
      <c r="H90" s="21">
        <v>3.4</v>
      </c>
      <c r="I90" s="21">
        <v>0.625</v>
      </c>
      <c r="J90" s="21">
        <v>0.55200000000000005</v>
      </c>
      <c r="K90" s="21">
        <v>1.8</v>
      </c>
      <c r="L90" s="21">
        <v>0.88</v>
      </c>
      <c r="M90" s="21">
        <v>3</v>
      </c>
      <c r="N90" s="21">
        <v>1.1000000000000001</v>
      </c>
      <c r="O90" s="21">
        <v>0.7</v>
      </c>
      <c r="P90" s="21">
        <v>0.1</v>
      </c>
      <c r="Q90" s="21">
        <v>0.6</v>
      </c>
      <c r="R90" s="21">
        <v>1.4</v>
      </c>
      <c r="S90" s="21">
        <v>8.4</v>
      </c>
      <c r="T90" s="21">
        <v>2</v>
      </c>
      <c r="U90" s="21">
        <v>-0.5</v>
      </c>
      <c r="V90" s="21">
        <v>16.399999999999999</v>
      </c>
      <c r="W90" s="21">
        <v>0.13100000000000001</v>
      </c>
      <c r="X90" s="4">
        <v>-0.1</v>
      </c>
    </row>
    <row r="91" spans="1:24" x14ac:dyDescent="0.35">
      <c r="A91" s="21">
        <v>32</v>
      </c>
      <c r="B91" s="21">
        <v>24</v>
      </c>
      <c r="C91" s="21">
        <v>23.5</v>
      </c>
      <c r="D91" s="21">
        <v>10</v>
      </c>
      <c r="E91" s="21">
        <v>0.433</v>
      </c>
      <c r="F91" s="21">
        <v>2.2999999999999998</v>
      </c>
      <c r="G91" s="21">
        <v>0.28599999999999998</v>
      </c>
      <c r="H91" s="21">
        <v>7.7</v>
      </c>
      <c r="I91" s="21">
        <v>0.47799999999999998</v>
      </c>
      <c r="J91" s="21">
        <v>0.46700000000000003</v>
      </c>
      <c r="K91" s="21">
        <v>3.8</v>
      </c>
      <c r="L91" s="21">
        <v>0.88</v>
      </c>
      <c r="M91" s="21">
        <v>3.8</v>
      </c>
      <c r="N91" s="21">
        <v>4.0999999999999996</v>
      </c>
      <c r="O91" s="21">
        <v>0.5</v>
      </c>
      <c r="P91" s="21">
        <v>0.2</v>
      </c>
      <c r="Q91" s="21">
        <v>1.6</v>
      </c>
      <c r="R91" s="21">
        <v>1.3</v>
      </c>
      <c r="S91" s="21">
        <v>12.7</v>
      </c>
      <c r="T91" s="21">
        <v>8</v>
      </c>
      <c r="U91" s="21">
        <v>-1.5</v>
      </c>
      <c r="V91" s="21">
        <v>15.8</v>
      </c>
      <c r="W91" s="21">
        <v>6.0999999999999999E-2</v>
      </c>
      <c r="X91" s="4">
        <v>-0.1</v>
      </c>
    </row>
    <row r="92" spans="1:24" x14ac:dyDescent="0.35">
      <c r="A92" s="21">
        <v>32</v>
      </c>
      <c r="B92" s="21">
        <v>81</v>
      </c>
      <c r="C92" s="21">
        <v>18.8</v>
      </c>
      <c r="D92" s="21">
        <v>7.7</v>
      </c>
      <c r="E92" s="21">
        <v>0.55000000000000004</v>
      </c>
      <c r="F92" s="21">
        <v>0.5</v>
      </c>
      <c r="G92" s="21">
        <v>0.216</v>
      </c>
      <c r="H92" s="21">
        <v>7.3</v>
      </c>
      <c r="I92" s="21">
        <v>0.57099999999999995</v>
      </c>
      <c r="J92" s="21">
        <v>0.55700000000000005</v>
      </c>
      <c r="K92" s="21">
        <v>2</v>
      </c>
      <c r="L92" s="21">
        <v>0.879</v>
      </c>
      <c r="M92" s="21">
        <v>7.7</v>
      </c>
      <c r="N92" s="21">
        <v>2</v>
      </c>
      <c r="O92" s="21">
        <v>0.5</v>
      </c>
      <c r="P92" s="21">
        <v>0.6</v>
      </c>
      <c r="Q92" s="21">
        <v>1.5</v>
      </c>
      <c r="R92" s="21">
        <v>2.2000000000000002</v>
      </c>
      <c r="S92" s="21">
        <v>10.4</v>
      </c>
      <c r="T92" s="21">
        <v>12</v>
      </c>
      <c r="U92" s="21">
        <v>0.6</v>
      </c>
      <c r="V92" s="21">
        <v>20.8</v>
      </c>
      <c r="W92" s="21">
        <v>0.13700000000000001</v>
      </c>
      <c r="X92" s="4">
        <v>-0.6</v>
      </c>
    </row>
    <row r="93" spans="1:24" x14ac:dyDescent="0.35">
      <c r="A93" s="21">
        <v>32</v>
      </c>
      <c r="B93" s="21">
        <v>54</v>
      </c>
      <c r="C93" s="21">
        <v>25</v>
      </c>
      <c r="D93" s="21">
        <v>9.1</v>
      </c>
      <c r="E93" s="21">
        <v>0.42699999999999999</v>
      </c>
      <c r="F93" s="21">
        <v>5.4</v>
      </c>
      <c r="G93" s="21">
        <v>0.36299999999999999</v>
      </c>
      <c r="H93" s="21">
        <v>3.8</v>
      </c>
      <c r="I93" s="21">
        <v>0.51700000000000002</v>
      </c>
      <c r="J93" s="21">
        <v>0.53400000000000003</v>
      </c>
      <c r="K93" s="21">
        <v>1.2</v>
      </c>
      <c r="L93" s="21">
        <v>0.879</v>
      </c>
      <c r="M93" s="21">
        <v>2.9</v>
      </c>
      <c r="N93" s="21">
        <v>2.7</v>
      </c>
      <c r="O93" s="21">
        <v>0.8</v>
      </c>
      <c r="P93" s="21">
        <v>0.2</v>
      </c>
      <c r="Q93" s="21">
        <v>1.4</v>
      </c>
      <c r="R93" s="21">
        <v>2.4</v>
      </c>
      <c r="S93" s="21">
        <v>10.8</v>
      </c>
      <c r="T93" s="21">
        <v>7</v>
      </c>
      <c r="U93" s="21">
        <v>-2</v>
      </c>
      <c r="V93" s="21">
        <v>11.1</v>
      </c>
      <c r="W93" s="21">
        <v>6.9000000000000006E-2</v>
      </c>
      <c r="X93" s="4">
        <v>-0.1</v>
      </c>
    </row>
    <row r="94" spans="1:24" x14ac:dyDescent="0.35">
      <c r="A94" s="21">
        <v>24</v>
      </c>
      <c r="B94" s="21">
        <v>52</v>
      </c>
      <c r="C94" s="21">
        <v>37.700000000000003</v>
      </c>
      <c r="D94" s="21">
        <v>21</v>
      </c>
      <c r="E94" s="21">
        <v>0.437</v>
      </c>
      <c r="F94" s="21">
        <v>9.1999999999999993</v>
      </c>
      <c r="G94" s="21">
        <v>0.33700000000000002</v>
      </c>
      <c r="H94" s="21">
        <v>11.8</v>
      </c>
      <c r="I94" s="21">
        <v>0.51500000000000001</v>
      </c>
      <c r="J94" s="21">
        <v>0.51100000000000001</v>
      </c>
      <c r="K94" s="21">
        <v>5.6</v>
      </c>
      <c r="L94" s="21">
        <v>0.879</v>
      </c>
      <c r="M94" s="21">
        <v>3.3</v>
      </c>
      <c r="N94" s="21">
        <v>6.1</v>
      </c>
      <c r="O94" s="21">
        <v>1.8</v>
      </c>
      <c r="P94" s="21">
        <v>0.4</v>
      </c>
      <c r="Q94" s="21">
        <v>2.4</v>
      </c>
      <c r="R94" s="21">
        <v>2.2000000000000002</v>
      </c>
      <c r="S94" s="21">
        <v>26.3</v>
      </c>
      <c r="T94" s="21">
        <v>4</v>
      </c>
      <c r="U94" s="21">
        <v>2</v>
      </c>
      <c r="V94" s="21">
        <v>19.5</v>
      </c>
      <c r="W94" s="21">
        <v>9.4E-2</v>
      </c>
      <c r="X94" s="4">
        <v>0</v>
      </c>
    </row>
    <row r="95" spans="1:24" x14ac:dyDescent="0.35">
      <c r="A95" s="21">
        <v>25</v>
      </c>
      <c r="B95" s="21">
        <v>77</v>
      </c>
      <c r="C95" s="21">
        <v>35.4</v>
      </c>
      <c r="D95" s="21">
        <v>17.899999999999999</v>
      </c>
      <c r="E95" s="21">
        <v>0.47199999999999998</v>
      </c>
      <c r="F95" s="21">
        <v>8.6999999999999993</v>
      </c>
      <c r="G95" s="21">
        <v>0.375</v>
      </c>
      <c r="H95" s="21">
        <v>9.1999999999999993</v>
      </c>
      <c r="I95" s="21">
        <v>0.56499999999999995</v>
      </c>
      <c r="J95" s="21">
        <v>0.56299999999999994</v>
      </c>
      <c r="K95" s="21">
        <v>4.2</v>
      </c>
      <c r="L95" s="21">
        <v>0.878</v>
      </c>
      <c r="M95" s="21">
        <v>5.2</v>
      </c>
      <c r="N95" s="21">
        <v>5.5</v>
      </c>
      <c r="O95" s="21">
        <v>0.9</v>
      </c>
      <c r="P95" s="21">
        <v>0.2</v>
      </c>
      <c r="Q95" s="21">
        <v>2.6</v>
      </c>
      <c r="R95" s="21">
        <v>1.1000000000000001</v>
      </c>
      <c r="S95" s="21">
        <v>23.9</v>
      </c>
      <c r="T95" s="21">
        <v>5</v>
      </c>
      <c r="U95" s="21">
        <v>3.1</v>
      </c>
      <c r="V95" s="21">
        <v>19.7</v>
      </c>
      <c r="W95" s="21">
        <v>0.13100000000000001</v>
      </c>
      <c r="X95" s="4">
        <v>0</v>
      </c>
    </row>
    <row r="96" spans="1:24" x14ac:dyDescent="0.35">
      <c r="A96" s="21">
        <v>25</v>
      </c>
      <c r="B96" s="21">
        <v>75</v>
      </c>
      <c r="C96" s="21">
        <v>30.7</v>
      </c>
      <c r="D96" s="21">
        <v>15.7</v>
      </c>
      <c r="E96" s="21">
        <v>0.47199999999999998</v>
      </c>
      <c r="F96" s="21">
        <v>7.1</v>
      </c>
      <c r="G96" s="21">
        <v>0.40100000000000002</v>
      </c>
      <c r="H96" s="21">
        <v>8.6</v>
      </c>
      <c r="I96" s="21">
        <v>0.53</v>
      </c>
      <c r="J96" s="21">
        <v>0.56200000000000006</v>
      </c>
      <c r="K96" s="21">
        <v>3.4</v>
      </c>
      <c r="L96" s="21">
        <v>0.878</v>
      </c>
      <c r="M96" s="21">
        <v>2.9</v>
      </c>
      <c r="N96" s="21">
        <v>6.7</v>
      </c>
      <c r="O96" s="21">
        <v>1.2</v>
      </c>
      <c r="P96" s="21">
        <v>0.1</v>
      </c>
      <c r="Q96" s="21">
        <v>2.5</v>
      </c>
      <c r="R96" s="21">
        <v>1.9</v>
      </c>
      <c r="S96" s="21">
        <v>20.6</v>
      </c>
      <c r="T96" s="21">
        <v>5</v>
      </c>
      <c r="U96" s="21">
        <v>3.1</v>
      </c>
      <c r="V96" s="21">
        <v>19.899999999999999</v>
      </c>
      <c r="W96" s="21">
        <v>0.16900000000000001</v>
      </c>
      <c r="X96" s="4">
        <v>-0.2</v>
      </c>
    </row>
    <row r="97" spans="1:24" x14ac:dyDescent="0.35">
      <c r="A97" s="21">
        <v>26</v>
      </c>
      <c r="B97" s="21">
        <v>73</v>
      </c>
      <c r="C97" s="21">
        <v>34.9</v>
      </c>
      <c r="D97" s="21">
        <v>14.2</v>
      </c>
      <c r="E97" s="21">
        <v>0.46</v>
      </c>
      <c r="F97" s="21">
        <v>7.3</v>
      </c>
      <c r="G97" s="21">
        <v>0.377</v>
      </c>
      <c r="H97" s="21">
        <v>6.9</v>
      </c>
      <c r="I97" s="21">
        <v>0.54700000000000004</v>
      </c>
      <c r="J97" s="21">
        <v>0.55600000000000005</v>
      </c>
      <c r="K97" s="21">
        <v>5</v>
      </c>
      <c r="L97" s="21">
        <v>0.877</v>
      </c>
      <c r="M97" s="21">
        <v>4.5</v>
      </c>
      <c r="N97" s="21">
        <v>5.8</v>
      </c>
      <c r="O97" s="21">
        <v>1.1000000000000001</v>
      </c>
      <c r="P97" s="21">
        <v>0.3</v>
      </c>
      <c r="Q97" s="21">
        <v>2.4</v>
      </c>
      <c r="R97" s="21">
        <v>2.1</v>
      </c>
      <c r="S97" s="21">
        <v>20.2</v>
      </c>
      <c r="T97" s="21">
        <v>3</v>
      </c>
      <c r="U97" s="21">
        <v>1.9</v>
      </c>
      <c r="V97" s="21">
        <v>18.100000000000001</v>
      </c>
      <c r="W97" s="21">
        <v>0.14399999999999999</v>
      </c>
      <c r="X97" s="4">
        <v>0.1</v>
      </c>
    </row>
    <row r="98" spans="1:24" x14ac:dyDescent="0.35">
      <c r="A98" s="21">
        <v>27</v>
      </c>
      <c r="B98" s="21">
        <v>47</v>
      </c>
      <c r="C98" s="21">
        <v>31.4</v>
      </c>
      <c r="D98" s="21">
        <v>14.9</v>
      </c>
      <c r="E98" s="21">
        <v>0.42299999999999999</v>
      </c>
      <c r="F98" s="21">
        <v>8.5</v>
      </c>
      <c r="G98" s="21">
        <v>0.34599999999999997</v>
      </c>
      <c r="H98" s="21">
        <v>6.4</v>
      </c>
      <c r="I98" s="21">
        <v>0.52500000000000002</v>
      </c>
      <c r="J98" s="21">
        <v>0.52100000000000002</v>
      </c>
      <c r="K98" s="21">
        <v>3.9</v>
      </c>
      <c r="L98" s="21">
        <v>0.876</v>
      </c>
      <c r="M98" s="21">
        <v>5.9</v>
      </c>
      <c r="N98" s="21">
        <v>1.5</v>
      </c>
      <c r="O98" s="21">
        <v>0.7</v>
      </c>
      <c r="P98" s="21">
        <v>0.4</v>
      </c>
      <c r="Q98" s="21">
        <v>1.4</v>
      </c>
      <c r="R98" s="21">
        <v>1.7</v>
      </c>
      <c r="S98" s="21">
        <v>19</v>
      </c>
      <c r="T98" s="21">
        <v>7</v>
      </c>
      <c r="U98" s="21">
        <v>-0.3</v>
      </c>
      <c r="V98" s="21">
        <v>15.6</v>
      </c>
      <c r="W98" s="21">
        <v>7.0000000000000007E-2</v>
      </c>
      <c r="X98" s="4">
        <v>-0.1</v>
      </c>
    </row>
    <row r="99" spans="1:24" x14ac:dyDescent="0.35">
      <c r="A99" s="21">
        <v>28</v>
      </c>
      <c r="B99" s="21">
        <v>46</v>
      </c>
      <c r="C99" s="21">
        <v>12.1</v>
      </c>
      <c r="D99" s="21">
        <v>2</v>
      </c>
      <c r="E99" s="21">
        <v>0.45100000000000001</v>
      </c>
      <c r="F99" s="21">
        <v>1.3</v>
      </c>
      <c r="G99" s="21">
        <v>0.371</v>
      </c>
      <c r="H99" s="21">
        <v>0.6</v>
      </c>
      <c r="I99" s="21">
        <v>0.621</v>
      </c>
      <c r="J99" s="21">
        <v>0.57699999999999996</v>
      </c>
      <c r="K99" s="21">
        <v>0.2</v>
      </c>
      <c r="L99" s="21">
        <v>0.875</v>
      </c>
      <c r="M99" s="21">
        <v>3.3</v>
      </c>
      <c r="N99" s="21">
        <v>0.9</v>
      </c>
      <c r="O99" s="21">
        <v>0.7</v>
      </c>
      <c r="P99" s="21">
        <v>0.3</v>
      </c>
      <c r="Q99" s="21">
        <v>0.3</v>
      </c>
      <c r="R99" s="21">
        <v>0.7</v>
      </c>
      <c r="S99" s="21">
        <v>2.4</v>
      </c>
      <c r="T99" s="21">
        <v>5</v>
      </c>
      <c r="U99" s="21">
        <v>1.7</v>
      </c>
      <c r="V99" s="21">
        <v>12.1</v>
      </c>
      <c r="W99" s="21">
        <v>0.13100000000000001</v>
      </c>
      <c r="X99" s="4">
        <v>-0.1</v>
      </c>
    </row>
    <row r="100" spans="1:24" x14ac:dyDescent="0.35">
      <c r="A100" s="21">
        <v>20</v>
      </c>
      <c r="B100" s="21">
        <v>23</v>
      </c>
      <c r="C100" s="21">
        <v>25.7</v>
      </c>
      <c r="D100" s="21">
        <v>11.9</v>
      </c>
      <c r="E100" s="21">
        <v>0.46</v>
      </c>
      <c r="F100" s="21">
        <v>5.8</v>
      </c>
      <c r="G100" s="21">
        <v>0.38300000000000001</v>
      </c>
      <c r="H100" s="21">
        <v>6.1</v>
      </c>
      <c r="I100" s="21">
        <v>0.53200000000000003</v>
      </c>
      <c r="J100" s="21">
        <v>0.55300000000000005</v>
      </c>
      <c r="K100" s="21">
        <v>2.4</v>
      </c>
      <c r="L100" s="21">
        <v>0.875</v>
      </c>
      <c r="M100" s="21">
        <v>2.4</v>
      </c>
      <c r="N100" s="21">
        <v>2.6</v>
      </c>
      <c r="O100" s="21">
        <v>0.7</v>
      </c>
      <c r="P100" s="21">
        <v>0</v>
      </c>
      <c r="Q100" s="21">
        <v>1.6</v>
      </c>
      <c r="R100" s="21">
        <v>1.6</v>
      </c>
      <c r="S100" s="21">
        <v>15.3</v>
      </c>
      <c r="T100" s="21">
        <v>0</v>
      </c>
      <c r="U100" s="21">
        <v>0.2</v>
      </c>
      <c r="V100" s="21">
        <v>15.2</v>
      </c>
      <c r="W100" s="21">
        <v>5.7000000000000002E-2</v>
      </c>
      <c r="X100" s="4">
        <v>-0.3</v>
      </c>
    </row>
    <row r="101" spans="1:24" x14ac:dyDescent="0.35">
      <c r="A101" s="21">
        <v>26</v>
      </c>
      <c r="B101" s="21">
        <v>76</v>
      </c>
      <c r="C101" s="21">
        <v>36</v>
      </c>
      <c r="D101" s="21">
        <v>18.100000000000001</v>
      </c>
      <c r="E101" s="21">
        <v>0.41099999999999998</v>
      </c>
      <c r="F101" s="21">
        <v>8.4</v>
      </c>
      <c r="G101" s="21">
        <v>0.34</v>
      </c>
      <c r="H101" s="21">
        <v>9.6999999999999993</v>
      </c>
      <c r="I101" s="21">
        <v>0.47399999999999998</v>
      </c>
      <c r="J101" s="21">
        <v>0.49099999999999999</v>
      </c>
      <c r="K101" s="21">
        <v>7.4</v>
      </c>
      <c r="L101" s="21">
        <v>0.875</v>
      </c>
      <c r="M101" s="21">
        <v>3.1</v>
      </c>
      <c r="N101" s="21">
        <v>11.6</v>
      </c>
      <c r="O101" s="21">
        <v>1.2</v>
      </c>
      <c r="P101" s="21">
        <v>0.2</v>
      </c>
      <c r="Q101" s="21">
        <v>4.7</v>
      </c>
      <c r="R101" s="21">
        <v>1.9</v>
      </c>
      <c r="S101" s="21">
        <v>24.2</v>
      </c>
      <c r="T101" s="21">
        <v>6</v>
      </c>
      <c r="U101" s="21">
        <v>0.5</v>
      </c>
      <c r="V101" s="21">
        <v>18.3</v>
      </c>
      <c r="W101" s="21">
        <v>0.1</v>
      </c>
      <c r="X101" s="4">
        <v>-0.1</v>
      </c>
    </row>
    <row r="102" spans="1:24" x14ac:dyDescent="0.35">
      <c r="A102" s="21">
        <v>35</v>
      </c>
      <c r="B102" s="21">
        <v>79</v>
      </c>
      <c r="C102" s="21">
        <v>35.299999999999997</v>
      </c>
      <c r="D102" s="21">
        <v>16.399999999999999</v>
      </c>
      <c r="E102" s="21">
        <v>0.41</v>
      </c>
      <c r="F102" s="21">
        <v>8.5</v>
      </c>
      <c r="G102" s="21">
        <v>0.35199999999999998</v>
      </c>
      <c r="H102" s="21">
        <v>7.9</v>
      </c>
      <c r="I102" s="21">
        <v>0.47199999999999998</v>
      </c>
      <c r="J102" s="21">
        <v>0.501</v>
      </c>
      <c r="K102" s="21">
        <v>7.3</v>
      </c>
      <c r="L102" s="21">
        <v>0.874</v>
      </c>
      <c r="M102" s="21">
        <v>5.8</v>
      </c>
      <c r="N102" s="21">
        <v>8.6999999999999993</v>
      </c>
      <c r="O102" s="21">
        <v>1.5</v>
      </c>
      <c r="P102" s="21">
        <v>0.7</v>
      </c>
      <c r="Q102" s="21">
        <v>4.3</v>
      </c>
      <c r="R102" s="21">
        <v>2.1</v>
      </c>
      <c r="S102" s="21">
        <v>22.8</v>
      </c>
      <c r="T102" s="21">
        <v>15</v>
      </c>
      <c r="U102" s="21">
        <v>4.3</v>
      </c>
      <c r="V102" s="21">
        <v>20</v>
      </c>
      <c r="W102" s="21">
        <v>0.14299999999999999</v>
      </c>
      <c r="X102" s="4">
        <v>0</v>
      </c>
    </row>
    <row r="103" spans="1:24" x14ac:dyDescent="0.35">
      <c r="A103" s="21">
        <v>23</v>
      </c>
      <c r="B103" s="21">
        <v>74</v>
      </c>
      <c r="C103" s="21">
        <v>22</v>
      </c>
      <c r="D103" s="21">
        <v>6.5</v>
      </c>
      <c r="E103" s="21">
        <v>0.41199999999999998</v>
      </c>
      <c r="F103" s="21">
        <v>3.2</v>
      </c>
      <c r="G103" s="21">
        <v>0.33500000000000002</v>
      </c>
      <c r="H103" s="21">
        <v>3.3</v>
      </c>
      <c r="I103" s="21">
        <v>0.48799999999999999</v>
      </c>
      <c r="J103" s="21">
        <v>0.495</v>
      </c>
      <c r="K103" s="21">
        <v>0.9</v>
      </c>
      <c r="L103" s="21">
        <v>0.873</v>
      </c>
      <c r="M103" s="21">
        <v>3.3</v>
      </c>
      <c r="N103" s="21">
        <v>1.5</v>
      </c>
      <c r="O103" s="21">
        <v>0.4</v>
      </c>
      <c r="P103" s="21">
        <v>0.2</v>
      </c>
      <c r="Q103" s="21">
        <v>0.8</v>
      </c>
      <c r="R103" s="21">
        <v>1.3</v>
      </c>
      <c r="S103" s="21">
        <v>7.2</v>
      </c>
      <c r="T103" s="21">
        <v>0</v>
      </c>
      <c r="U103" s="21">
        <v>-2.6</v>
      </c>
      <c r="V103" s="21">
        <v>9.9</v>
      </c>
      <c r="W103" s="21">
        <v>7.2999999999999995E-2</v>
      </c>
      <c r="X103" s="4">
        <v>-0.2</v>
      </c>
    </row>
    <row r="104" spans="1:24" x14ac:dyDescent="0.35">
      <c r="A104" s="21">
        <v>27</v>
      </c>
      <c r="B104" s="21">
        <v>70</v>
      </c>
      <c r="C104" s="21">
        <v>19.899999999999999</v>
      </c>
      <c r="D104" s="21">
        <v>8.8000000000000007</v>
      </c>
      <c r="E104" s="21">
        <v>0.51600000000000001</v>
      </c>
      <c r="F104" s="21">
        <v>3.6</v>
      </c>
      <c r="G104" s="21">
        <v>0.439</v>
      </c>
      <c r="H104" s="21">
        <v>5.2</v>
      </c>
      <c r="I104" s="21">
        <v>0.56999999999999995</v>
      </c>
      <c r="J104" s="21">
        <v>0.60599999999999998</v>
      </c>
      <c r="K104" s="21">
        <v>2.1</v>
      </c>
      <c r="L104" s="21">
        <v>0.872</v>
      </c>
      <c r="M104" s="21">
        <v>2.5</v>
      </c>
      <c r="N104" s="21">
        <v>3.4</v>
      </c>
      <c r="O104" s="21">
        <v>1.1000000000000001</v>
      </c>
      <c r="P104" s="21">
        <v>0</v>
      </c>
      <c r="Q104" s="21">
        <v>1.3</v>
      </c>
      <c r="R104" s="21">
        <v>1.5</v>
      </c>
      <c r="S104" s="21">
        <v>12.5</v>
      </c>
      <c r="T104" s="21">
        <v>5</v>
      </c>
      <c r="U104" s="21">
        <v>4.3</v>
      </c>
      <c r="V104" s="21">
        <v>21</v>
      </c>
      <c r="W104" s="21">
        <v>0.20399999999999999</v>
      </c>
      <c r="X104" s="4">
        <v>-0.2</v>
      </c>
    </row>
    <row r="105" spans="1:24" x14ac:dyDescent="0.35">
      <c r="A105" s="21">
        <v>23</v>
      </c>
      <c r="B105" s="21">
        <v>60</v>
      </c>
      <c r="C105" s="21">
        <v>33.700000000000003</v>
      </c>
      <c r="D105" s="21">
        <v>19.399999999999999</v>
      </c>
      <c r="E105" s="21">
        <v>0.46300000000000002</v>
      </c>
      <c r="F105" s="21">
        <v>5.9</v>
      </c>
      <c r="G105" s="21">
        <v>0.29499999999999998</v>
      </c>
      <c r="H105" s="21">
        <v>13.5</v>
      </c>
      <c r="I105" s="21">
        <v>0.53500000000000003</v>
      </c>
      <c r="J105" s="21">
        <v>0.50700000000000001</v>
      </c>
      <c r="K105" s="21">
        <v>5.2</v>
      </c>
      <c r="L105" s="21">
        <v>0.871</v>
      </c>
      <c r="M105" s="21">
        <v>5.7</v>
      </c>
      <c r="N105" s="21">
        <v>4.7</v>
      </c>
      <c r="O105" s="21">
        <v>1.3</v>
      </c>
      <c r="P105" s="21">
        <v>0.4</v>
      </c>
      <c r="Q105" s="21">
        <v>2.2999999999999998</v>
      </c>
      <c r="R105" s="21">
        <v>2.5</v>
      </c>
      <c r="S105" s="21">
        <v>24.2</v>
      </c>
      <c r="T105" s="21">
        <v>3</v>
      </c>
      <c r="U105" s="21">
        <v>3.1</v>
      </c>
      <c r="V105" s="21">
        <v>20.100000000000001</v>
      </c>
      <c r="W105" s="21">
        <v>0.13300000000000001</v>
      </c>
      <c r="X105" s="4">
        <v>-0.2</v>
      </c>
    </row>
    <row r="106" spans="1:24" x14ac:dyDescent="0.35">
      <c r="A106" s="21">
        <v>26</v>
      </c>
      <c r="B106" s="21">
        <v>64</v>
      </c>
      <c r="C106" s="21">
        <v>31.7</v>
      </c>
      <c r="D106" s="21">
        <v>17</v>
      </c>
      <c r="E106" s="21">
        <v>0.43099999999999999</v>
      </c>
      <c r="F106" s="21">
        <v>7</v>
      </c>
      <c r="G106" s="21">
        <v>0.313</v>
      </c>
      <c r="H106" s="21">
        <v>10</v>
      </c>
      <c r="I106" s="21">
        <v>0.51300000000000001</v>
      </c>
      <c r="J106" s="21">
        <v>0.495</v>
      </c>
      <c r="K106" s="21">
        <v>4</v>
      </c>
      <c r="L106" s="21">
        <v>0.87</v>
      </c>
      <c r="M106" s="21">
        <v>7.5</v>
      </c>
      <c r="N106" s="21">
        <v>3.9</v>
      </c>
      <c r="O106" s="21">
        <v>0.7</v>
      </c>
      <c r="P106" s="21">
        <v>0.7</v>
      </c>
      <c r="Q106" s="21">
        <v>2.1</v>
      </c>
      <c r="R106" s="21">
        <v>1.5</v>
      </c>
      <c r="S106" s="21">
        <v>20.3</v>
      </c>
      <c r="T106" s="21">
        <v>5</v>
      </c>
      <c r="U106" s="21">
        <v>1.8</v>
      </c>
      <c r="V106" s="21">
        <v>17.7</v>
      </c>
      <c r="W106" s="21">
        <v>7.4999999999999997E-2</v>
      </c>
      <c r="X106" s="4">
        <v>0.2</v>
      </c>
    </row>
    <row r="107" spans="1:24" x14ac:dyDescent="0.35">
      <c r="A107" s="21">
        <v>25</v>
      </c>
      <c r="B107" s="21">
        <v>33</v>
      </c>
      <c r="C107" s="21">
        <v>27.8</v>
      </c>
      <c r="D107" s="21">
        <v>13.3</v>
      </c>
      <c r="E107" s="21">
        <v>0.42</v>
      </c>
      <c r="F107" s="21">
        <v>6.8</v>
      </c>
      <c r="G107" s="21">
        <v>0.378</v>
      </c>
      <c r="H107" s="21">
        <v>6.5</v>
      </c>
      <c r="I107" s="21">
        <v>0.46500000000000002</v>
      </c>
      <c r="J107" s="21">
        <v>0.51700000000000002</v>
      </c>
      <c r="K107" s="21">
        <v>3.9</v>
      </c>
      <c r="L107" s="21">
        <v>0.86699999999999999</v>
      </c>
      <c r="M107" s="21">
        <v>3.5</v>
      </c>
      <c r="N107" s="21">
        <v>5.8</v>
      </c>
      <c r="O107" s="21">
        <v>0.7</v>
      </c>
      <c r="P107" s="21">
        <v>0.1</v>
      </c>
      <c r="Q107" s="21">
        <v>1.8</v>
      </c>
      <c r="R107" s="21">
        <v>1.8</v>
      </c>
      <c r="S107" s="21">
        <v>17.100000000000001</v>
      </c>
      <c r="T107" s="21">
        <v>4</v>
      </c>
      <c r="U107" s="21">
        <v>2.2000000000000002</v>
      </c>
      <c r="V107" s="21">
        <v>17.5</v>
      </c>
      <c r="W107" s="21">
        <v>0.128</v>
      </c>
      <c r="X107" s="4">
        <v>0</v>
      </c>
    </row>
    <row r="108" spans="1:24" x14ac:dyDescent="0.35">
      <c r="A108" s="21">
        <v>24</v>
      </c>
      <c r="B108" s="21">
        <v>15</v>
      </c>
      <c r="C108" s="21">
        <v>24.7</v>
      </c>
      <c r="D108" s="21">
        <v>8.6999999999999993</v>
      </c>
      <c r="E108" s="21">
        <v>0.32300000000000001</v>
      </c>
      <c r="F108" s="21">
        <v>3.7</v>
      </c>
      <c r="G108" s="21">
        <v>0.214</v>
      </c>
      <c r="H108" s="21">
        <v>4.9000000000000004</v>
      </c>
      <c r="I108" s="21">
        <v>0.40500000000000003</v>
      </c>
      <c r="J108" s="21">
        <v>0.36899999999999999</v>
      </c>
      <c r="K108" s="21">
        <v>1</v>
      </c>
      <c r="L108" s="21">
        <v>0.86699999999999999</v>
      </c>
      <c r="M108" s="21">
        <v>3.3</v>
      </c>
      <c r="N108" s="21">
        <v>3.7</v>
      </c>
      <c r="O108" s="21">
        <v>1</v>
      </c>
      <c r="P108" s="21">
        <v>0.1</v>
      </c>
      <c r="Q108" s="21">
        <v>2.1</v>
      </c>
      <c r="R108" s="21">
        <v>1.5</v>
      </c>
      <c r="S108" s="21">
        <v>7.3</v>
      </c>
      <c r="T108" s="21">
        <v>0</v>
      </c>
      <c r="U108" s="21">
        <v>-7.1</v>
      </c>
      <c r="V108" s="21">
        <v>6.3</v>
      </c>
      <c r="W108" s="21">
        <v>-6.9000000000000006E-2</v>
      </c>
      <c r="X108" s="4">
        <v>0.1</v>
      </c>
    </row>
    <row r="109" spans="1:24" x14ac:dyDescent="0.35">
      <c r="A109" s="21">
        <v>26</v>
      </c>
      <c r="B109" s="21">
        <v>63</v>
      </c>
      <c r="C109" s="21">
        <v>27.9</v>
      </c>
      <c r="D109" s="21">
        <v>13.8</v>
      </c>
      <c r="E109" s="21">
        <v>0.48</v>
      </c>
      <c r="F109" s="21">
        <v>4.3</v>
      </c>
      <c r="G109" s="21">
        <v>0.40600000000000003</v>
      </c>
      <c r="H109" s="21">
        <v>9.5</v>
      </c>
      <c r="I109" s="21">
        <v>0.51300000000000001</v>
      </c>
      <c r="J109" s="21">
        <v>0.54300000000000004</v>
      </c>
      <c r="K109" s="21">
        <v>4</v>
      </c>
      <c r="L109" s="21">
        <v>0.86499999999999999</v>
      </c>
      <c r="M109" s="21">
        <v>2.7</v>
      </c>
      <c r="N109" s="21">
        <v>4.2</v>
      </c>
      <c r="O109" s="21">
        <v>0.7</v>
      </c>
      <c r="P109" s="21">
        <v>0.1</v>
      </c>
      <c r="Q109" s="21">
        <v>2.5</v>
      </c>
      <c r="R109" s="21">
        <v>2.2999999999999998</v>
      </c>
      <c r="S109" s="21">
        <v>18.399999999999999</v>
      </c>
      <c r="T109" s="21">
        <v>6</v>
      </c>
      <c r="U109" s="21">
        <v>-0.6</v>
      </c>
      <c r="V109" s="21">
        <v>16.600000000000001</v>
      </c>
      <c r="W109" s="21">
        <v>6.6000000000000003E-2</v>
      </c>
      <c r="X109" s="4">
        <v>-0.1</v>
      </c>
    </row>
    <row r="110" spans="1:24" x14ac:dyDescent="0.35">
      <c r="A110" s="21">
        <v>26</v>
      </c>
      <c r="B110" s="21">
        <v>65</v>
      </c>
      <c r="C110" s="21">
        <v>31.6</v>
      </c>
      <c r="D110" s="21">
        <v>14.4</v>
      </c>
      <c r="E110" s="21">
        <v>0.439</v>
      </c>
      <c r="F110" s="21">
        <v>6.6</v>
      </c>
      <c r="G110" s="21">
        <v>0.32500000000000001</v>
      </c>
      <c r="H110" s="21">
        <v>7.9</v>
      </c>
      <c r="I110" s="21">
        <v>0.53400000000000003</v>
      </c>
      <c r="J110" s="21">
        <v>0.51300000000000001</v>
      </c>
      <c r="K110" s="21">
        <v>2.7</v>
      </c>
      <c r="L110" s="21">
        <v>0.86499999999999999</v>
      </c>
      <c r="M110" s="21">
        <v>3.8</v>
      </c>
      <c r="N110" s="21">
        <v>5.6</v>
      </c>
      <c r="O110" s="21">
        <v>0.9</v>
      </c>
      <c r="P110" s="21">
        <v>0.6</v>
      </c>
      <c r="Q110" s="21">
        <v>2.4</v>
      </c>
      <c r="R110" s="21">
        <v>2.4</v>
      </c>
      <c r="S110" s="21">
        <v>17.2</v>
      </c>
      <c r="T110" s="21">
        <v>7</v>
      </c>
      <c r="U110" s="21">
        <v>-0.8</v>
      </c>
      <c r="V110" s="21">
        <v>15</v>
      </c>
      <c r="W110" s="21">
        <v>6.5000000000000002E-2</v>
      </c>
      <c r="X110" s="4">
        <v>0.1</v>
      </c>
    </row>
    <row r="111" spans="1:24" x14ac:dyDescent="0.35">
      <c r="A111" s="21">
        <v>20</v>
      </c>
      <c r="B111" s="21">
        <v>29</v>
      </c>
      <c r="C111" s="21">
        <v>22</v>
      </c>
      <c r="D111" s="21">
        <v>7.3</v>
      </c>
      <c r="E111" s="21">
        <v>0.38500000000000001</v>
      </c>
      <c r="F111" s="21">
        <v>3.1</v>
      </c>
      <c r="G111" s="21">
        <v>0.26700000000000002</v>
      </c>
      <c r="H111" s="21">
        <v>4.2</v>
      </c>
      <c r="I111" s="21">
        <v>0.47199999999999998</v>
      </c>
      <c r="J111" s="21">
        <v>0.441</v>
      </c>
      <c r="K111" s="21">
        <v>1.3</v>
      </c>
      <c r="L111" s="21">
        <v>0.86499999999999999</v>
      </c>
      <c r="M111" s="21">
        <v>2</v>
      </c>
      <c r="N111" s="21">
        <v>2.6</v>
      </c>
      <c r="O111" s="21">
        <v>0.4</v>
      </c>
      <c r="P111" s="21">
        <v>0.1</v>
      </c>
      <c r="Q111" s="21">
        <v>1.2</v>
      </c>
      <c r="R111" s="21">
        <v>1.7</v>
      </c>
      <c r="S111" s="21">
        <v>7.6</v>
      </c>
      <c r="T111" s="21">
        <v>0</v>
      </c>
      <c r="U111" s="21">
        <v>-8.1</v>
      </c>
      <c r="V111" s="21">
        <v>7.1</v>
      </c>
      <c r="W111" s="21">
        <v>-3.2000000000000001E-2</v>
      </c>
      <c r="X111" s="4">
        <v>0</v>
      </c>
    </row>
    <row r="112" spans="1:24" x14ac:dyDescent="0.35">
      <c r="A112" s="21">
        <v>25</v>
      </c>
      <c r="B112" s="21">
        <v>33</v>
      </c>
      <c r="C112" s="21">
        <v>14</v>
      </c>
      <c r="D112" s="21">
        <v>4.8</v>
      </c>
      <c r="E112" s="21">
        <v>0.43</v>
      </c>
      <c r="F112" s="21">
        <v>2.7</v>
      </c>
      <c r="G112" s="21">
        <v>0.433</v>
      </c>
      <c r="H112" s="21">
        <v>2.1</v>
      </c>
      <c r="I112" s="21">
        <v>0.42599999999999999</v>
      </c>
      <c r="J112" s="21">
        <v>0.55400000000000005</v>
      </c>
      <c r="K112" s="21">
        <v>0.7</v>
      </c>
      <c r="L112" s="21">
        <v>0.86399999999999999</v>
      </c>
      <c r="M112" s="21">
        <v>2.4</v>
      </c>
      <c r="N112" s="21">
        <v>2.4</v>
      </c>
      <c r="O112" s="21">
        <v>0.6</v>
      </c>
      <c r="P112" s="21">
        <v>0.2</v>
      </c>
      <c r="Q112" s="21">
        <v>0.5</v>
      </c>
      <c r="R112" s="21">
        <v>0.9</v>
      </c>
      <c r="S112" s="21">
        <v>5.9</v>
      </c>
      <c r="T112" s="21">
        <v>2</v>
      </c>
      <c r="U112" s="21">
        <v>2.5</v>
      </c>
      <c r="V112" s="21">
        <v>16.8</v>
      </c>
      <c r="W112" s="21">
        <v>0.13100000000000001</v>
      </c>
      <c r="X112" s="4">
        <v>-0.1</v>
      </c>
    </row>
    <row r="113" spans="1:24" x14ac:dyDescent="0.35">
      <c r="A113" s="21">
        <v>31</v>
      </c>
      <c r="B113" s="21">
        <v>77</v>
      </c>
      <c r="C113" s="21">
        <v>29.6</v>
      </c>
      <c r="D113" s="21">
        <v>7.1</v>
      </c>
      <c r="E113" s="21">
        <v>0.439</v>
      </c>
      <c r="F113" s="21">
        <v>4.3</v>
      </c>
      <c r="G113" s="21">
        <v>0.34200000000000003</v>
      </c>
      <c r="H113" s="21">
        <v>2.8</v>
      </c>
      <c r="I113" s="21">
        <v>0.58899999999999997</v>
      </c>
      <c r="J113" s="21">
        <v>0.54300000000000004</v>
      </c>
      <c r="K113" s="21">
        <v>1.2</v>
      </c>
      <c r="L113" s="21">
        <v>0.86299999999999999</v>
      </c>
      <c r="M113" s="21">
        <v>2.2000000000000002</v>
      </c>
      <c r="N113" s="21">
        <v>1.8</v>
      </c>
      <c r="O113" s="21">
        <v>1.3</v>
      </c>
      <c r="P113" s="21">
        <v>0.4</v>
      </c>
      <c r="Q113" s="21">
        <v>0.8</v>
      </c>
      <c r="R113" s="21">
        <v>1.8</v>
      </c>
      <c r="S113" s="21">
        <v>8.6999999999999993</v>
      </c>
      <c r="T113" s="21">
        <v>11</v>
      </c>
      <c r="U113" s="21">
        <v>-1.4</v>
      </c>
      <c r="V113" s="21">
        <v>9.9</v>
      </c>
      <c r="W113" s="21">
        <v>9.6000000000000002E-2</v>
      </c>
      <c r="X113" s="4">
        <v>-0.1</v>
      </c>
    </row>
    <row r="114" spans="1:24" x14ac:dyDescent="0.35">
      <c r="A114" s="21">
        <v>32</v>
      </c>
      <c r="B114" s="21">
        <v>73</v>
      </c>
      <c r="C114" s="21">
        <v>31.6</v>
      </c>
      <c r="D114" s="21">
        <v>11</v>
      </c>
      <c r="E114" s="21">
        <v>0.47699999999999998</v>
      </c>
      <c r="F114" s="21">
        <v>3.6</v>
      </c>
      <c r="G114" s="21">
        <v>0.34499999999999997</v>
      </c>
      <c r="H114" s="21">
        <v>7.4</v>
      </c>
      <c r="I114" s="21">
        <v>0.54200000000000004</v>
      </c>
      <c r="J114" s="21">
        <v>0.53400000000000003</v>
      </c>
      <c r="K114" s="21">
        <v>2.2999999999999998</v>
      </c>
      <c r="L114" s="21">
        <v>0.86099999999999999</v>
      </c>
      <c r="M114" s="21">
        <v>5.9</v>
      </c>
      <c r="N114" s="21">
        <v>2.2000000000000002</v>
      </c>
      <c r="O114" s="21">
        <v>1</v>
      </c>
      <c r="P114" s="21">
        <v>0.8</v>
      </c>
      <c r="Q114" s="21">
        <v>1.2</v>
      </c>
      <c r="R114" s="21">
        <v>1.9</v>
      </c>
      <c r="S114" s="21">
        <v>13.7</v>
      </c>
      <c r="T114" s="21">
        <v>13</v>
      </c>
      <c r="U114" s="21">
        <v>0.1</v>
      </c>
      <c r="V114" s="21">
        <v>13.9</v>
      </c>
      <c r="W114" s="21">
        <v>0.108</v>
      </c>
      <c r="X114" s="4">
        <v>0.7</v>
      </c>
    </row>
    <row r="115" spans="1:24" x14ac:dyDescent="0.35">
      <c r="A115" s="21">
        <v>22</v>
      </c>
      <c r="B115" s="21">
        <v>27</v>
      </c>
      <c r="C115" s="21">
        <v>34.200000000000003</v>
      </c>
      <c r="D115" s="21">
        <v>18.2</v>
      </c>
      <c r="E115" s="21">
        <v>0.40300000000000002</v>
      </c>
      <c r="F115" s="21">
        <v>10.9</v>
      </c>
      <c r="G115" s="21">
        <v>0.35499999999999998</v>
      </c>
      <c r="H115" s="21">
        <v>7.3</v>
      </c>
      <c r="I115" s="21">
        <v>0.47499999999999998</v>
      </c>
      <c r="J115" s="21">
        <v>0.50900000000000001</v>
      </c>
      <c r="K115" s="21">
        <v>2.9</v>
      </c>
      <c r="L115" s="21">
        <v>0.86099999999999999</v>
      </c>
      <c r="M115" s="21">
        <v>4.9000000000000004</v>
      </c>
      <c r="N115" s="21">
        <v>3.6</v>
      </c>
      <c r="O115" s="21">
        <v>1.1000000000000001</v>
      </c>
      <c r="P115" s="21">
        <v>0.7</v>
      </c>
      <c r="Q115" s="21">
        <v>2.8</v>
      </c>
      <c r="R115" s="21">
        <v>2.7</v>
      </c>
      <c r="S115" s="21">
        <v>21</v>
      </c>
      <c r="T115" s="21">
        <v>1</v>
      </c>
      <c r="U115" s="21">
        <v>0</v>
      </c>
      <c r="V115" s="21">
        <v>14</v>
      </c>
      <c r="W115" s="21">
        <v>2.3E-2</v>
      </c>
      <c r="X115" s="4">
        <v>-0.3</v>
      </c>
    </row>
    <row r="116" spans="1:24" x14ac:dyDescent="0.35">
      <c r="A116" s="21">
        <v>27</v>
      </c>
      <c r="B116" s="21">
        <v>66</v>
      </c>
      <c r="C116" s="21">
        <v>14.6</v>
      </c>
      <c r="D116" s="21">
        <v>4.9000000000000004</v>
      </c>
      <c r="E116" s="21">
        <v>0.50800000000000001</v>
      </c>
      <c r="F116" s="21">
        <v>2.2000000000000002</v>
      </c>
      <c r="G116" s="21">
        <v>0.32400000000000001</v>
      </c>
      <c r="H116" s="21">
        <v>2.6</v>
      </c>
      <c r="I116" s="21">
        <v>0.66500000000000004</v>
      </c>
      <c r="J116" s="21">
        <v>0.58299999999999996</v>
      </c>
      <c r="K116" s="21">
        <v>1</v>
      </c>
      <c r="L116" s="21">
        <v>0.85899999999999999</v>
      </c>
      <c r="M116" s="21">
        <v>3.8</v>
      </c>
      <c r="N116" s="21">
        <v>0.8</v>
      </c>
      <c r="O116" s="21">
        <v>0.4</v>
      </c>
      <c r="P116" s="21">
        <v>0.6</v>
      </c>
      <c r="Q116" s="21">
        <v>0.5</v>
      </c>
      <c r="R116" s="21">
        <v>1.2</v>
      </c>
      <c r="S116" s="21">
        <v>6.5</v>
      </c>
      <c r="T116" s="21">
        <v>7</v>
      </c>
      <c r="U116" s="21">
        <v>0.6</v>
      </c>
      <c r="V116" s="21">
        <v>17.2</v>
      </c>
      <c r="W116" s="21">
        <v>0.152</v>
      </c>
      <c r="X116" s="4">
        <v>0.1</v>
      </c>
    </row>
    <row r="117" spans="1:24" x14ac:dyDescent="0.35">
      <c r="A117" s="21">
        <v>21</v>
      </c>
      <c r="B117" s="21">
        <v>54</v>
      </c>
      <c r="C117" s="21">
        <v>29.4</v>
      </c>
      <c r="D117" s="21">
        <v>12</v>
      </c>
      <c r="E117" s="21">
        <v>0.41</v>
      </c>
      <c r="F117" s="21">
        <v>6</v>
      </c>
      <c r="G117" s="21">
        <v>0.35</v>
      </c>
      <c r="H117" s="21">
        <v>5.9</v>
      </c>
      <c r="I117" s="21">
        <v>0.47</v>
      </c>
      <c r="J117" s="21">
        <v>0.498</v>
      </c>
      <c r="K117" s="21">
        <v>2.9</v>
      </c>
      <c r="L117" s="21">
        <v>0.85799999999999998</v>
      </c>
      <c r="M117" s="21">
        <v>3.6</v>
      </c>
      <c r="N117" s="21">
        <v>1.8</v>
      </c>
      <c r="O117" s="21">
        <v>0.9</v>
      </c>
      <c r="P117" s="21">
        <v>0.2</v>
      </c>
      <c r="Q117" s="21">
        <v>1.5</v>
      </c>
      <c r="R117" s="21">
        <v>2.2000000000000002</v>
      </c>
      <c r="S117" s="21">
        <v>14.4</v>
      </c>
      <c r="T117" s="21">
        <v>1</v>
      </c>
      <c r="U117" s="21">
        <v>-3.2</v>
      </c>
      <c r="V117" s="21">
        <v>10.9</v>
      </c>
      <c r="W117" s="21">
        <v>4.2000000000000003E-2</v>
      </c>
      <c r="X117" s="4">
        <v>0.1</v>
      </c>
    </row>
    <row r="118" spans="1:24" x14ac:dyDescent="0.35">
      <c r="A118" s="21">
        <v>33</v>
      </c>
      <c r="B118" s="21">
        <v>37</v>
      </c>
      <c r="C118" s="21">
        <v>22.8</v>
      </c>
      <c r="D118" s="21">
        <v>9.1</v>
      </c>
      <c r="E118" s="21">
        <v>0.47499999999999998</v>
      </c>
      <c r="F118" s="21">
        <v>3.6</v>
      </c>
      <c r="G118" s="21">
        <v>0.36099999999999999</v>
      </c>
      <c r="H118" s="21">
        <v>5.5</v>
      </c>
      <c r="I118" s="21">
        <v>0.54900000000000004</v>
      </c>
      <c r="J118" s="21">
        <v>0.54600000000000004</v>
      </c>
      <c r="K118" s="21">
        <v>2.2999999999999998</v>
      </c>
      <c r="L118" s="21">
        <v>0.85699999999999998</v>
      </c>
      <c r="M118" s="21">
        <v>3.7</v>
      </c>
      <c r="N118" s="21">
        <v>4.0999999999999996</v>
      </c>
      <c r="O118" s="21">
        <v>0.9</v>
      </c>
      <c r="P118" s="21">
        <v>0.2</v>
      </c>
      <c r="Q118" s="21">
        <v>1.5</v>
      </c>
      <c r="R118" s="21">
        <v>2</v>
      </c>
      <c r="S118" s="21">
        <v>11.9</v>
      </c>
      <c r="T118" s="21">
        <v>12</v>
      </c>
      <c r="U118" s="21">
        <v>0.7</v>
      </c>
      <c r="V118" s="21">
        <v>16.7</v>
      </c>
      <c r="W118" s="21">
        <v>0.11600000000000001</v>
      </c>
      <c r="X118" s="4">
        <v>-0.3</v>
      </c>
    </row>
    <row r="119" spans="1:24" x14ac:dyDescent="0.35">
      <c r="A119" s="21">
        <v>35</v>
      </c>
      <c r="B119" s="21">
        <v>77</v>
      </c>
      <c r="C119" s="21">
        <v>35.9</v>
      </c>
      <c r="D119" s="21">
        <v>17</v>
      </c>
      <c r="E119" s="21">
        <v>0.47699999999999998</v>
      </c>
      <c r="F119" s="21">
        <v>3.3</v>
      </c>
      <c r="G119" s="21">
        <v>0.32800000000000001</v>
      </c>
      <c r="H119" s="21">
        <v>13.7</v>
      </c>
      <c r="I119" s="21">
        <v>0.51300000000000001</v>
      </c>
      <c r="J119" s="21">
        <v>0.50900000000000001</v>
      </c>
      <c r="K119" s="21">
        <v>5.7</v>
      </c>
      <c r="L119" s="21">
        <v>0.85699999999999998</v>
      </c>
      <c r="M119" s="21">
        <v>3.9</v>
      </c>
      <c r="N119" s="21">
        <v>4.4000000000000004</v>
      </c>
      <c r="O119" s="21">
        <v>0.8</v>
      </c>
      <c r="P119" s="21">
        <v>0.4</v>
      </c>
      <c r="Q119" s="21">
        <v>1.4</v>
      </c>
      <c r="R119" s="21">
        <v>1.9</v>
      </c>
      <c r="S119" s="21">
        <v>22.2</v>
      </c>
      <c r="T119" s="21">
        <v>15</v>
      </c>
      <c r="U119" s="21">
        <v>-0.1</v>
      </c>
      <c r="V119" s="21">
        <v>17.7</v>
      </c>
      <c r="W119" s="21">
        <v>0.123</v>
      </c>
      <c r="X119" s="4">
        <v>-0.2</v>
      </c>
    </row>
    <row r="120" spans="1:24" x14ac:dyDescent="0.35">
      <c r="A120" s="21">
        <v>29</v>
      </c>
      <c r="B120" s="21">
        <v>45</v>
      </c>
      <c r="C120" s="21">
        <v>12.7</v>
      </c>
      <c r="D120" s="21">
        <v>4.3</v>
      </c>
      <c r="E120" s="21">
        <v>0.42599999999999999</v>
      </c>
      <c r="F120" s="21">
        <v>1.9</v>
      </c>
      <c r="G120" s="21">
        <v>0.36</v>
      </c>
      <c r="H120" s="21">
        <v>2.4</v>
      </c>
      <c r="I120" s="21">
        <v>0.47699999999999998</v>
      </c>
      <c r="J120" s="21">
        <v>0.505</v>
      </c>
      <c r="K120" s="21">
        <v>0.9</v>
      </c>
      <c r="L120" s="21">
        <v>0.85699999999999998</v>
      </c>
      <c r="M120" s="21">
        <v>1.5</v>
      </c>
      <c r="N120" s="21">
        <v>1.6</v>
      </c>
      <c r="O120" s="21">
        <v>0.4</v>
      </c>
      <c r="P120" s="21">
        <v>0.1</v>
      </c>
      <c r="Q120" s="21">
        <v>0.5</v>
      </c>
      <c r="R120" s="21">
        <v>0.5</v>
      </c>
      <c r="S120" s="21">
        <v>5.2</v>
      </c>
      <c r="T120" s="21">
        <v>7</v>
      </c>
      <c r="U120" s="21">
        <v>-1.8</v>
      </c>
      <c r="V120" s="21">
        <v>13.1</v>
      </c>
      <c r="W120" s="21">
        <v>6.4000000000000001E-2</v>
      </c>
      <c r="X120" s="4">
        <v>-0.2</v>
      </c>
    </row>
    <row r="121" spans="1:24" x14ac:dyDescent="0.35">
      <c r="A121" s="21">
        <v>27</v>
      </c>
      <c r="B121" s="21">
        <v>31</v>
      </c>
      <c r="C121" s="21">
        <v>13.9</v>
      </c>
      <c r="D121" s="21">
        <v>4.7</v>
      </c>
      <c r="E121" s="21">
        <v>0.38100000000000001</v>
      </c>
      <c r="F121" s="21">
        <v>2.5</v>
      </c>
      <c r="G121" s="21">
        <v>0.28599999999999998</v>
      </c>
      <c r="H121" s="21">
        <v>2.2999999999999998</v>
      </c>
      <c r="I121" s="21">
        <v>0.48599999999999999</v>
      </c>
      <c r="J121" s="21">
        <v>0.45600000000000002</v>
      </c>
      <c r="K121" s="21">
        <v>0.7</v>
      </c>
      <c r="L121" s="21">
        <v>0.85699999999999998</v>
      </c>
      <c r="M121" s="21">
        <v>1.7</v>
      </c>
      <c r="N121" s="21">
        <v>1.2</v>
      </c>
      <c r="O121" s="21">
        <v>1</v>
      </c>
      <c r="P121" s="21">
        <v>0.3</v>
      </c>
      <c r="Q121" s="21">
        <v>0.7</v>
      </c>
      <c r="R121" s="21">
        <v>1.2</v>
      </c>
      <c r="S121" s="21">
        <v>4.9000000000000004</v>
      </c>
      <c r="T121" s="21">
        <v>3</v>
      </c>
      <c r="U121" s="21">
        <v>-0.3</v>
      </c>
      <c r="V121" s="21">
        <v>11.9</v>
      </c>
      <c r="W121" s="21">
        <v>7.3999999999999996E-2</v>
      </c>
      <c r="X121" s="4">
        <v>-0.3</v>
      </c>
    </row>
    <row r="122" spans="1:24" x14ac:dyDescent="0.35">
      <c r="A122" s="21">
        <v>21</v>
      </c>
      <c r="B122" s="21">
        <v>15</v>
      </c>
      <c r="C122" s="21">
        <v>21</v>
      </c>
      <c r="D122" s="21">
        <v>6.5</v>
      </c>
      <c r="E122" s="21">
        <v>0.378</v>
      </c>
      <c r="F122" s="21">
        <v>3.1</v>
      </c>
      <c r="G122" s="21">
        <v>0.30399999999999999</v>
      </c>
      <c r="H122" s="21">
        <v>3.5</v>
      </c>
      <c r="I122" s="21">
        <v>0.442</v>
      </c>
      <c r="J122" s="21">
        <v>0.44900000000000001</v>
      </c>
      <c r="K122" s="21">
        <v>1.4</v>
      </c>
      <c r="L122" s="21">
        <v>0.85699999999999998</v>
      </c>
      <c r="M122" s="21">
        <v>1.8</v>
      </c>
      <c r="N122" s="21">
        <v>2.5</v>
      </c>
      <c r="O122" s="21">
        <v>0.3</v>
      </c>
      <c r="P122" s="21">
        <v>0.5</v>
      </c>
      <c r="Q122" s="21">
        <v>1.2</v>
      </c>
      <c r="R122" s="21">
        <v>1.7</v>
      </c>
      <c r="S122" s="21">
        <v>7.1</v>
      </c>
      <c r="T122" s="21">
        <v>1</v>
      </c>
      <c r="U122" s="21">
        <v>-6.9</v>
      </c>
      <c r="V122" s="21">
        <v>7.9</v>
      </c>
      <c r="W122" s="21">
        <v>-1.4999999999999999E-2</v>
      </c>
      <c r="X122" s="4">
        <v>0.2</v>
      </c>
    </row>
    <row r="123" spans="1:24" x14ac:dyDescent="0.35">
      <c r="A123" s="21">
        <v>27</v>
      </c>
      <c r="B123" s="21">
        <v>18</v>
      </c>
      <c r="C123" s="21">
        <v>33.1</v>
      </c>
      <c r="D123" s="21">
        <v>18.5</v>
      </c>
      <c r="E123" s="21">
        <v>0.46500000000000002</v>
      </c>
      <c r="F123" s="21">
        <v>6.4</v>
      </c>
      <c r="G123" s="21">
        <v>0.374</v>
      </c>
      <c r="H123" s="21">
        <v>12.1</v>
      </c>
      <c r="I123" s="21">
        <v>0.51400000000000001</v>
      </c>
      <c r="J123" s="21">
        <v>0.53</v>
      </c>
      <c r="K123" s="21">
        <v>3.1</v>
      </c>
      <c r="L123" s="21">
        <v>0.85499999999999998</v>
      </c>
      <c r="M123" s="21">
        <v>5.6</v>
      </c>
      <c r="N123" s="21">
        <v>5.2</v>
      </c>
      <c r="O123" s="21">
        <v>0.9</v>
      </c>
      <c r="P123" s="21">
        <v>0.6</v>
      </c>
      <c r="Q123" s="21">
        <v>3.8</v>
      </c>
      <c r="R123" s="21">
        <v>2.5</v>
      </c>
      <c r="S123" s="21">
        <v>22.2</v>
      </c>
      <c r="T123" s="21">
        <v>8</v>
      </c>
      <c r="U123" s="21">
        <v>-0.3</v>
      </c>
      <c r="V123" s="21">
        <v>16</v>
      </c>
      <c r="W123" s="21">
        <v>1E-3</v>
      </c>
      <c r="X123" s="4">
        <v>0</v>
      </c>
    </row>
    <row r="124" spans="1:24" x14ac:dyDescent="0.35">
      <c r="A124" s="21">
        <v>32</v>
      </c>
      <c r="B124" s="21">
        <v>77</v>
      </c>
      <c r="C124" s="21">
        <v>28</v>
      </c>
      <c r="D124" s="21">
        <v>8.8000000000000007</v>
      </c>
      <c r="E124" s="21">
        <v>0.40600000000000003</v>
      </c>
      <c r="F124" s="21">
        <v>5.9</v>
      </c>
      <c r="G124" s="21">
        <v>0.36799999999999999</v>
      </c>
      <c r="H124" s="21">
        <v>2.9</v>
      </c>
      <c r="I124" s="21">
        <v>0.48399999999999999</v>
      </c>
      <c r="J124" s="21">
        <v>0.52900000000000003</v>
      </c>
      <c r="K124" s="21">
        <v>1.9</v>
      </c>
      <c r="L124" s="21">
        <v>0.85499999999999998</v>
      </c>
      <c r="M124" s="21">
        <v>2.4</v>
      </c>
      <c r="N124" s="21">
        <v>1.6</v>
      </c>
      <c r="O124" s="21">
        <v>0.5</v>
      </c>
      <c r="P124" s="21">
        <v>0.1</v>
      </c>
      <c r="Q124" s="21">
        <v>0.6</v>
      </c>
      <c r="R124" s="21">
        <v>1.2</v>
      </c>
      <c r="S124" s="21">
        <v>11</v>
      </c>
      <c r="T124" s="21">
        <v>11</v>
      </c>
      <c r="U124" s="21">
        <v>-2.1</v>
      </c>
      <c r="V124" s="21">
        <v>9.8000000000000007</v>
      </c>
      <c r="W124" s="21">
        <v>7.6999999999999999E-2</v>
      </c>
      <c r="X124" s="4">
        <v>0</v>
      </c>
    </row>
    <row r="125" spans="1:24" x14ac:dyDescent="0.35">
      <c r="A125" s="21">
        <v>21</v>
      </c>
      <c r="B125" s="21">
        <v>78</v>
      </c>
      <c r="C125" s="21">
        <v>27.3</v>
      </c>
      <c r="D125" s="21">
        <v>7.6</v>
      </c>
      <c r="E125" s="21">
        <v>0.42699999999999999</v>
      </c>
      <c r="F125" s="21">
        <v>4</v>
      </c>
      <c r="G125" s="21">
        <v>0.36599999999999999</v>
      </c>
      <c r="H125" s="21">
        <v>3.5</v>
      </c>
      <c r="I125" s="21">
        <v>0.496</v>
      </c>
      <c r="J125" s="21">
        <v>0.52500000000000002</v>
      </c>
      <c r="K125" s="21">
        <v>1.9</v>
      </c>
      <c r="L125" s="21">
        <v>0.85499999999999998</v>
      </c>
      <c r="M125" s="21">
        <v>3.3</v>
      </c>
      <c r="N125" s="21">
        <v>1.9</v>
      </c>
      <c r="O125" s="21">
        <v>0.8</v>
      </c>
      <c r="P125" s="21">
        <v>0.4</v>
      </c>
      <c r="Q125" s="21">
        <v>1.1000000000000001</v>
      </c>
      <c r="R125" s="21">
        <v>1.5</v>
      </c>
      <c r="S125" s="21">
        <v>9.6</v>
      </c>
      <c r="T125" s="21">
        <v>2</v>
      </c>
      <c r="U125" s="21">
        <v>-2.5</v>
      </c>
      <c r="V125" s="21">
        <v>10.4</v>
      </c>
      <c r="W125" s="21">
        <v>0.06</v>
      </c>
      <c r="X125" s="4">
        <v>-0.1</v>
      </c>
    </row>
    <row r="126" spans="1:24" x14ac:dyDescent="0.35">
      <c r="A126" s="21">
        <v>25</v>
      </c>
      <c r="B126" s="21">
        <v>61</v>
      </c>
      <c r="C126" s="21">
        <v>26.3</v>
      </c>
      <c r="D126" s="21">
        <v>9.3000000000000007</v>
      </c>
      <c r="E126" s="21">
        <v>0.45100000000000001</v>
      </c>
      <c r="F126" s="21">
        <v>5.4</v>
      </c>
      <c r="G126" s="21">
        <v>0.36399999999999999</v>
      </c>
      <c r="H126" s="21">
        <v>3.9</v>
      </c>
      <c r="I126" s="21">
        <v>0.57399999999999995</v>
      </c>
      <c r="J126" s="21">
        <v>0.55800000000000005</v>
      </c>
      <c r="K126" s="21">
        <v>1.4</v>
      </c>
      <c r="L126" s="21">
        <v>0.85199999999999998</v>
      </c>
      <c r="M126" s="21">
        <v>3</v>
      </c>
      <c r="N126" s="21">
        <v>1.7</v>
      </c>
      <c r="O126" s="21">
        <v>0.4</v>
      </c>
      <c r="P126" s="21">
        <v>0.2</v>
      </c>
      <c r="Q126" s="21">
        <v>1</v>
      </c>
      <c r="R126" s="21">
        <v>1.6</v>
      </c>
      <c r="S126" s="21">
        <v>11.6</v>
      </c>
      <c r="T126" s="21">
        <v>3</v>
      </c>
      <c r="U126" s="21">
        <v>-3.7</v>
      </c>
      <c r="V126" s="21">
        <v>11</v>
      </c>
      <c r="W126" s="21">
        <v>3.2000000000000001E-2</v>
      </c>
      <c r="X126" s="4">
        <v>-0.2</v>
      </c>
    </row>
    <row r="127" spans="1:24" x14ac:dyDescent="0.35">
      <c r="A127" s="21">
        <v>30</v>
      </c>
      <c r="B127" s="21">
        <v>64</v>
      </c>
      <c r="C127" s="21">
        <v>25.9</v>
      </c>
      <c r="D127" s="21">
        <v>9.9</v>
      </c>
      <c r="E127" s="21">
        <v>0.39100000000000001</v>
      </c>
      <c r="F127" s="21">
        <v>4.8</v>
      </c>
      <c r="G127" s="21">
        <v>0.29499999999999998</v>
      </c>
      <c r="H127" s="21">
        <v>5.0999999999999996</v>
      </c>
      <c r="I127" s="21">
        <v>0.48</v>
      </c>
      <c r="J127" s="21">
        <v>0.46200000000000002</v>
      </c>
      <c r="K127" s="21">
        <v>1.7</v>
      </c>
      <c r="L127" s="21">
        <v>0.85199999999999998</v>
      </c>
      <c r="M127" s="21">
        <v>3.7</v>
      </c>
      <c r="N127" s="21">
        <v>2.6</v>
      </c>
      <c r="O127" s="21">
        <v>0.6</v>
      </c>
      <c r="P127" s="21">
        <v>0.2</v>
      </c>
      <c r="Q127" s="21">
        <v>1.2</v>
      </c>
      <c r="R127" s="21">
        <v>1.1000000000000001</v>
      </c>
      <c r="S127" s="21">
        <v>10.6</v>
      </c>
      <c r="T127" s="21">
        <v>9</v>
      </c>
      <c r="U127" s="21">
        <v>-3.7</v>
      </c>
      <c r="V127" s="21">
        <v>10.5</v>
      </c>
      <c r="W127" s="21">
        <v>2.9000000000000001E-2</v>
      </c>
      <c r="X127" s="4">
        <v>-0.3</v>
      </c>
    </row>
    <row r="128" spans="1:24" x14ac:dyDescent="0.35">
      <c r="A128" s="21">
        <v>24</v>
      </c>
      <c r="B128" s="21">
        <v>73</v>
      </c>
      <c r="C128" s="21">
        <v>33.6</v>
      </c>
      <c r="D128" s="21">
        <v>13.8</v>
      </c>
      <c r="E128" s="21">
        <v>0.47299999999999998</v>
      </c>
      <c r="F128" s="21">
        <v>7.7</v>
      </c>
      <c r="G128" s="21">
        <v>0.38800000000000001</v>
      </c>
      <c r="H128" s="21">
        <v>6.1</v>
      </c>
      <c r="I128" s="21">
        <v>0.58099999999999996</v>
      </c>
      <c r="J128" s="21">
        <v>0.58199999999999996</v>
      </c>
      <c r="K128" s="21">
        <v>3</v>
      </c>
      <c r="L128" s="21">
        <v>0.85099999999999998</v>
      </c>
      <c r="M128" s="21">
        <v>3.5</v>
      </c>
      <c r="N128" s="21">
        <v>9.1999999999999993</v>
      </c>
      <c r="O128" s="21">
        <v>1.4</v>
      </c>
      <c r="P128" s="21">
        <v>0.7</v>
      </c>
      <c r="Q128" s="21">
        <v>1.6</v>
      </c>
      <c r="R128" s="21">
        <v>1.3</v>
      </c>
      <c r="S128" s="21">
        <v>18.600000000000001</v>
      </c>
      <c r="T128" s="21">
        <v>4</v>
      </c>
      <c r="U128" s="21">
        <v>5.8</v>
      </c>
      <c r="V128" s="21">
        <v>21.8</v>
      </c>
      <c r="W128" s="21">
        <v>0.20399999999999999</v>
      </c>
      <c r="X128" s="4">
        <v>0.1</v>
      </c>
    </row>
    <row r="129" spans="1:24" x14ac:dyDescent="0.35">
      <c r="A129" s="21">
        <v>26</v>
      </c>
      <c r="B129" s="21">
        <v>38</v>
      </c>
      <c r="C129" s="21">
        <v>18.600000000000001</v>
      </c>
      <c r="D129" s="21">
        <v>3.6</v>
      </c>
      <c r="E129" s="21">
        <v>0.42199999999999999</v>
      </c>
      <c r="F129" s="21">
        <v>2.6</v>
      </c>
      <c r="G129" s="21">
        <v>0.316</v>
      </c>
      <c r="H129" s="21">
        <v>1</v>
      </c>
      <c r="I129" s="21">
        <v>0.70299999999999996</v>
      </c>
      <c r="J129" s="21">
        <v>0.53700000000000003</v>
      </c>
      <c r="K129" s="21">
        <v>0.5</v>
      </c>
      <c r="L129" s="21">
        <v>0.85</v>
      </c>
      <c r="M129" s="21">
        <v>4.3</v>
      </c>
      <c r="N129" s="21">
        <v>0.8</v>
      </c>
      <c r="O129" s="21">
        <v>0.4</v>
      </c>
      <c r="P129" s="21">
        <v>0.4</v>
      </c>
      <c r="Q129" s="21">
        <v>0.8</v>
      </c>
      <c r="R129" s="21">
        <v>1.3</v>
      </c>
      <c r="S129" s="21">
        <v>4.3</v>
      </c>
      <c r="T129" s="21">
        <v>3</v>
      </c>
      <c r="U129" s="21">
        <v>-3.5</v>
      </c>
      <c r="V129" s="21">
        <v>8.5</v>
      </c>
      <c r="W129" s="21">
        <v>0.03</v>
      </c>
      <c r="X129" s="4">
        <v>-0.7</v>
      </c>
    </row>
    <row r="130" spans="1:24" x14ac:dyDescent="0.35">
      <c r="A130" s="21">
        <v>25</v>
      </c>
      <c r="B130" s="21">
        <v>80</v>
      </c>
      <c r="C130" s="21">
        <v>24.4</v>
      </c>
      <c r="D130" s="21">
        <v>5.8</v>
      </c>
      <c r="E130" s="21">
        <v>0.48899999999999999</v>
      </c>
      <c r="F130" s="21">
        <v>4</v>
      </c>
      <c r="G130" s="21">
        <v>0.433</v>
      </c>
      <c r="H130" s="21">
        <v>1.8</v>
      </c>
      <c r="I130" s="21">
        <v>0.61499999999999999</v>
      </c>
      <c r="J130" s="21">
        <v>0.63900000000000001</v>
      </c>
      <c r="K130" s="21">
        <v>1.1000000000000001</v>
      </c>
      <c r="L130" s="21">
        <v>0.84899999999999998</v>
      </c>
      <c r="M130" s="21">
        <v>2.7</v>
      </c>
      <c r="N130" s="21">
        <v>1.5</v>
      </c>
      <c r="O130" s="21">
        <v>1.5</v>
      </c>
      <c r="P130" s="21">
        <v>0.8</v>
      </c>
      <c r="Q130" s="21">
        <v>0.9</v>
      </c>
      <c r="R130" s="21">
        <v>2.2000000000000002</v>
      </c>
      <c r="S130" s="21">
        <v>8.3000000000000007</v>
      </c>
      <c r="T130" s="21">
        <v>2</v>
      </c>
      <c r="U130" s="21">
        <v>1.9</v>
      </c>
      <c r="V130" s="21">
        <v>13.5</v>
      </c>
      <c r="W130" s="21">
        <v>0.122</v>
      </c>
      <c r="X130" s="4">
        <v>0.4</v>
      </c>
    </row>
    <row r="131" spans="1:24" x14ac:dyDescent="0.35">
      <c r="A131" s="21">
        <v>23</v>
      </c>
      <c r="B131" s="21">
        <v>64</v>
      </c>
      <c r="C131" s="21">
        <v>19.8</v>
      </c>
      <c r="D131" s="21">
        <v>7.4</v>
      </c>
      <c r="E131" s="21">
        <v>0.42899999999999999</v>
      </c>
      <c r="F131" s="21">
        <v>4.9000000000000004</v>
      </c>
      <c r="G131" s="21">
        <v>0.376</v>
      </c>
      <c r="H131" s="21">
        <v>2.5</v>
      </c>
      <c r="I131" s="21">
        <v>0.53400000000000003</v>
      </c>
      <c r="J131" s="21">
        <v>0.55400000000000005</v>
      </c>
      <c r="K131" s="21">
        <v>0.8</v>
      </c>
      <c r="L131" s="21">
        <v>0.84899999999999998</v>
      </c>
      <c r="M131" s="21">
        <v>2.9</v>
      </c>
      <c r="N131" s="21">
        <v>1.1000000000000001</v>
      </c>
      <c r="O131" s="21">
        <v>0.6</v>
      </c>
      <c r="P131" s="21">
        <v>0.1</v>
      </c>
      <c r="Q131" s="21">
        <v>0.6</v>
      </c>
      <c r="R131" s="21">
        <v>2</v>
      </c>
      <c r="S131" s="21">
        <v>8.9</v>
      </c>
      <c r="T131" s="21">
        <v>2</v>
      </c>
      <c r="U131" s="21">
        <v>-2.2999999999999998</v>
      </c>
      <c r="V131" s="21">
        <v>11.8</v>
      </c>
      <c r="W131" s="21">
        <v>0.06</v>
      </c>
      <c r="X131" s="4">
        <v>1.5</v>
      </c>
    </row>
    <row r="132" spans="1:24" x14ac:dyDescent="0.35">
      <c r="A132" s="21">
        <v>30</v>
      </c>
      <c r="B132" s="21">
        <v>47</v>
      </c>
      <c r="C132" s="21">
        <v>32.4</v>
      </c>
      <c r="D132" s="21">
        <v>12.2</v>
      </c>
      <c r="E132" s="21">
        <v>0.373</v>
      </c>
      <c r="F132" s="21">
        <v>6.3</v>
      </c>
      <c r="G132" s="21">
        <v>0.36499999999999999</v>
      </c>
      <c r="H132" s="21">
        <v>5.9</v>
      </c>
      <c r="I132" s="21">
        <v>0.38100000000000001</v>
      </c>
      <c r="J132" s="21">
        <v>0.46700000000000003</v>
      </c>
      <c r="K132" s="21">
        <v>3.5</v>
      </c>
      <c r="L132" s="21">
        <v>0.84899999999999998</v>
      </c>
      <c r="M132" s="21">
        <v>3.5</v>
      </c>
      <c r="N132" s="21">
        <v>2.1</v>
      </c>
      <c r="O132" s="21">
        <v>0.9</v>
      </c>
      <c r="P132" s="21">
        <v>1</v>
      </c>
      <c r="Q132" s="21">
        <v>1.4</v>
      </c>
      <c r="R132" s="21">
        <v>2.2999999999999998</v>
      </c>
      <c r="S132" s="21">
        <v>14.4</v>
      </c>
      <c r="T132" s="21">
        <v>10</v>
      </c>
      <c r="U132" s="21">
        <v>-1.6</v>
      </c>
      <c r="V132" s="21">
        <v>10.9</v>
      </c>
      <c r="W132" s="21">
        <v>5.7000000000000002E-2</v>
      </c>
      <c r="X132" s="4">
        <v>0</v>
      </c>
    </row>
    <row r="133" spans="1:24" x14ac:dyDescent="0.35">
      <c r="A133" s="21">
        <v>27</v>
      </c>
      <c r="B133" s="21">
        <v>40</v>
      </c>
      <c r="C133" s="21">
        <v>30.5</v>
      </c>
      <c r="D133" s="21">
        <v>13.3</v>
      </c>
      <c r="E133" s="21">
        <v>0.52700000000000002</v>
      </c>
      <c r="F133" s="21">
        <v>3.7</v>
      </c>
      <c r="G133" s="21">
        <v>0.39900000000000002</v>
      </c>
      <c r="H133" s="21">
        <v>9.6</v>
      </c>
      <c r="I133" s="21">
        <v>0.57699999999999996</v>
      </c>
      <c r="J133" s="21">
        <v>0.58299999999999996</v>
      </c>
      <c r="K133" s="21">
        <v>4.0999999999999996</v>
      </c>
      <c r="L133" s="21">
        <v>0.84799999999999998</v>
      </c>
      <c r="M133" s="21">
        <v>8.1999999999999993</v>
      </c>
      <c r="N133" s="21">
        <v>2</v>
      </c>
      <c r="O133" s="21">
        <v>1</v>
      </c>
      <c r="P133" s="21">
        <v>1</v>
      </c>
      <c r="Q133" s="21">
        <v>2.6</v>
      </c>
      <c r="R133" s="21">
        <v>2.9</v>
      </c>
      <c r="S133" s="21">
        <v>19</v>
      </c>
      <c r="T133" s="21">
        <v>7</v>
      </c>
      <c r="U133" s="21">
        <v>1</v>
      </c>
      <c r="V133" s="21">
        <v>19</v>
      </c>
      <c r="W133" s="21">
        <v>9.8000000000000004E-2</v>
      </c>
      <c r="X133" s="4">
        <v>-0.1</v>
      </c>
    </row>
    <row r="134" spans="1:24" x14ac:dyDescent="0.35">
      <c r="A134" s="21">
        <v>26</v>
      </c>
      <c r="B134" s="21">
        <v>74</v>
      </c>
      <c r="C134" s="21">
        <v>25.6</v>
      </c>
      <c r="D134" s="21">
        <v>8.9</v>
      </c>
      <c r="E134" s="21">
        <v>0.43099999999999999</v>
      </c>
      <c r="F134" s="21">
        <v>5.9</v>
      </c>
      <c r="G134" s="21">
        <v>0.41599999999999998</v>
      </c>
      <c r="H134" s="21">
        <v>3</v>
      </c>
      <c r="I134" s="21">
        <v>0.46</v>
      </c>
      <c r="J134" s="21">
        <v>0.56799999999999995</v>
      </c>
      <c r="K134" s="21">
        <v>1.2</v>
      </c>
      <c r="L134" s="21">
        <v>0.84799999999999998</v>
      </c>
      <c r="M134" s="21">
        <v>2.2999999999999998</v>
      </c>
      <c r="N134" s="21">
        <v>1.2</v>
      </c>
      <c r="O134" s="21">
        <v>1</v>
      </c>
      <c r="P134" s="21">
        <v>0.1</v>
      </c>
      <c r="Q134" s="21">
        <v>0.6</v>
      </c>
      <c r="R134" s="21">
        <v>1.7</v>
      </c>
      <c r="S134" s="21">
        <v>11.1</v>
      </c>
      <c r="T134" s="21">
        <v>6</v>
      </c>
      <c r="U134" s="21">
        <v>-1.6</v>
      </c>
      <c r="V134" s="21">
        <v>11.7</v>
      </c>
      <c r="W134" s="21">
        <v>8.4000000000000005E-2</v>
      </c>
      <c r="X134" s="4">
        <v>0.2</v>
      </c>
    </row>
    <row r="135" spans="1:24" x14ac:dyDescent="0.35">
      <c r="A135" s="21">
        <v>34</v>
      </c>
      <c r="B135" s="21">
        <v>68</v>
      </c>
      <c r="C135" s="21">
        <v>15.6</v>
      </c>
      <c r="D135" s="21">
        <v>5</v>
      </c>
      <c r="E135" s="21">
        <v>0.47799999999999998</v>
      </c>
      <c r="F135" s="21">
        <v>2.7</v>
      </c>
      <c r="G135" s="21">
        <v>0.45600000000000002</v>
      </c>
      <c r="H135" s="21">
        <v>2.4</v>
      </c>
      <c r="I135" s="21">
        <v>0.503</v>
      </c>
      <c r="J135" s="21">
        <v>0.59899999999999998</v>
      </c>
      <c r="K135" s="21">
        <v>0.6</v>
      </c>
      <c r="L135" s="21">
        <v>0.84599999999999997</v>
      </c>
      <c r="M135" s="21">
        <v>1.7</v>
      </c>
      <c r="N135" s="21">
        <v>0.9</v>
      </c>
      <c r="O135" s="21">
        <v>0.4</v>
      </c>
      <c r="P135" s="21">
        <v>0.1</v>
      </c>
      <c r="Q135" s="21">
        <v>0.5</v>
      </c>
      <c r="R135" s="21">
        <v>0.9</v>
      </c>
      <c r="S135" s="21">
        <v>6.5</v>
      </c>
      <c r="T135" s="21">
        <v>11</v>
      </c>
      <c r="U135" s="21">
        <v>-1.7</v>
      </c>
      <c r="V135" s="21">
        <v>12.2</v>
      </c>
      <c r="W135" s="21">
        <v>0.08</v>
      </c>
      <c r="X135" s="4">
        <v>-0.1</v>
      </c>
    </row>
    <row r="136" spans="1:24" x14ac:dyDescent="0.35">
      <c r="A136" s="21">
        <v>27</v>
      </c>
      <c r="B136" s="21">
        <v>64</v>
      </c>
      <c r="C136" s="21">
        <v>27.2</v>
      </c>
      <c r="D136" s="21">
        <v>11.9</v>
      </c>
      <c r="E136" s="21">
        <v>0.47</v>
      </c>
      <c r="F136" s="21">
        <v>6.1</v>
      </c>
      <c r="G136" s="21">
        <v>0.40500000000000003</v>
      </c>
      <c r="H136" s="21">
        <v>5.8</v>
      </c>
      <c r="I136" s="21">
        <v>0.53700000000000003</v>
      </c>
      <c r="J136" s="21">
        <v>0.57299999999999995</v>
      </c>
      <c r="K136" s="21">
        <v>4</v>
      </c>
      <c r="L136" s="21">
        <v>0.84599999999999997</v>
      </c>
      <c r="M136" s="21">
        <v>4</v>
      </c>
      <c r="N136" s="21">
        <v>1.4</v>
      </c>
      <c r="O136" s="21">
        <v>0.8</v>
      </c>
      <c r="P136" s="21">
        <v>0.2</v>
      </c>
      <c r="Q136" s="21">
        <v>1.3</v>
      </c>
      <c r="R136" s="21">
        <v>2.4</v>
      </c>
      <c r="S136" s="21">
        <v>17</v>
      </c>
      <c r="T136" s="21">
        <v>5</v>
      </c>
      <c r="U136" s="21">
        <v>0.4</v>
      </c>
      <c r="V136" s="21">
        <v>15.9</v>
      </c>
      <c r="W136" s="21">
        <v>0.122</v>
      </c>
      <c r="X136" s="4">
        <v>0</v>
      </c>
    </row>
    <row r="137" spans="1:24" x14ac:dyDescent="0.35">
      <c r="A137" s="21">
        <v>23</v>
      </c>
      <c r="B137" s="21">
        <v>70</v>
      </c>
      <c r="C137" s="21">
        <v>35</v>
      </c>
      <c r="D137" s="21">
        <v>20.8</v>
      </c>
      <c r="E137" s="21">
        <v>0.46899999999999997</v>
      </c>
      <c r="F137" s="21">
        <v>6</v>
      </c>
      <c r="G137" s="21">
        <v>0.35599999999999998</v>
      </c>
      <c r="H137" s="21">
        <v>14.8</v>
      </c>
      <c r="I137" s="21">
        <v>0.51500000000000001</v>
      </c>
      <c r="J137" s="21">
        <v>0.52100000000000002</v>
      </c>
      <c r="K137" s="21">
        <v>5.3</v>
      </c>
      <c r="L137" s="21">
        <v>0.84599999999999997</v>
      </c>
      <c r="M137" s="21">
        <v>6.1</v>
      </c>
      <c r="N137" s="21">
        <v>9.1</v>
      </c>
      <c r="O137" s="21">
        <v>1</v>
      </c>
      <c r="P137" s="21">
        <v>0.8</v>
      </c>
      <c r="Q137" s="21">
        <v>4.4000000000000004</v>
      </c>
      <c r="R137" s="21">
        <v>2.8</v>
      </c>
      <c r="S137" s="21">
        <v>26.1</v>
      </c>
      <c r="T137" s="21">
        <v>3</v>
      </c>
      <c r="U137" s="21">
        <v>3.9</v>
      </c>
      <c r="V137" s="21">
        <v>20.6</v>
      </c>
      <c r="W137" s="21">
        <v>0.115</v>
      </c>
      <c r="X137" s="4">
        <v>-0.3</v>
      </c>
    </row>
    <row r="138" spans="1:24" x14ac:dyDescent="0.35">
      <c r="A138" s="21">
        <v>24</v>
      </c>
      <c r="B138" s="21">
        <v>13</v>
      </c>
      <c r="C138" s="21">
        <v>14.1</v>
      </c>
      <c r="D138" s="21">
        <v>6</v>
      </c>
      <c r="E138" s="21">
        <v>0.39700000000000002</v>
      </c>
      <c r="F138" s="21">
        <v>3.4</v>
      </c>
      <c r="G138" s="21">
        <v>0.29499999999999998</v>
      </c>
      <c r="H138" s="21">
        <v>2.6</v>
      </c>
      <c r="I138" s="21">
        <v>0.52900000000000003</v>
      </c>
      <c r="J138" s="21">
        <v>0.48099999999999998</v>
      </c>
      <c r="K138" s="21">
        <v>1</v>
      </c>
      <c r="L138" s="21">
        <v>0.84599999999999997</v>
      </c>
      <c r="M138" s="21">
        <v>1.5</v>
      </c>
      <c r="N138" s="21">
        <v>1.8</v>
      </c>
      <c r="O138" s="21">
        <v>0.2</v>
      </c>
      <c r="P138" s="21">
        <v>0.2</v>
      </c>
      <c r="Q138" s="21">
        <v>1.1000000000000001</v>
      </c>
      <c r="R138" s="21">
        <v>1.4</v>
      </c>
      <c r="S138" s="21">
        <v>6.6</v>
      </c>
      <c r="T138" s="21">
        <v>2</v>
      </c>
      <c r="U138" s="21">
        <v>-6.1</v>
      </c>
      <c r="V138" s="21">
        <v>9.5</v>
      </c>
      <c r="W138" s="21">
        <v>-2.5000000000000001E-2</v>
      </c>
      <c r="X138" s="4">
        <v>1.2</v>
      </c>
    </row>
    <row r="139" spans="1:24" x14ac:dyDescent="0.35">
      <c r="A139" s="21">
        <v>27</v>
      </c>
      <c r="B139" s="21">
        <v>80</v>
      </c>
      <c r="C139" s="21">
        <v>28.4</v>
      </c>
      <c r="D139" s="21">
        <v>10.8</v>
      </c>
      <c r="E139" s="21">
        <v>0.47199999999999998</v>
      </c>
      <c r="F139" s="21">
        <v>7.8</v>
      </c>
      <c r="G139" s="21">
        <v>0.40699999999999997</v>
      </c>
      <c r="H139" s="21">
        <v>3</v>
      </c>
      <c r="I139" s="21">
        <v>0.64200000000000002</v>
      </c>
      <c r="J139" s="21">
        <v>0.62</v>
      </c>
      <c r="K139" s="21">
        <v>1.1000000000000001</v>
      </c>
      <c r="L139" s="21">
        <v>0.84499999999999997</v>
      </c>
      <c r="M139" s="21">
        <v>3.8</v>
      </c>
      <c r="N139" s="21">
        <v>3.5</v>
      </c>
      <c r="O139" s="21">
        <v>0.9</v>
      </c>
      <c r="P139" s="21">
        <v>0.2</v>
      </c>
      <c r="Q139" s="21">
        <v>1</v>
      </c>
      <c r="R139" s="21">
        <v>1.5</v>
      </c>
      <c r="S139" s="21">
        <v>14.3</v>
      </c>
      <c r="T139" s="21">
        <v>4</v>
      </c>
      <c r="U139" s="21">
        <v>3.5</v>
      </c>
      <c r="V139" s="21">
        <v>17.600000000000001</v>
      </c>
      <c r="W139" s="21">
        <v>0.183</v>
      </c>
      <c r="X139" s="4">
        <v>0</v>
      </c>
    </row>
    <row r="140" spans="1:24" x14ac:dyDescent="0.35">
      <c r="A140" s="21">
        <v>24</v>
      </c>
      <c r="B140" s="21">
        <v>57</v>
      </c>
      <c r="C140" s="21">
        <v>14.2</v>
      </c>
      <c r="D140" s="21">
        <v>5.2</v>
      </c>
      <c r="E140" s="21">
        <v>0.46300000000000002</v>
      </c>
      <c r="F140" s="21">
        <v>2.7</v>
      </c>
      <c r="G140" s="21">
        <v>0.38200000000000001</v>
      </c>
      <c r="H140" s="21">
        <v>2.5</v>
      </c>
      <c r="I140" s="21">
        <v>0.54900000000000004</v>
      </c>
      <c r="J140" s="21">
        <v>0.56100000000000005</v>
      </c>
      <c r="K140" s="21">
        <v>0.9</v>
      </c>
      <c r="L140" s="21">
        <v>0.84299999999999997</v>
      </c>
      <c r="M140" s="21">
        <v>1.2</v>
      </c>
      <c r="N140" s="21">
        <v>2.2999999999999998</v>
      </c>
      <c r="O140" s="21">
        <v>0.6</v>
      </c>
      <c r="P140" s="21">
        <v>0.1</v>
      </c>
      <c r="Q140" s="21">
        <v>0.9</v>
      </c>
      <c r="R140" s="21">
        <v>1.3</v>
      </c>
      <c r="S140" s="21">
        <v>6.6</v>
      </c>
      <c r="T140" s="21">
        <v>1</v>
      </c>
      <c r="U140" s="21">
        <v>-0.6</v>
      </c>
      <c r="V140" s="21">
        <v>14</v>
      </c>
      <c r="W140" s="21">
        <v>0.108</v>
      </c>
      <c r="X140" s="4">
        <v>0.1</v>
      </c>
    </row>
    <row r="141" spans="1:24" x14ac:dyDescent="0.35">
      <c r="A141" s="21">
        <v>23</v>
      </c>
      <c r="B141" s="21">
        <v>47</v>
      </c>
      <c r="C141" s="21">
        <v>32</v>
      </c>
      <c r="D141" s="21">
        <v>21.3</v>
      </c>
      <c r="E141" s="21">
        <v>0.40500000000000003</v>
      </c>
      <c r="F141" s="21">
        <v>11.2</v>
      </c>
      <c r="G141" s="21">
        <v>0.33900000000000002</v>
      </c>
      <c r="H141" s="21">
        <v>10.1</v>
      </c>
      <c r="I141" s="21">
        <v>0.47799999999999998</v>
      </c>
      <c r="J141" s="21">
        <v>0.49399999999999999</v>
      </c>
      <c r="K141" s="21">
        <v>4.9000000000000004</v>
      </c>
      <c r="L141" s="21">
        <v>0.84299999999999997</v>
      </c>
      <c r="M141" s="21">
        <v>4.9000000000000004</v>
      </c>
      <c r="N141" s="21">
        <v>7.4</v>
      </c>
      <c r="O141" s="21">
        <v>1.1000000000000001</v>
      </c>
      <c r="P141" s="21">
        <v>0.3</v>
      </c>
      <c r="Q141" s="21">
        <v>3.6</v>
      </c>
      <c r="R141" s="21">
        <v>3.3</v>
      </c>
      <c r="S141" s="21">
        <v>25.2</v>
      </c>
      <c r="T141" s="21">
        <v>4</v>
      </c>
      <c r="U141" s="21">
        <v>3.2</v>
      </c>
      <c r="V141" s="21">
        <v>19.100000000000001</v>
      </c>
      <c r="W141" s="21">
        <v>6.5000000000000002E-2</v>
      </c>
      <c r="X141" s="4">
        <v>-0.3</v>
      </c>
    </row>
    <row r="142" spans="1:24" x14ac:dyDescent="0.35">
      <c r="A142" s="21">
        <v>35</v>
      </c>
      <c r="B142" s="21">
        <v>55</v>
      </c>
      <c r="C142" s="21">
        <v>31.7</v>
      </c>
      <c r="D142" s="21">
        <v>10.9</v>
      </c>
      <c r="E142" s="21">
        <v>0.504</v>
      </c>
      <c r="F142" s="21">
        <v>1.9</v>
      </c>
      <c r="G142" s="21">
        <v>0.308</v>
      </c>
      <c r="H142" s="21">
        <v>9</v>
      </c>
      <c r="I142" s="21">
        <v>0.54600000000000004</v>
      </c>
      <c r="J142" s="21">
        <v>0.53100000000000003</v>
      </c>
      <c r="K142" s="21">
        <v>7.1</v>
      </c>
      <c r="L142" s="21">
        <v>0.84199999999999997</v>
      </c>
      <c r="M142" s="21">
        <v>5.4</v>
      </c>
      <c r="N142" s="21">
        <v>5.4</v>
      </c>
      <c r="O142" s="21">
        <v>1.4</v>
      </c>
      <c r="P142" s="21">
        <v>0.3</v>
      </c>
      <c r="Q142" s="21">
        <v>1.3</v>
      </c>
      <c r="R142" s="21">
        <v>0.9</v>
      </c>
      <c r="S142" s="21">
        <v>17.5</v>
      </c>
      <c r="T142" s="21">
        <v>13</v>
      </c>
      <c r="U142" s="21">
        <v>4.9000000000000004</v>
      </c>
      <c r="V142" s="21">
        <v>22.4</v>
      </c>
      <c r="W142" s="21">
        <v>0.23799999999999999</v>
      </c>
      <c r="X142" s="4">
        <v>0.4</v>
      </c>
    </row>
    <row r="143" spans="1:24" x14ac:dyDescent="0.35">
      <c r="A143" s="21">
        <v>36</v>
      </c>
      <c r="B143" s="21">
        <v>62</v>
      </c>
      <c r="C143" s="21">
        <v>36.5</v>
      </c>
      <c r="D143" s="21">
        <v>18.100000000000001</v>
      </c>
      <c r="E143" s="21">
        <v>0.52700000000000002</v>
      </c>
      <c r="F143" s="21">
        <v>6</v>
      </c>
      <c r="G143" s="21">
        <v>0.43</v>
      </c>
      <c r="H143" s="21">
        <v>12.1</v>
      </c>
      <c r="I143" s="21">
        <v>0.57399999999999995</v>
      </c>
      <c r="J143" s="21">
        <v>0.59799999999999998</v>
      </c>
      <c r="K143" s="21">
        <v>5.8</v>
      </c>
      <c r="L143" s="21">
        <v>0.83899999999999997</v>
      </c>
      <c r="M143" s="21">
        <v>6</v>
      </c>
      <c r="N143" s="21">
        <v>4.2</v>
      </c>
      <c r="O143" s="21">
        <v>0.8</v>
      </c>
      <c r="P143" s="21">
        <v>1.2</v>
      </c>
      <c r="Q143" s="21">
        <v>3.1</v>
      </c>
      <c r="R143" s="21">
        <v>1.7</v>
      </c>
      <c r="S143" s="21">
        <v>26.6</v>
      </c>
      <c r="T143" s="21">
        <v>17</v>
      </c>
      <c r="U143" s="21">
        <v>3.2</v>
      </c>
      <c r="V143" s="21">
        <v>21.2</v>
      </c>
      <c r="W143" s="21">
        <v>0.111</v>
      </c>
      <c r="X143" s="4">
        <v>-0.4</v>
      </c>
    </row>
    <row r="144" spans="1:24" x14ac:dyDescent="0.35">
      <c r="A144" s="21">
        <v>30</v>
      </c>
      <c r="B144" s="21">
        <v>76</v>
      </c>
      <c r="C144" s="21">
        <v>33.9</v>
      </c>
      <c r="D144" s="21">
        <v>12.6</v>
      </c>
      <c r="E144" s="21">
        <v>0.442</v>
      </c>
      <c r="F144" s="21">
        <v>9.1</v>
      </c>
      <c r="G144" s="21">
        <v>0.38400000000000001</v>
      </c>
      <c r="H144" s="21">
        <v>3.5</v>
      </c>
      <c r="I144" s="21">
        <v>0.59299999999999997</v>
      </c>
      <c r="J144" s="21">
        <v>0.57999999999999996</v>
      </c>
      <c r="K144" s="21">
        <v>2.1</v>
      </c>
      <c r="L144" s="21">
        <v>0.83899999999999997</v>
      </c>
      <c r="M144" s="21">
        <v>4.5</v>
      </c>
      <c r="N144" s="21">
        <v>4.8</v>
      </c>
      <c r="O144" s="21">
        <v>0.9</v>
      </c>
      <c r="P144" s="21">
        <v>1.1000000000000001</v>
      </c>
      <c r="Q144" s="21">
        <v>1.7</v>
      </c>
      <c r="R144" s="21">
        <v>1.8</v>
      </c>
      <c r="S144" s="21">
        <v>16.399999999999999</v>
      </c>
      <c r="T144" s="21">
        <v>7</v>
      </c>
      <c r="U144" s="21">
        <v>3.5</v>
      </c>
      <c r="V144" s="21">
        <v>16.600000000000001</v>
      </c>
      <c r="W144" s="21">
        <v>0.158</v>
      </c>
      <c r="X144" s="4">
        <v>-0.1</v>
      </c>
    </row>
    <row r="145" spans="1:24" x14ac:dyDescent="0.35">
      <c r="A145" s="21">
        <v>26</v>
      </c>
      <c r="B145" s="21">
        <v>16</v>
      </c>
      <c r="C145" s="21">
        <v>29.9</v>
      </c>
      <c r="D145" s="21">
        <v>7.7</v>
      </c>
      <c r="E145" s="21">
        <v>0.439</v>
      </c>
      <c r="F145" s="21">
        <v>4.5999999999999996</v>
      </c>
      <c r="G145" s="21">
        <v>0.36499999999999999</v>
      </c>
      <c r="H145" s="21">
        <v>3.1</v>
      </c>
      <c r="I145" s="21">
        <v>0.55100000000000005</v>
      </c>
      <c r="J145" s="21">
        <v>0.54900000000000004</v>
      </c>
      <c r="K145" s="21">
        <v>2.2999999999999998</v>
      </c>
      <c r="L145" s="21">
        <v>0.83799999999999997</v>
      </c>
      <c r="M145" s="21">
        <v>5.0999999999999996</v>
      </c>
      <c r="N145" s="21">
        <v>2.2999999999999998</v>
      </c>
      <c r="O145" s="21">
        <v>1.1000000000000001</v>
      </c>
      <c r="P145" s="21">
        <v>0.8</v>
      </c>
      <c r="Q145" s="21">
        <v>1.8</v>
      </c>
      <c r="R145" s="21">
        <v>2.9</v>
      </c>
      <c r="S145" s="21">
        <v>10.4</v>
      </c>
      <c r="T145" s="21">
        <v>5</v>
      </c>
      <c r="U145" s="21">
        <v>-1.6</v>
      </c>
      <c r="V145" s="21">
        <v>11.5</v>
      </c>
      <c r="W145" s="21">
        <v>7.0999999999999994E-2</v>
      </c>
      <c r="X145" s="4">
        <v>-0.1</v>
      </c>
    </row>
    <row r="146" spans="1:24" x14ac:dyDescent="0.35">
      <c r="A146" s="21">
        <v>32</v>
      </c>
      <c r="B146" s="21">
        <v>38</v>
      </c>
      <c r="C146" s="21">
        <v>16.3</v>
      </c>
      <c r="D146" s="21">
        <v>3.4</v>
      </c>
      <c r="E146" s="21">
        <v>0.47299999999999998</v>
      </c>
      <c r="F146" s="21">
        <v>1</v>
      </c>
      <c r="G146" s="21">
        <v>0.24299999999999999</v>
      </c>
      <c r="H146" s="21">
        <v>2.4</v>
      </c>
      <c r="I146" s="21">
        <v>0.56499999999999995</v>
      </c>
      <c r="J146" s="21">
        <v>0.50800000000000001</v>
      </c>
      <c r="K146" s="21">
        <v>1</v>
      </c>
      <c r="L146" s="21">
        <v>0.83799999999999997</v>
      </c>
      <c r="M146" s="21">
        <v>4.3</v>
      </c>
      <c r="N146" s="21">
        <v>1.6</v>
      </c>
      <c r="O146" s="21">
        <v>0.5</v>
      </c>
      <c r="P146" s="21">
        <v>0.5</v>
      </c>
      <c r="Q146" s="21">
        <v>0.7</v>
      </c>
      <c r="R146" s="21">
        <v>1.8</v>
      </c>
      <c r="S146" s="21">
        <v>4.3</v>
      </c>
      <c r="T146" s="21">
        <v>7</v>
      </c>
      <c r="U146" s="21">
        <v>-3.3</v>
      </c>
      <c r="V146" s="21">
        <v>12.1</v>
      </c>
      <c r="W146" s="21">
        <v>7.6999999999999999E-2</v>
      </c>
      <c r="X146" s="4">
        <v>0.1</v>
      </c>
    </row>
    <row r="147" spans="1:24" x14ac:dyDescent="0.35">
      <c r="A147" s="21">
        <v>31</v>
      </c>
      <c r="B147" s="21">
        <v>75</v>
      </c>
      <c r="C147" s="21">
        <v>28.1</v>
      </c>
      <c r="D147" s="21">
        <v>11</v>
      </c>
      <c r="E147" s="21">
        <v>0.40600000000000003</v>
      </c>
      <c r="F147" s="21">
        <v>4.9000000000000004</v>
      </c>
      <c r="G147" s="21">
        <v>0.34200000000000003</v>
      </c>
      <c r="H147" s="21">
        <v>6.1</v>
      </c>
      <c r="I147" s="21">
        <v>0.45800000000000002</v>
      </c>
      <c r="J147" s="21">
        <v>0.48299999999999998</v>
      </c>
      <c r="K147" s="21">
        <v>2.9</v>
      </c>
      <c r="L147" s="21">
        <v>0.83799999999999997</v>
      </c>
      <c r="M147" s="21">
        <v>2.6</v>
      </c>
      <c r="N147" s="21">
        <v>5.4</v>
      </c>
      <c r="O147" s="21">
        <v>0.9</v>
      </c>
      <c r="P147" s="21">
        <v>0.2</v>
      </c>
      <c r="Q147" s="21">
        <v>1.9</v>
      </c>
      <c r="R147" s="21">
        <v>2.4</v>
      </c>
      <c r="S147" s="21">
        <v>13.1</v>
      </c>
      <c r="T147" s="21">
        <v>11</v>
      </c>
      <c r="U147" s="21">
        <v>-2.2000000000000002</v>
      </c>
      <c r="V147" s="21">
        <v>12.7</v>
      </c>
      <c r="W147" s="21">
        <v>7.2999999999999995E-2</v>
      </c>
      <c r="X147" s="4">
        <v>0.1</v>
      </c>
    </row>
    <row r="148" spans="1:24" x14ac:dyDescent="0.35">
      <c r="A148" s="21">
        <v>20</v>
      </c>
      <c r="B148" s="21">
        <v>46</v>
      </c>
      <c r="C148" s="21">
        <v>22.7</v>
      </c>
      <c r="D148" s="21">
        <v>8.1</v>
      </c>
      <c r="E148" s="21">
        <v>0.35799999999999998</v>
      </c>
      <c r="F148" s="21">
        <v>5.7</v>
      </c>
      <c r="G148" s="21">
        <v>0.33300000000000002</v>
      </c>
      <c r="H148" s="21">
        <v>2.4</v>
      </c>
      <c r="I148" s="21">
        <v>0.41399999999999998</v>
      </c>
      <c r="J148" s="21">
        <v>0.47399999999999998</v>
      </c>
      <c r="K148" s="21">
        <v>1.7</v>
      </c>
      <c r="L148" s="21">
        <v>0.83799999999999997</v>
      </c>
      <c r="M148" s="21">
        <v>3.9</v>
      </c>
      <c r="N148" s="21">
        <v>0.9</v>
      </c>
      <c r="O148" s="21">
        <v>0.5</v>
      </c>
      <c r="P148" s="21">
        <v>0.5</v>
      </c>
      <c r="Q148" s="21">
        <v>1</v>
      </c>
      <c r="R148" s="21">
        <v>2.2999999999999998</v>
      </c>
      <c r="S148" s="21">
        <v>9.1</v>
      </c>
      <c r="T148" s="21">
        <v>1</v>
      </c>
      <c r="U148" s="21">
        <v>-4.0999999999999996</v>
      </c>
      <c r="V148" s="21">
        <v>9.1999999999999993</v>
      </c>
      <c r="W148" s="21">
        <v>2.3E-2</v>
      </c>
      <c r="X148" s="4">
        <v>0.4</v>
      </c>
    </row>
    <row r="149" spans="1:24" x14ac:dyDescent="0.35">
      <c r="A149" s="21">
        <v>23</v>
      </c>
      <c r="B149" s="21">
        <v>79</v>
      </c>
      <c r="C149" s="21">
        <v>36.299999999999997</v>
      </c>
      <c r="D149" s="21">
        <v>20.399999999999999</v>
      </c>
      <c r="E149" s="21">
        <v>0.44700000000000001</v>
      </c>
      <c r="F149" s="21">
        <v>10.3</v>
      </c>
      <c r="G149" s="21">
        <v>0.39500000000000002</v>
      </c>
      <c r="H149" s="21">
        <v>10.1</v>
      </c>
      <c r="I149" s="21">
        <v>0.501</v>
      </c>
      <c r="J149" s="21">
        <v>0.54700000000000004</v>
      </c>
      <c r="K149" s="21">
        <v>6.3</v>
      </c>
      <c r="L149" s="21">
        <v>0.83699999999999997</v>
      </c>
      <c r="M149" s="21">
        <v>5.7</v>
      </c>
      <c r="N149" s="21">
        <v>4.5</v>
      </c>
      <c r="O149" s="21">
        <v>1.2</v>
      </c>
      <c r="P149" s="21">
        <v>0.6</v>
      </c>
      <c r="Q149" s="21">
        <v>3.2</v>
      </c>
      <c r="R149" s="21">
        <v>1.9</v>
      </c>
      <c r="S149" s="21">
        <v>27.6</v>
      </c>
      <c r="T149" s="21">
        <v>4</v>
      </c>
      <c r="U149" s="21">
        <v>4.3</v>
      </c>
      <c r="V149" s="21">
        <v>20.100000000000001</v>
      </c>
      <c r="W149" s="21">
        <v>0.14000000000000001</v>
      </c>
      <c r="X149" s="4">
        <v>-0.1</v>
      </c>
    </row>
    <row r="150" spans="1:24" x14ac:dyDescent="0.35">
      <c r="A150" s="21">
        <v>21</v>
      </c>
      <c r="B150" s="21">
        <v>46</v>
      </c>
      <c r="C150" s="21">
        <v>33.200000000000003</v>
      </c>
      <c r="D150" s="21">
        <v>18.600000000000001</v>
      </c>
      <c r="E150" s="21">
        <v>0.47599999999999998</v>
      </c>
      <c r="F150" s="21">
        <v>8.8000000000000007</v>
      </c>
      <c r="G150" s="21">
        <v>0.35199999999999998</v>
      </c>
      <c r="H150" s="21">
        <v>9.9</v>
      </c>
      <c r="I150" s="21">
        <v>0.58599999999999997</v>
      </c>
      <c r="J150" s="21">
        <v>0.55900000000000005</v>
      </c>
      <c r="K150" s="21">
        <v>4.0999999999999996</v>
      </c>
      <c r="L150" s="21">
        <v>0.83599999999999997</v>
      </c>
      <c r="M150" s="21">
        <v>11</v>
      </c>
      <c r="N150" s="21">
        <v>3.7</v>
      </c>
      <c r="O150" s="21">
        <v>1.1000000000000001</v>
      </c>
      <c r="P150" s="21">
        <v>3.8</v>
      </c>
      <c r="Q150" s="21">
        <v>3.2</v>
      </c>
      <c r="R150" s="21">
        <v>2.2999999999999998</v>
      </c>
      <c r="S150" s="21">
        <v>24.3</v>
      </c>
      <c r="T150" s="21">
        <v>1</v>
      </c>
      <c r="U150" s="21">
        <v>6.5</v>
      </c>
      <c r="V150" s="21">
        <v>24.2</v>
      </c>
      <c r="W150" s="21">
        <v>0.11799999999999999</v>
      </c>
      <c r="X150" s="4">
        <v>0.1</v>
      </c>
    </row>
    <row r="151" spans="1:24" x14ac:dyDescent="0.35">
      <c r="A151" s="21">
        <v>24</v>
      </c>
      <c r="B151" s="21">
        <v>66</v>
      </c>
      <c r="C151" s="21">
        <v>18.8</v>
      </c>
      <c r="D151" s="21">
        <v>5.3</v>
      </c>
      <c r="E151" s="21">
        <v>0.45500000000000002</v>
      </c>
      <c r="F151" s="21">
        <v>2.5</v>
      </c>
      <c r="G151" s="21">
        <v>0.34100000000000003</v>
      </c>
      <c r="H151" s="21">
        <v>2.8</v>
      </c>
      <c r="I151" s="21">
        <v>0.55700000000000005</v>
      </c>
      <c r="J151" s="21">
        <v>0.53600000000000003</v>
      </c>
      <c r="K151" s="21">
        <v>0.8</v>
      </c>
      <c r="L151" s="21">
        <v>0.83599999999999997</v>
      </c>
      <c r="M151" s="21">
        <v>4.8</v>
      </c>
      <c r="N151" s="21">
        <v>1.3</v>
      </c>
      <c r="O151" s="21">
        <v>0.6</v>
      </c>
      <c r="P151" s="21">
        <v>0.1</v>
      </c>
      <c r="Q151" s="21">
        <v>0.8</v>
      </c>
      <c r="R151" s="21">
        <v>1.2</v>
      </c>
      <c r="S151" s="21">
        <v>6.3</v>
      </c>
      <c r="T151" s="21">
        <v>3</v>
      </c>
      <c r="U151" s="21">
        <v>-2.5</v>
      </c>
      <c r="V151" s="21">
        <v>12.9</v>
      </c>
      <c r="W151" s="21">
        <v>6.7000000000000004E-2</v>
      </c>
      <c r="X151" s="4">
        <v>1.3</v>
      </c>
    </row>
    <row r="152" spans="1:24" x14ac:dyDescent="0.35">
      <c r="A152" s="21">
        <v>29</v>
      </c>
      <c r="B152" s="21">
        <v>49</v>
      </c>
      <c r="C152" s="21">
        <v>25.4</v>
      </c>
      <c r="D152" s="21">
        <v>12.1</v>
      </c>
      <c r="E152" s="21">
        <v>0.46600000000000003</v>
      </c>
      <c r="F152" s="21">
        <v>3.6</v>
      </c>
      <c r="G152" s="21">
        <v>0.36499999999999999</v>
      </c>
      <c r="H152" s="21">
        <v>8.5</v>
      </c>
      <c r="I152" s="21">
        <v>0.50800000000000001</v>
      </c>
      <c r="J152" s="21">
        <v>0.52</v>
      </c>
      <c r="K152" s="21">
        <v>1.5</v>
      </c>
      <c r="L152" s="21">
        <v>0.83599999999999997</v>
      </c>
      <c r="M152" s="21">
        <v>8.4</v>
      </c>
      <c r="N152" s="21">
        <v>2.1</v>
      </c>
      <c r="O152" s="21">
        <v>0.7</v>
      </c>
      <c r="P152" s="21">
        <v>0.5</v>
      </c>
      <c r="Q152" s="21">
        <v>1.2</v>
      </c>
      <c r="R152" s="21">
        <v>1.9</v>
      </c>
      <c r="S152" s="21">
        <v>13.9</v>
      </c>
      <c r="T152" s="21">
        <v>9</v>
      </c>
      <c r="U152" s="21">
        <v>0.2</v>
      </c>
      <c r="V152" s="21">
        <v>17.7</v>
      </c>
      <c r="W152" s="21">
        <v>0.106</v>
      </c>
      <c r="X152" s="4">
        <v>1.2</v>
      </c>
    </row>
    <row r="153" spans="1:24" x14ac:dyDescent="0.35">
      <c r="A153" s="21">
        <v>28</v>
      </c>
      <c r="B153" s="21">
        <v>58</v>
      </c>
      <c r="C153" s="21">
        <v>25.5</v>
      </c>
      <c r="D153" s="21">
        <v>11</v>
      </c>
      <c r="E153" s="21">
        <v>0.39</v>
      </c>
      <c r="F153" s="21">
        <v>6.2</v>
      </c>
      <c r="G153" s="21">
        <v>0.314</v>
      </c>
      <c r="H153" s="21">
        <v>4.8</v>
      </c>
      <c r="I153" s="21">
        <v>0.48899999999999999</v>
      </c>
      <c r="J153" s="21">
        <v>0.47899999999999998</v>
      </c>
      <c r="K153" s="21">
        <v>2.5</v>
      </c>
      <c r="L153" s="21">
        <v>0.83399999999999996</v>
      </c>
      <c r="M153" s="21">
        <v>2.8</v>
      </c>
      <c r="N153" s="21">
        <v>5.0999999999999996</v>
      </c>
      <c r="O153" s="21">
        <v>1</v>
      </c>
      <c r="P153" s="21">
        <v>0.4</v>
      </c>
      <c r="Q153" s="21">
        <v>1.9</v>
      </c>
      <c r="R153" s="21">
        <v>2</v>
      </c>
      <c r="S153" s="21">
        <v>12.6</v>
      </c>
      <c r="T153" s="21">
        <v>9</v>
      </c>
      <c r="U153" s="21">
        <v>-0.4</v>
      </c>
      <c r="V153" s="21">
        <v>14</v>
      </c>
      <c r="W153" s="21">
        <v>6.3E-2</v>
      </c>
      <c r="X153" s="4">
        <v>0.7</v>
      </c>
    </row>
    <row r="154" spans="1:24" x14ac:dyDescent="0.35">
      <c r="A154" s="21">
        <v>31</v>
      </c>
      <c r="B154" s="21">
        <v>31</v>
      </c>
      <c r="C154" s="21">
        <v>17.2</v>
      </c>
      <c r="D154" s="21">
        <v>4.5</v>
      </c>
      <c r="E154" s="21">
        <v>0.64700000000000002</v>
      </c>
      <c r="F154" s="21">
        <v>0.1</v>
      </c>
      <c r="G154" s="21">
        <v>0</v>
      </c>
      <c r="H154" s="21">
        <v>4.4000000000000004</v>
      </c>
      <c r="I154" s="21">
        <v>0.66200000000000003</v>
      </c>
      <c r="J154" s="21">
        <v>0.64700000000000002</v>
      </c>
      <c r="K154" s="21">
        <v>1.9</v>
      </c>
      <c r="L154" s="21">
        <v>0.83299999999999996</v>
      </c>
      <c r="M154" s="21">
        <v>5.7</v>
      </c>
      <c r="N154" s="21">
        <v>1.4</v>
      </c>
      <c r="O154" s="21">
        <v>0.3</v>
      </c>
      <c r="P154" s="21">
        <v>0.7</v>
      </c>
      <c r="Q154" s="21">
        <v>0.7</v>
      </c>
      <c r="R154" s="21">
        <v>1.6</v>
      </c>
      <c r="S154" s="21">
        <v>7.4</v>
      </c>
      <c r="T154" s="21">
        <v>9</v>
      </c>
      <c r="U154" s="21">
        <v>1.1000000000000001</v>
      </c>
      <c r="V154" s="21">
        <v>19.8</v>
      </c>
      <c r="W154" s="21">
        <v>0.17799999999999999</v>
      </c>
      <c r="X154" s="4">
        <v>-0.7</v>
      </c>
    </row>
    <row r="155" spans="1:24" x14ac:dyDescent="0.35">
      <c r="A155" s="21">
        <v>25</v>
      </c>
      <c r="B155" s="21">
        <v>33</v>
      </c>
      <c r="C155" s="21">
        <v>14.8</v>
      </c>
      <c r="D155" s="21">
        <v>5.7</v>
      </c>
      <c r="E155" s="21">
        <v>0.52100000000000002</v>
      </c>
      <c r="F155" s="21">
        <v>1.8</v>
      </c>
      <c r="G155" s="21">
        <v>0.4</v>
      </c>
      <c r="H155" s="21">
        <v>3.9</v>
      </c>
      <c r="I155" s="21">
        <v>0.57799999999999996</v>
      </c>
      <c r="J155" s="21">
        <v>0.58499999999999996</v>
      </c>
      <c r="K155" s="21">
        <v>2</v>
      </c>
      <c r="L155" s="21">
        <v>0.83299999999999996</v>
      </c>
      <c r="M155" s="21">
        <v>1.8</v>
      </c>
      <c r="N155" s="21">
        <v>2.2999999999999998</v>
      </c>
      <c r="O155" s="21">
        <v>0.7</v>
      </c>
      <c r="P155" s="21">
        <v>0.2</v>
      </c>
      <c r="Q155" s="21">
        <v>1.2</v>
      </c>
      <c r="R155" s="21">
        <v>1</v>
      </c>
      <c r="S155" s="21">
        <v>8.3000000000000007</v>
      </c>
      <c r="T155" s="21">
        <v>2</v>
      </c>
      <c r="U155" s="21">
        <v>1</v>
      </c>
      <c r="V155" s="21">
        <v>18.3</v>
      </c>
      <c r="W155" s="21">
        <v>0.129</v>
      </c>
      <c r="X155" s="4">
        <v>-0.3</v>
      </c>
    </row>
    <row r="156" spans="1:24" x14ac:dyDescent="0.35">
      <c r="A156" s="21">
        <v>24</v>
      </c>
      <c r="B156" s="21">
        <v>76</v>
      </c>
      <c r="C156" s="21">
        <v>34.299999999999997</v>
      </c>
      <c r="D156" s="21">
        <v>10.8</v>
      </c>
      <c r="E156" s="21">
        <v>0.44400000000000001</v>
      </c>
      <c r="F156" s="21">
        <v>5.9</v>
      </c>
      <c r="G156" s="21">
        <v>0.34300000000000003</v>
      </c>
      <c r="H156" s="21">
        <v>4.9000000000000004</v>
      </c>
      <c r="I156" s="21">
        <v>0.56599999999999995</v>
      </c>
      <c r="J156" s="21">
        <v>0.53800000000000003</v>
      </c>
      <c r="K156" s="21">
        <v>0.9</v>
      </c>
      <c r="L156" s="21">
        <v>0.83299999999999996</v>
      </c>
      <c r="M156" s="21">
        <v>6.7</v>
      </c>
      <c r="N156" s="21">
        <v>1.4</v>
      </c>
      <c r="O156" s="21">
        <v>0.8</v>
      </c>
      <c r="P156" s="21">
        <v>0.9</v>
      </c>
      <c r="Q156" s="21">
        <v>0.8</v>
      </c>
      <c r="R156" s="21">
        <v>2.4</v>
      </c>
      <c r="S156" s="21">
        <v>12.4</v>
      </c>
      <c r="T156" s="21">
        <v>2</v>
      </c>
      <c r="U156" s="21">
        <v>-1.6</v>
      </c>
      <c r="V156" s="21">
        <v>12</v>
      </c>
      <c r="W156" s="21">
        <v>8.2000000000000003E-2</v>
      </c>
      <c r="X156" s="4">
        <v>0.8</v>
      </c>
    </row>
    <row r="157" spans="1:24" x14ac:dyDescent="0.35">
      <c r="A157" s="21">
        <v>23</v>
      </c>
      <c r="B157" s="21">
        <v>6</v>
      </c>
      <c r="C157" s="21">
        <v>27</v>
      </c>
      <c r="D157" s="21">
        <v>7.2</v>
      </c>
      <c r="E157" s="21">
        <v>0.41899999999999998</v>
      </c>
      <c r="F157" s="21">
        <v>3.5</v>
      </c>
      <c r="G157" s="21">
        <v>0.38100000000000001</v>
      </c>
      <c r="H157" s="21">
        <v>3.7</v>
      </c>
      <c r="I157" s="21">
        <v>0.45500000000000002</v>
      </c>
      <c r="J157" s="21">
        <v>0.51200000000000001</v>
      </c>
      <c r="K157" s="21">
        <v>2</v>
      </c>
      <c r="L157" s="21">
        <v>0.83299999999999996</v>
      </c>
      <c r="M157" s="21">
        <v>3</v>
      </c>
      <c r="N157" s="21">
        <v>5.2</v>
      </c>
      <c r="O157" s="21">
        <v>0.7</v>
      </c>
      <c r="P157" s="21">
        <v>0.7</v>
      </c>
      <c r="Q157" s="21">
        <v>1.5</v>
      </c>
      <c r="R157" s="21">
        <v>2.2000000000000002</v>
      </c>
      <c r="S157" s="21">
        <v>9</v>
      </c>
      <c r="T157" s="21">
        <v>4</v>
      </c>
      <c r="U157" s="21">
        <v>-0.6</v>
      </c>
      <c r="V157" s="21">
        <v>12.7</v>
      </c>
      <c r="W157" s="21">
        <v>9.5000000000000001E-2</v>
      </c>
      <c r="X157" s="4">
        <v>0.4</v>
      </c>
    </row>
    <row r="158" spans="1:24" x14ac:dyDescent="0.35">
      <c r="A158" s="21">
        <v>29</v>
      </c>
      <c r="B158" s="21">
        <v>75</v>
      </c>
      <c r="C158" s="21">
        <v>16.5</v>
      </c>
      <c r="D158" s="21">
        <v>5</v>
      </c>
      <c r="E158" s="21">
        <v>0.40200000000000002</v>
      </c>
      <c r="F158" s="21">
        <v>3</v>
      </c>
      <c r="G158" s="21">
        <v>0.33500000000000002</v>
      </c>
      <c r="H158" s="21">
        <v>1.9</v>
      </c>
      <c r="I158" s="21">
        <v>0.50700000000000001</v>
      </c>
      <c r="J158" s="21">
        <v>0.504</v>
      </c>
      <c r="K158" s="21">
        <v>1.1000000000000001</v>
      </c>
      <c r="L158" s="21">
        <v>0.83299999999999996</v>
      </c>
      <c r="M158" s="21">
        <v>2.9</v>
      </c>
      <c r="N158" s="21">
        <v>0.9</v>
      </c>
      <c r="O158" s="21">
        <v>0.4</v>
      </c>
      <c r="P158" s="21">
        <v>0.2</v>
      </c>
      <c r="Q158" s="21">
        <v>0.7</v>
      </c>
      <c r="R158" s="21">
        <v>1.3</v>
      </c>
      <c r="S158" s="21">
        <v>5.9</v>
      </c>
      <c r="T158" s="21">
        <v>2</v>
      </c>
      <c r="U158" s="21">
        <v>-2.9</v>
      </c>
      <c r="V158" s="21">
        <v>9.6999999999999993</v>
      </c>
      <c r="W158" s="21">
        <v>6.3E-2</v>
      </c>
      <c r="X158" s="4">
        <v>0</v>
      </c>
    </row>
    <row r="159" spans="1:24" x14ac:dyDescent="0.35">
      <c r="A159" s="21">
        <v>26</v>
      </c>
      <c r="B159" s="21">
        <v>4</v>
      </c>
      <c r="C159" s="21">
        <v>11</v>
      </c>
      <c r="D159" s="21">
        <v>3.3</v>
      </c>
      <c r="E159" s="21">
        <v>0.38500000000000001</v>
      </c>
      <c r="F159" s="21">
        <v>1</v>
      </c>
      <c r="G159" s="21">
        <v>0.25</v>
      </c>
      <c r="H159" s="21">
        <v>2.2999999999999998</v>
      </c>
      <c r="I159" s="21">
        <v>0.44400000000000001</v>
      </c>
      <c r="J159" s="21">
        <v>0.42299999999999999</v>
      </c>
      <c r="K159" s="21">
        <v>1.5</v>
      </c>
      <c r="L159" s="21">
        <v>0.83299999999999996</v>
      </c>
      <c r="M159" s="21">
        <v>1.8</v>
      </c>
      <c r="N159" s="21">
        <v>1.8</v>
      </c>
      <c r="O159" s="21">
        <v>0.8</v>
      </c>
      <c r="P159" s="21">
        <v>0</v>
      </c>
      <c r="Q159" s="21">
        <v>1</v>
      </c>
      <c r="R159" s="21">
        <v>1</v>
      </c>
      <c r="S159" s="21">
        <v>4</v>
      </c>
      <c r="T159" s="21">
        <v>4</v>
      </c>
      <c r="U159" s="21">
        <v>-2.8</v>
      </c>
      <c r="V159" s="21">
        <v>12.4</v>
      </c>
      <c r="W159" s="21">
        <v>4.2999999999999997E-2</v>
      </c>
      <c r="X159" s="4">
        <v>0</v>
      </c>
    </row>
    <row r="160" spans="1:24" x14ac:dyDescent="0.35">
      <c r="A160" s="21">
        <v>34</v>
      </c>
      <c r="B160" s="21">
        <v>9</v>
      </c>
      <c r="C160" s="21">
        <v>11.4</v>
      </c>
      <c r="D160" s="21">
        <v>2.4</v>
      </c>
      <c r="E160" s="21">
        <v>0.318</v>
      </c>
      <c r="F160" s="21">
        <v>1.7</v>
      </c>
      <c r="G160" s="21">
        <v>0.26700000000000002</v>
      </c>
      <c r="H160" s="21">
        <v>0.8</v>
      </c>
      <c r="I160" s="21">
        <v>0.42899999999999999</v>
      </c>
      <c r="J160" s="21">
        <v>0.40899999999999997</v>
      </c>
      <c r="K160" s="21">
        <v>0.7</v>
      </c>
      <c r="L160" s="21">
        <v>0.83299999999999996</v>
      </c>
      <c r="M160" s="21">
        <v>2.2000000000000002</v>
      </c>
      <c r="N160" s="21">
        <v>0.7</v>
      </c>
      <c r="O160" s="21">
        <v>0.3</v>
      </c>
      <c r="P160" s="21">
        <v>0</v>
      </c>
      <c r="Q160" s="21">
        <v>0.4</v>
      </c>
      <c r="R160" s="21">
        <v>1.1000000000000001</v>
      </c>
      <c r="S160" s="21">
        <v>2.6</v>
      </c>
      <c r="T160" s="21">
        <v>12</v>
      </c>
      <c r="U160" s="21">
        <v>-4.3</v>
      </c>
      <c r="V160" s="21">
        <v>6.6</v>
      </c>
      <c r="W160" s="21">
        <v>2.5999999999999999E-2</v>
      </c>
      <c r="X160" s="4">
        <v>-0.1</v>
      </c>
    </row>
    <row r="161" spans="1:24" x14ac:dyDescent="0.35">
      <c r="A161" s="21">
        <v>35</v>
      </c>
      <c r="B161" s="21">
        <v>15</v>
      </c>
      <c r="C161" s="21">
        <v>11</v>
      </c>
      <c r="D161" s="21">
        <v>4.7</v>
      </c>
      <c r="E161" s="21">
        <v>0.3</v>
      </c>
      <c r="F161" s="21">
        <v>2.4</v>
      </c>
      <c r="G161" s="21">
        <v>0.25</v>
      </c>
      <c r="H161" s="21">
        <v>2.2999999999999998</v>
      </c>
      <c r="I161" s="21">
        <v>0.35299999999999998</v>
      </c>
      <c r="J161" s="21">
        <v>0.36399999999999999</v>
      </c>
      <c r="K161" s="21">
        <v>0.4</v>
      </c>
      <c r="L161" s="21">
        <v>0.83299999999999996</v>
      </c>
      <c r="M161" s="21">
        <v>1.5</v>
      </c>
      <c r="N161" s="21">
        <v>1.4</v>
      </c>
      <c r="O161" s="21">
        <v>0.1</v>
      </c>
      <c r="P161" s="21">
        <v>0.2</v>
      </c>
      <c r="Q161" s="21">
        <v>0.3</v>
      </c>
      <c r="R161" s="21">
        <v>1.1000000000000001</v>
      </c>
      <c r="S161" s="21">
        <v>3.7</v>
      </c>
      <c r="T161" s="21">
        <v>13</v>
      </c>
      <c r="U161" s="21">
        <v>-7.6</v>
      </c>
      <c r="V161" s="21">
        <v>6</v>
      </c>
      <c r="W161" s="21">
        <v>-4.3999999999999997E-2</v>
      </c>
      <c r="X161" s="4">
        <v>0</v>
      </c>
    </row>
    <row r="162" spans="1:24" x14ac:dyDescent="0.35">
      <c r="A162" s="21">
        <v>22</v>
      </c>
      <c r="B162" s="21">
        <v>13</v>
      </c>
      <c r="C162" s="21">
        <v>2.5</v>
      </c>
      <c r="D162" s="21">
        <v>1.1000000000000001</v>
      </c>
      <c r="E162" s="21">
        <v>0.28599999999999998</v>
      </c>
      <c r="F162" s="21">
        <v>0.3</v>
      </c>
      <c r="G162" s="21">
        <v>0</v>
      </c>
      <c r="H162" s="21">
        <v>0.8</v>
      </c>
      <c r="I162" s="21">
        <v>0.4</v>
      </c>
      <c r="J162" s="21">
        <v>0.28599999999999998</v>
      </c>
      <c r="K162" s="21">
        <v>0.5</v>
      </c>
      <c r="L162" s="21">
        <v>0.83299999999999996</v>
      </c>
      <c r="M162" s="21">
        <v>0.2</v>
      </c>
      <c r="N162" s="21">
        <v>0.2</v>
      </c>
      <c r="O162" s="21">
        <v>0.1</v>
      </c>
      <c r="P162" s="21">
        <v>0</v>
      </c>
      <c r="Q162" s="21">
        <v>0.3</v>
      </c>
      <c r="R162" s="21">
        <v>0.2</v>
      </c>
      <c r="S162" s="21">
        <v>1</v>
      </c>
      <c r="T162" s="21">
        <v>2</v>
      </c>
      <c r="U162" s="21">
        <v>-13.6</v>
      </c>
      <c r="V162" s="21">
        <v>1.7</v>
      </c>
      <c r="W162" s="21">
        <v>-0.17199999999999999</v>
      </c>
      <c r="X162" s="4">
        <v>-0.1</v>
      </c>
    </row>
    <row r="163" spans="1:24" x14ac:dyDescent="0.35">
      <c r="A163" s="21">
        <v>26</v>
      </c>
      <c r="B163" s="21">
        <v>76</v>
      </c>
      <c r="C163" s="21">
        <v>22.9</v>
      </c>
      <c r="D163" s="21">
        <v>9.6</v>
      </c>
      <c r="E163" s="21">
        <v>0.48799999999999999</v>
      </c>
      <c r="F163" s="21">
        <v>4.5</v>
      </c>
      <c r="G163" s="21">
        <v>0.38300000000000001</v>
      </c>
      <c r="H163" s="21">
        <v>5.0999999999999996</v>
      </c>
      <c r="I163" s="21">
        <v>0.57799999999999996</v>
      </c>
      <c r="J163" s="21">
        <v>0.57699999999999996</v>
      </c>
      <c r="K163" s="21">
        <v>1.2</v>
      </c>
      <c r="L163" s="21">
        <v>0.83099999999999996</v>
      </c>
      <c r="M163" s="21">
        <v>3.9</v>
      </c>
      <c r="N163" s="21">
        <v>1.8</v>
      </c>
      <c r="O163" s="21">
        <v>0.8</v>
      </c>
      <c r="P163" s="21">
        <v>0.2</v>
      </c>
      <c r="Q163" s="21">
        <v>0.9</v>
      </c>
      <c r="R163" s="21">
        <v>1.3</v>
      </c>
      <c r="S163" s="21">
        <v>12</v>
      </c>
      <c r="T163" s="21">
        <v>3</v>
      </c>
      <c r="U163" s="21">
        <v>1.1000000000000001</v>
      </c>
      <c r="V163" s="21">
        <v>16.100000000000001</v>
      </c>
      <c r="W163" s="21">
        <v>0.14799999999999999</v>
      </c>
      <c r="X163" s="4">
        <v>0.3</v>
      </c>
    </row>
    <row r="164" spans="1:24" x14ac:dyDescent="0.35">
      <c r="A164" s="21">
        <v>22</v>
      </c>
      <c r="B164" s="21">
        <v>72</v>
      </c>
      <c r="C164" s="21">
        <v>29.8</v>
      </c>
      <c r="D164" s="21">
        <v>11.8</v>
      </c>
      <c r="E164" s="21">
        <v>0.45800000000000002</v>
      </c>
      <c r="F164" s="21">
        <v>4</v>
      </c>
      <c r="G164" s="21">
        <v>0.34</v>
      </c>
      <c r="H164" s="21">
        <v>7.8</v>
      </c>
      <c r="I164" s="21">
        <v>0.51900000000000002</v>
      </c>
      <c r="J164" s="21">
        <v>0.51600000000000001</v>
      </c>
      <c r="K164" s="21">
        <v>4.5999999999999996</v>
      </c>
      <c r="L164" s="21">
        <v>0.83099999999999996</v>
      </c>
      <c r="M164" s="21">
        <v>5.3</v>
      </c>
      <c r="N164" s="21">
        <v>1.9</v>
      </c>
      <c r="O164" s="21">
        <v>0.7</v>
      </c>
      <c r="P164" s="21">
        <v>0.3</v>
      </c>
      <c r="Q164" s="21">
        <v>1.9</v>
      </c>
      <c r="R164" s="21">
        <v>2.2999999999999998</v>
      </c>
      <c r="S164" s="21">
        <v>16.100000000000001</v>
      </c>
      <c r="T164" s="21">
        <v>2</v>
      </c>
      <c r="U164" s="21">
        <v>-2.9</v>
      </c>
      <c r="V164" s="21">
        <v>13.6</v>
      </c>
      <c r="W164" s="21">
        <v>6.8000000000000005E-2</v>
      </c>
      <c r="X164" s="4">
        <v>1.1000000000000001</v>
      </c>
    </row>
    <row r="165" spans="1:24" x14ac:dyDescent="0.35">
      <c r="A165" s="21">
        <v>29</v>
      </c>
      <c r="B165" s="21">
        <v>72</v>
      </c>
      <c r="C165" s="21">
        <v>35</v>
      </c>
      <c r="D165" s="21">
        <v>16.899999999999999</v>
      </c>
      <c r="E165" s="21">
        <v>0.52600000000000002</v>
      </c>
      <c r="F165" s="21">
        <v>4.7</v>
      </c>
      <c r="G165" s="21">
        <v>0.42</v>
      </c>
      <c r="H165" s="21">
        <v>12.2</v>
      </c>
      <c r="I165" s="21">
        <v>0.56699999999999995</v>
      </c>
      <c r="J165" s="21">
        <v>0.58399999999999996</v>
      </c>
      <c r="K165" s="21">
        <v>5.7</v>
      </c>
      <c r="L165" s="21">
        <v>0.82899999999999996</v>
      </c>
      <c r="M165" s="21">
        <v>12.8</v>
      </c>
      <c r="N165" s="21">
        <v>3.1</v>
      </c>
      <c r="O165" s="21">
        <v>1</v>
      </c>
      <c r="P165" s="21">
        <v>0.7</v>
      </c>
      <c r="Q165" s="21">
        <v>2.7</v>
      </c>
      <c r="R165" s="21">
        <v>3.5</v>
      </c>
      <c r="S165" s="21">
        <v>24.4</v>
      </c>
      <c r="T165" s="21">
        <v>9</v>
      </c>
      <c r="U165" s="21">
        <v>3.6</v>
      </c>
      <c r="V165" s="21">
        <v>23.4</v>
      </c>
      <c r="W165" s="21">
        <v>0.193</v>
      </c>
      <c r="X165" s="4">
        <v>0.5</v>
      </c>
    </row>
    <row r="166" spans="1:24" x14ac:dyDescent="0.35">
      <c r="A166" s="21">
        <v>28</v>
      </c>
      <c r="B166" s="21">
        <v>62</v>
      </c>
      <c r="C166" s="21">
        <v>12.8</v>
      </c>
      <c r="D166" s="21">
        <v>4.3</v>
      </c>
      <c r="E166" s="21">
        <v>0.437</v>
      </c>
      <c r="F166" s="21">
        <v>2.9</v>
      </c>
      <c r="G166" s="21">
        <v>0.39800000000000002</v>
      </c>
      <c r="H166" s="21">
        <v>1.4</v>
      </c>
      <c r="I166" s="21">
        <v>0.51700000000000002</v>
      </c>
      <c r="J166" s="21">
        <v>0.57099999999999995</v>
      </c>
      <c r="K166" s="21">
        <v>0.7</v>
      </c>
      <c r="L166" s="21">
        <v>0.82899999999999996</v>
      </c>
      <c r="M166" s="21">
        <v>1.3</v>
      </c>
      <c r="N166" s="21">
        <v>1.3</v>
      </c>
      <c r="O166" s="21">
        <v>0.3</v>
      </c>
      <c r="P166" s="21">
        <v>0.2</v>
      </c>
      <c r="Q166" s="21">
        <v>0.6</v>
      </c>
      <c r="R166" s="21">
        <v>1</v>
      </c>
      <c r="S166" s="21">
        <v>5.5</v>
      </c>
      <c r="T166" s="21">
        <v>6</v>
      </c>
      <c r="U166" s="21">
        <v>-0.2</v>
      </c>
      <c r="V166" s="21">
        <v>12.2</v>
      </c>
      <c r="W166" s="21">
        <v>0.122</v>
      </c>
      <c r="X166" s="4">
        <v>0.5</v>
      </c>
    </row>
    <row r="167" spans="1:24" x14ac:dyDescent="0.35">
      <c r="A167" s="21">
        <v>22</v>
      </c>
      <c r="B167" s="21">
        <v>36</v>
      </c>
      <c r="C167" s="21">
        <v>16.600000000000001</v>
      </c>
      <c r="D167" s="21">
        <v>5.0999999999999996</v>
      </c>
      <c r="E167" s="21">
        <v>0.495</v>
      </c>
      <c r="F167" s="21">
        <v>1.7</v>
      </c>
      <c r="G167" s="21">
        <v>0.38300000000000001</v>
      </c>
      <c r="H167" s="21">
        <v>3.4</v>
      </c>
      <c r="I167" s="21">
        <v>0.54800000000000004</v>
      </c>
      <c r="J167" s="21">
        <v>0.55700000000000005</v>
      </c>
      <c r="K167" s="21">
        <v>1</v>
      </c>
      <c r="L167" s="21">
        <v>0.82899999999999996</v>
      </c>
      <c r="M167" s="21">
        <v>1.9</v>
      </c>
      <c r="N167" s="21">
        <v>1.8</v>
      </c>
      <c r="O167" s="21">
        <v>0.7</v>
      </c>
      <c r="P167" s="21">
        <v>0.1</v>
      </c>
      <c r="Q167" s="21">
        <v>0.8</v>
      </c>
      <c r="R167" s="21">
        <v>1.9</v>
      </c>
      <c r="S167" s="21">
        <v>6.5</v>
      </c>
      <c r="T167" s="21">
        <v>0</v>
      </c>
      <c r="U167" s="21">
        <v>-1.6</v>
      </c>
      <c r="V167" s="21">
        <v>12</v>
      </c>
      <c r="W167" s="21">
        <v>0.122</v>
      </c>
      <c r="X167" s="4">
        <v>-0.1</v>
      </c>
    </row>
    <row r="168" spans="1:24" x14ac:dyDescent="0.35">
      <c r="A168" s="21">
        <v>31</v>
      </c>
      <c r="B168" s="21">
        <v>41</v>
      </c>
      <c r="C168" s="21">
        <v>19.100000000000001</v>
      </c>
      <c r="D168" s="21">
        <v>6.7</v>
      </c>
      <c r="E168" s="21">
        <v>0.34799999999999998</v>
      </c>
      <c r="F168" s="21">
        <v>3</v>
      </c>
      <c r="G168" s="21">
        <v>0.36</v>
      </c>
      <c r="H168" s="21">
        <v>3.6</v>
      </c>
      <c r="I168" s="21">
        <v>0.33800000000000002</v>
      </c>
      <c r="J168" s="21">
        <v>0.43</v>
      </c>
      <c r="K168" s="21">
        <v>1</v>
      </c>
      <c r="L168" s="21">
        <v>0.82899999999999996</v>
      </c>
      <c r="M168" s="21">
        <v>2.2000000000000002</v>
      </c>
      <c r="N168" s="21">
        <v>3.1</v>
      </c>
      <c r="O168" s="21">
        <v>0.4</v>
      </c>
      <c r="P168" s="21">
        <v>0</v>
      </c>
      <c r="Q168" s="21">
        <v>1.9</v>
      </c>
      <c r="R168" s="21">
        <v>1.1000000000000001</v>
      </c>
      <c r="S168" s="21">
        <v>6.6</v>
      </c>
      <c r="T168" s="21">
        <v>1</v>
      </c>
      <c r="U168" s="21">
        <v>-7</v>
      </c>
      <c r="V168" s="21">
        <v>6.5</v>
      </c>
      <c r="W168" s="21">
        <v>-0.06</v>
      </c>
      <c r="X168" s="4">
        <v>0.2</v>
      </c>
    </row>
    <row r="169" spans="1:24" x14ac:dyDescent="0.35">
      <c r="A169" s="21">
        <v>21</v>
      </c>
      <c r="B169" s="21">
        <v>46</v>
      </c>
      <c r="C169" s="21">
        <v>25.1</v>
      </c>
      <c r="D169" s="21">
        <v>8.1999999999999993</v>
      </c>
      <c r="E169" s="21">
        <v>0.45600000000000002</v>
      </c>
      <c r="F169" s="21">
        <v>4.5999999999999996</v>
      </c>
      <c r="G169" s="21">
        <v>0.371</v>
      </c>
      <c r="H169" s="21">
        <v>3.6</v>
      </c>
      <c r="I169" s="21">
        <v>0.56299999999999994</v>
      </c>
      <c r="J169" s="21">
        <v>0.56000000000000005</v>
      </c>
      <c r="K169" s="21">
        <v>1.9</v>
      </c>
      <c r="L169" s="21">
        <v>0.82799999999999996</v>
      </c>
      <c r="M169" s="21">
        <v>3.9</v>
      </c>
      <c r="N169" s="21">
        <v>2.8</v>
      </c>
      <c r="O169" s="21">
        <v>0.8</v>
      </c>
      <c r="P169" s="21">
        <v>0.3</v>
      </c>
      <c r="Q169" s="21">
        <v>1.3</v>
      </c>
      <c r="R169" s="21">
        <v>1.8</v>
      </c>
      <c r="S169" s="21">
        <v>10.7</v>
      </c>
      <c r="T169" s="21">
        <v>2</v>
      </c>
      <c r="U169" s="21">
        <v>0.3</v>
      </c>
      <c r="V169" s="21">
        <v>13.8</v>
      </c>
      <c r="W169" s="21">
        <v>0.104</v>
      </c>
      <c r="X169" s="4">
        <v>0.1</v>
      </c>
    </row>
    <row r="170" spans="1:24" x14ac:dyDescent="0.35">
      <c r="A170" s="21">
        <v>32</v>
      </c>
      <c r="B170" s="21">
        <v>82</v>
      </c>
      <c r="C170" s="21">
        <v>22.7</v>
      </c>
      <c r="D170" s="21">
        <v>9.6</v>
      </c>
      <c r="E170" s="21">
        <v>0.41699999999999998</v>
      </c>
      <c r="F170" s="21">
        <v>6.7</v>
      </c>
      <c r="G170" s="21">
        <v>0.37</v>
      </c>
      <c r="H170" s="21">
        <v>2.9</v>
      </c>
      <c r="I170" s="21">
        <v>0.52700000000000002</v>
      </c>
      <c r="J170" s="21">
        <v>0.54600000000000004</v>
      </c>
      <c r="K170" s="21">
        <v>0.8</v>
      </c>
      <c r="L170" s="21">
        <v>0.82799999999999996</v>
      </c>
      <c r="M170" s="21">
        <v>3.2</v>
      </c>
      <c r="N170" s="21">
        <v>1.6</v>
      </c>
      <c r="O170" s="21">
        <v>0.8</v>
      </c>
      <c r="P170" s="21">
        <v>0.3</v>
      </c>
      <c r="Q170" s="21">
        <v>1.1000000000000001</v>
      </c>
      <c r="R170" s="21">
        <v>1.6</v>
      </c>
      <c r="S170" s="21">
        <v>11.1</v>
      </c>
      <c r="T170" s="21">
        <v>8</v>
      </c>
      <c r="U170" s="21">
        <v>-1</v>
      </c>
      <c r="V170" s="21">
        <v>12.3</v>
      </c>
      <c r="W170" s="21">
        <v>7.2999999999999995E-2</v>
      </c>
      <c r="X170" s="4">
        <v>0.3</v>
      </c>
    </row>
    <row r="171" spans="1:24" x14ac:dyDescent="0.35">
      <c r="A171" s="21">
        <v>23</v>
      </c>
      <c r="B171" s="21">
        <v>79</v>
      </c>
      <c r="C171" s="21">
        <v>33.9</v>
      </c>
      <c r="D171" s="21">
        <v>10.4</v>
      </c>
      <c r="E171" s="21">
        <v>0.57999999999999996</v>
      </c>
      <c r="F171" s="21">
        <v>2.8</v>
      </c>
      <c r="G171" s="21">
        <v>0.39700000000000002</v>
      </c>
      <c r="H171" s="21">
        <v>7.6</v>
      </c>
      <c r="I171" s="21">
        <v>0.64800000000000002</v>
      </c>
      <c r="J171" s="21">
        <v>0.63400000000000001</v>
      </c>
      <c r="K171" s="21">
        <v>2.7</v>
      </c>
      <c r="L171" s="21">
        <v>0.82699999999999996</v>
      </c>
      <c r="M171" s="21">
        <v>5.2</v>
      </c>
      <c r="N171" s="21">
        <v>2.6</v>
      </c>
      <c r="O171" s="21">
        <v>1.1000000000000001</v>
      </c>
      <c r="P171" s="21">
        <v>0.5</v>
      </c>
      <c r="Q171" s="21">
        <v>1</v>
      </c>
      <c r="R171" s="21">
        <v>2.2000000000000002</v>
      </c>
      <c r="S171" s="21">
        <v>15.4</v>
      </c>
      <c r="T171" s="21">
        <v>2</v>
      </c>
      <c r="U171" s="21">
        <v>0.3</v>
      </c>
      <c r="V171" s="21">
        <v>16</v>
      </c>
      <c r="W171" s="21">
        <v>0.14399999999999999</v>
      </c>
      <c r="X171" s="4">
        <v>0</v>
      </c>
    </row>
    <row r="172" spans="1:24" x14ac:dyDescent="0.35">
      <c r="A172" s="21">
        <v>27</v>
      </c>
      <c r="B172" s="21">
        <v>62</v>
      </c>
      <c r="C172" s="21">
        <v>36.1</v>
      </c>
      <c r="D172" s="21">
        <v>18.8</v>
      </c>
      <c r="E172" s="21">
        <v>0.46300000000000002</v>
      </c>
      <c r="F172" s="21">
        <v>6.1</v>
      </c>
      <c r="G172" s="21">
        <v>0.31</v>
      </c>
      <c r="H172" s="21">
        <v>12.6</v>
      </c>
      <c r="I172" s="21">
        <v>0.53800000000000003</v>
      </c>
      <c r="J172" s="21">
        <v>0.51400000000000001</v>
      </c>
      <c r="K172" s="21">
        <v>5.0999999999999996</v>
      </c>
      <c r="L172" s="21">
        <v>0.82699999999999996</v>
      </c>
      <c r="M172" s="21">
        <v>4.8</v>
      </c>
      <c r="N172" s="21">
        <v>6.3</v>
      </c>
      <c r="O172" s="21">
        <v>1.5</v>
      </c>
      <c r="P172" s="21">
        <v>0.4</v>
      </c>
      <c r="Q172" s="21">
        <v>2.8</v>
      </c>
      <c r="R172" s="21">
        <v>2.6</v>
      </c>
      <c r="S172" s="21">
        <v>23.5</v>
      </c>
      <c r="T172" s="21">
        <v>7</v>
      </c>
      <c r="U172" s="21">
        <v>0.4</v>
      </c>
      <c r="V172" s="21">
        <v>18.3</v>
      </c>
      <c r="W172" s="21">
        <v>9.2999999999999999E-2</v>
      </c>
      <c r="X172" s="4">
        <v>-0.1</v>
      </c>
    </row>
    <row r="173" spans="1:24" x14ac:dyDescent="0.35">
      <c r="A173" s="21">
        <v>36</v>
      </c>
      <c r="B173" s="21">
        <v>80</v>
      </c>
      <c r="C173" s="21">
        <v>31.8</v>
      </c>
      <c r="D173" s="21">
        <v>9.6999999999999993</v>
      </c>
      <c r="E173" s="21">
        <v>0.50900000000000001</v>
      </c>
      <c r="F173" s="21">
        <v>4.7</v>
      </c>
      <c r="G173" s="21">
        <v>0.373</v>
      </c>
      <c r="H173" s="21">
        <v>5</v>
      </c>
      <c r="I173" s="21">
        <v>0.63600000000000001</v>
      </c>
      <c r="J173" s="21">
        <v>0.59899999999999998</v>
      </c>
      <c r="K173" s="21">
        <v>1.7</v>
      </c>
      <c r="L173" s="21">
        <v>0.82599999999999996</v>
      </c>
      <c r="M173" s="21">
        <v>5</v>
      </c>
      <c r="N173" s="21">
        <v>1.8</v>
      </c>
      <c r="O173" s="21">
        <v>0.6</v>
      </c>
      <c r="P173" s="21">
        <v>1.9</v>
      </c>
      <c r="Q173" s="21">
        <v>1.1000000000000001</v>
      </c>
      <c r="R173" s="21">
        <v>2.1</v>
      </c>
      <c r="S173" s="21">
        <v>13</v>
      </c>
      <c r="T173" s="21">
        <v>16</v>
      </c>
      <c r="U173" s="21">
        <v>0.8</v>
      </c>
      <c r="V173" s="21">
        <v>14.8</v>
      </c>
      <c r="W173" s="21">
        <v>0.124</v>
      </c>
      <c r="X173" s="4">
        <v>0</v>
      </c>
    </row>
    <row r="174" spans="1:24" x14ac:dyDescent="0.35">
      <c r="A174" s="21">
        <v>29</v>
      </c>
      <c r="B174" s="21">
        <v>74</v>
      </c>
      <c r="C174" s="21">
        <v>35.200000000000003</v>
      </c>
      <c r="D174" s="21">
        <v>16.5</v>
      </c>
      <c r="E174" s="21">
        <v>0.51100000000000001</v>
      </c>
      <c r="F174" s="21">
        <v>7.2</v>
      </c>
      <c r="G174" s="21">
        <v>0.44600000000000001</v>
      </c>
      <c r="H174" s="21">
        <v>9.3000000000000007</v>
      </c>
      <c r="I174" s="21">
        <v>0.56200000000000006</v>
      </c>
      <c r="J174" s="21">
        <v>0.60899999999999999</v>
      </c>
      <c r="K174" s="21">
        <v>3.9</v>
      </c>
      <c r="L174" s="21">
        <v>0.82499999999999996</v>
      </c>
      <c r="M174" s="21">
        <v>4.3</v>
      </c>
      <c r="N174" s="21">
        <v>4.2</v>
      </c>
      <c r="O174" s="21">
        <v>0.8</v>
      </c>
      <c r="P174" s="21">
        <v>0.2</v>
      </c>
      <c r="Q174" s="21">
        <v>2.8</v>
      </c>
      <c r="R174" s="21">
        <v>1.6</v>
      </c>
      <c r="S174" s="21">
        <v>23.3</v>
      </c>
      <c r="T174" s="21">
        <v>10</v>
      </c>
      <c r="U174" s="21">
        <v>0.7</v>
      </c>
      <c r="V174" s="21">
        <v>17.3</v>
      </c>
      <c r="W174" s="21">
        <v>9.4E-2</v>
      </c>
      <c r="X174" s="4">
        <v>1.1000000000000001</v>
      </c>
    </row>
    <row r="175" spans="1:24" x14ac:dyDescent="0.35">
      <c r="A175" s="21">
        <v>21</v>
      </c>
      <c r="B175" s="21">
        <v>57</v>
      </c>
      <c r="C175" s="21">
        <v>30.1</v>
      </c>
      <c r="D175" s="21">
        <v>9.9</v>
      </c>
      <c r="E175" s="21">
        <v>0.438</v>
      </c>
      <c r="F175" s="21">
        <v>4.9000000000000004</v>
      </c>
      <c r="G175" s="21">
        <v>0.35399999999999998</v>
      </c>
      <c r="H175" s="21">
        <v>5.0999999999999996</v>
      </c>
      <c r="I175" s="21">
        <v>0.51900000000000002</v>
      </c>
      <c r="J175" s="21">
        <v>0.52500000000000002</v>
      </c>
      <c r="K175" s="21">
        <v>2.2000000000000002</v>
      </c>
      <c r="L175" s="21">
        <v>0.82499999999999996</v>
      </c>
      <c r="M175" s="21">
        <v>7</v>
      </c>
      <c r="N175" s="21">
        <v>1.1000000000000001</v>
      </c>
      <c r="O175" s="21">
        <v>0.4</v>
      </c>
      <c r="P175" s="21">
        <v>0.7</v>
      </c>
      <c r="Q175" s="21">
        <v>1.1000000000000001</v>
      </c>
      <c r="R175" s="21">
        <v>2.2000000000000002</v>
      </c>
      <c r="S175" s="21">
        <v>12.2</v>
      </c>
      <c r="T175" s="21">
        <v>2</v>
      </c>
      <c r="U175" s="21">
        <v>-0.7</v>
      </c>
      <c r="V175" s="21">
        <v>12.6</v>
      </c>
      <c r="W175" s="21">
        <v>0.11700000000000001</v>
      </c>
      <c r="X175" s="4">
        <v>-0.1</v>
      </c>
    </row>
    <row r="176" spans="1:24" x14ac:dyDescent="0.35">
      <c r="A176" s="21">
        <v>26</v>
      </c>
      <c r="B176" s="21">
        <v>20</v>
      </c>
      <c r="C176" s="21">
        <v>32.4</v>
      </c>
      <c r="D176" s="21">
        <v>8.6</v>
      </c>
      <c r="E176" s="21">
        <v>0.436</v>
      </c>
      <c r="F176" s="21">
        <v>3.6</v>
      </c>
      <c r="G176" s="21">
        <v>0.30599999999999999</v>
      </c>
      <c r="H176" s="21">
        <v>5</v>
      </c>
      <c r="I176" s="21">
        <v>0.53</v>
      </c>
      <c r="J176" s="21">
        <v>0.5</v>
      </c>
      <c r="K176" s="21">
        <v>2</v>
      </c>
      <c r="L176" s="21">
        <v>0.82499999999999996</v>
      </c>
      <c r="M176" s="21">
        <v>3.9</v>
      </c>
      <c r="N176" s="21">
        <v>3.3</v>
      </c>
      <c r="O176" s="21">
        <v>1.9</v>
      </c>
      <c r="P176" s="21">
        <v>0.5</v>
      </c>
      <c r="Q176" s="21">
        <v>1.8</v>
      </c>
      <c r="R176" s="21">
        <v>3.3</v>
      </c>
      <c r="S176" s="21">
        <v>10.3</v>
      </c>
      <c r="T176" s="21">
        <v>3</v>
      </c>
      <c r="U176" s="21">
        <v>-3.6</v>
      </c>
      <c r="V176" s="21">
        <v>10.4</v>
      </c>
      <c r="W176" s="21">
        <v>3.3000000000000002E-2</v>
      </c>
      <c r="X176" s="4">
        <v>-0.1</v>
      </c>
    </row>
    <row r="177" spans="1:24" x14ac:dyDescent="0.35">
      <c r="A177" s="21">
        <v>28</v>
      </c>
      <c r="B177" s="21">
        <v>50</v>
      </c>
      <c r="C177" s="21">
        <v>25.5</v>
      </c>
      <c r="D177" s="21">
        <v>7.5</v>
      </c>
      <c r="E177" s="21">
        <v>0.442</v>
      </c>
      <c r="F177" s="21">
        <v>5.9</v>
      </c>
      <c r="G177" s="21">
        <v>0.38600000000000001</v>
      </c>
      <c r="H177" s="21">
        <v>1.6</v>
      </c>
      <c r="I177" s="21">
        <v>0.65</v>
      </c>
      <c r="J177" s="21">
        <v>0.59399999999999997</v>
      </c>
      <c r="K177" s="21">
        <v>0.7</v>
      </c>
      <c r="L177" s="21">
        <v>0.82399999999999995</v>
      </c>
      <c r="M177" s="21">
        <v>4.3</v>
      </c>
      <c r="N177" s="21">
        <v>3.2</v>
      </c>
      <c r="O177" s="21">
        <v>0.5</v>
      </c>
      <c r="P177" s="21">
        <v>0.2</v>
      </c>
      <c r="Q177" s="21">
        <v>1.1000000000000001</v>
      </c>
      <c r="R177" s="21">
        <v>2.1</v>
      </c>
      <c r="S177" s="21">
        <v>9.4</v>
      </c>
      <c r="T177" s="21">
        <v>5</v>
      </c>
      <c r="U177" s="21">
        <v>1.3</v>
      </c>
      <c r="V177" s="21">
        <v>12.6</v>
      </c>
      <c r="W177" s="21">
        <v>0.13</v>
      </c>
      <c r="X177" s="4">
        <v>0</v>
      </c>
    </row>
    <row r="178" spans="1:24" x14ac:dyDescent="0.35">
      <c r="A178" s="21">
        <v>30</v>
      </c>
      <c r="B178" s="21">
        <v>54</v>
      </c>
      <c r="C178" s="21">
        <v>19.3</v>
      </c>
      <c r="D178" s="21">
        <v>5.8</v>
      </c>
      <c r="E178" s="21">
        <v>0.44600000000000001</v>
      </c>
      <c r="F178" s="21">
        <v>3.1</v>
      </c>
      <c r="G178" s="21">
        <v>0.35299999999999998</v>
      </c>
      <c r="H178" s="21">
        <v>2.7</v>
      </c>
      <c r="I178" s="21">
        <v>0.55600000000000005</v>
      </c>
      <c r="J178" s="21">
        <v>0.54100000000000004</v>
      </c>
      <c r="K178" s="21">
        <v>0.9</v>
      </c>
      <c r="L178" s="21">
        <v>0.82399999999999995</v>
      </c>
      <c r="M178" s="21">
        <v>2.9</v>
      </c>
      <c r="N178" s="21">
        <v>2.5</v>
      </c>
      <c r="O178" s="21">
        <v>1.6</v>
      </c>
      <c r="P178" s="21">
        <v>0.6</v>
      </c>
      <c r="Q178" s="21">
        <v>0.7</v>
      </c>
      <c r="R178" s="21">
        <v>1.9</v>
      </c>
      <c r="S178" s="21">
        <v>7.1</v>
      </c>
      <c r="T178" s="21">
        <v>7</v>
      </c>
      <c r="U178" s="21">
        <v>4</v>
      </c>
      <c r="V178" s="21">
        <v>15.9</v>
      </c>
      <c r="W178" s="21">
        <v>0.18</v>
      </c>
      <c r="X178" s="4">
        <v>0.3</v>
      </c>
    </row>
    <row r="179" spans="1:24" x14ac:dyDescent="0.35">
      <c r="A179" s="21">
        <v>24</v>
      </c>
      <c r="B179" s="21">
        <v>60</v>
      </c>
      <c r="C179" s="21">
        <v>17.399999999999999</v>
      </c>
      <c r="D179" s="21">
        <v>7.6</v>
      </c>
      <c r="E179" s="21">
        <v>0.44800000000000001</v>
      </c>
      <c r="F179" s="21">
        <v>2.8</v>
      </c>
      <c r="G179" s="21">
        <v>0.35499999999999998</v>
      </c>
      <c r="H179" s="21">
        <v>4.7</v>
      </c>
      <c r="I179" s="21">
        <v>0.504</v>
      </c>
      <c r="J179" s="21">
        <v>0.51400000000000001</v>
      </c>
      <c r="K179" s="21">
        <v>1.5</v>
      </c>
      <c r="L179" s="21">
        <v>0.82399999999999995</v>
      </c>
      <c r="M179" s="21">
        <v>1.8</v>
      </c>
      <c r="N179" s="21">
        <v>3.7</v>
      </c>
      <c r="O179" s="21">
        <v>0.7</v>
      </c>
      <c r="P179" s="21">
        <v>0.2</v>
      </c>
      <c r="Q179" s="21">
        <v>1.3</v>
      </c>
      <c r="R179" s="21">
        <v>1.6</v>
      </c>
      <c r="S179" s="21">
        <v>9</v>
      </c>
      <c r="T179" s="21">
        <v>3</v>
      </c>
      <c r="U179" s="21">
        <v>-1</v>
      </c>
      <c r="V179" s="21">
        <v>15.6</v>
      </c>
      <c r="W179" s="21">
        <v>6.3E-2</v>
      </c>
      <c r="X179" s="4">
        <v>0.2</v>
      </c>
    </row>
    <row r="180" spans="1:24" x14ac:dyDescent="0.35">
      <c r="A180" s="21">
        <v>25</v>
      </c>
      <c r="B180" s="21">
        <v>50</v>
      </c>
      <c r="C180" s="21">
        <v>30.4</v>
      </c>
      <c r="D180" s="21">
        <v>17.8</v>
      </c>
      <c r="E180" s="21">
        <v>0.45400000000000001</v>
      </c>
      <c r="F180" s="21">
        <v>5.7</v>
      </c>
      <c r="G180" s="21">
        <v>0.309</v>
      </c>
      <c r="H180" s="21">
        <v>12.1</v>
      </c>
      <c r="I180" s="21">
        <v>0.52300000000000002</v>
      </c>
      <c r="J180" s="21">
        <v>0.504</v>
      </c>
      <c r="K180" s="21">
        <v>6.4</v>
      </c>
      <c r="L180" s="21">
        <v>0.82399999999999995</v>
      </c>
      <c r="M180" s="21">
        <v>4.0999999999999996</v>
      </c>
      <c r="N180" s="21">
        <v>7.3</v>
      </c>
      <c r="O180" s="21">
        <v>1.2</v>
      </c>
      <c r="P180" s="21">
        <v>0.2</v>
      </c>
      <c r="Q180" s="21">
        <v>3.7</v>
      </c>
      <c r="R180" s="21">
        <v>2.2999999999999998</v>
      </c>
      <c r="S180" s="21">
        <v>23.2</v>
      </c>
      <c r="T180" s="21">
        <v>5</v>
      </c>
      <c r="U180" s="21">
        <v>2.4</v>
      </c>
      <c r="V180" s="21">
        <v>19.3</v>
      </c>
      <c r="W180" s="21">
        <v>0.112</v>
      </c>
      <c r="X180" s="4">
        <v>-0.1</v>
      </c>
    </row>
    <row r="181" spans="1:24" x14ac:dyDescent="0.35">
      <c r="A181" s="21">
        <v>28</v>
      </c>
      <c r="B181" s="21">
        <v>71</v>
      </c>
      <c r="C181" s="21">
        <v>31.4</v>
      </c>
      <c r="D181" s="21">
        <v>18.600000000000001</v>
      </c>
      <c r="E181" s="21">
        <v>0.443</v>
      </c>
      <c r="F181" s="21">
        <v>8.9</v>
      </c>
      <c r="G181" s="21">
        <v>0.36799999999999999</v>
      </c>
      <c r="H181" s="21">
        <v>9.6999999999999993</v>
      </c>
      <c r="I181" s="21">
        <v>0.51200000000000001</v>
      </c>
      <c r="J181" s="21">
        <v>0.53100000000000003</v>
      </c>
      <c r="K181" s="21">
        <v>5.0999999999999996</v>
      </c>
      <c r="L181" s="21">
        <v>0.82299999999999995</v>
      </c>
      <c r="M181" s="21">
        <v>4.5</v>
      </c>
      <c r="N181" s="21">
        <v>5</v>
      </c>
      <c r="O181" s="21">
        <v>1.3</v>
      </c>
      <c r="P181" s="21">
        <v>0.2</v>
      </c>
      <c r="Q181" s="21">
        <v>2.1</v>
      </c>
      <c r="R181" s="21">
        <v>2</v>
      </c>
      <c r="S181" s="21">
        <v>24</v>
      </c>
      <c r="T181" s="21">
        <v>7</v>
      </c>
      <c r="U181" s="21">
        <v>3.7</v>
      </c>
      <c r="V181" s="21">
        <v>20.9</v>
      </c>
      <c r="W181" s="21">
        <v>0.16300000000000001</v>
      </c>
      <c r="X181" s="4">
        <v>0.2</v>
      </c>
    </row>
    <row r="182" spans="1:24" x14ac:dyDescent="0.35">
      <c r="A182" s="21">
        <v>24</v>
      </c>
      <c r="B182" s="21">
        <v>67</v>
      </c>
      <c r="C182" s="21">
        <v>18.399999999999999</v>
      </c>
      <c r="D182" s="21">
        <v>8.1</v>
      </c>
      <c r="E182" s="21">
        <v>0.42399999999999999</v>
      </c>
      <c r="F182" s="21">
        <v>3.3</v>
      </c>
      <c r="G182" s="21">
        <v>0.35299999999999998</v>
      </c>
      <c r="H182" s="21">
        <v>4.9000000000000004</v>
      </c>
      <c r="I182" s="21">
        <v>0.47099999999999997</v>
      </c>
      <c r="J182" s="21">
        <v>0.49399999999999999</v>
      </c>
      <c r="K182" s="21">
        <v>1.7</v>
      </c>
      <c r="L182" s="21">
        <v>0.82299999999999995</v>
      </c>
      <c r="M182" s="21">
        <v>3</v>
      </c>
      <c r="N182" s="21">
        <v>2.9</v>
      </c>
      <c r="O182" s="21">
        <v>0.7</v>
      </c>
      <c r="P182" s="21">
        <v>0.5</v>
      </c>
      <c r="Q182" s="21">
        <v>1.5</v>
      </c>
      <c r="R182" s="21">
        <v>2.2999999999999998</v>
      </c>
      <c r="S182" s="21">
        <v>9.4</v>
      </c>
      <c r="T182" s="21">
        <v>4</v>
      </c>
      <c r="U182" s="21">
        <v>0.1</v>
      </c>
      <c r="V182" s="21">
        <v>14.2</v>
      </c>
      <c r="W182" s="21">
        <v>7.8E-2</v>
      </c>
      <c r="X182" s="4">
        <v>-0.1</v>
      </c>
    </row>
    <row r="183" spans="1:24" x14ac:dyDescent="0.35">
      <c r="A183" s="21">
        <v>28</v>
      </c>
      <c r="B183" s="21">
        <v>31</v>
      </c>
      <c r="C183" s="21">
        <v>32.6</v>
      </c>
      <c r="D183" s="21">
        <v>15.9</v>
      </c>
      <c r="E183" s="21">
        <v>0.39300000000000002</v>
      </c>
      <c r="F183" s="21">
        <v>5.6</v>
      </c>
      <c r="G183" s="21">
        <v>0.29899999999999999</v>
      </c>
      <c r="H183" s="21">
        <v>10.3</v>
      </c>
      <c r="I183" s="21">
        <v>0.44400000000000001</v>
      </c>
      <c r="J183" s="21">
        <v>0.44500000000000001</v>
      </c>
      <c r="K183" s="21">
        <v>4</v>
      </c>
      <c r="L183" s="21">
        <v>0.82299999999999995</v>
      </c>
      <c r="M183" s="21">
        <v>6.5</v>
      </c>
      <c r="N183" s="21">
        <v>7.4</v>
      </c>
      <c r="O183" s="21">
        <v>2</v>
      </c>
      <c r="P183" s="21">
        <v>0.4</v>
      </c>
      <c r="Q183" s="21">
        <v>3.4</v>
      </c>
      <c r="R183" s="21">
        <v>2</v>
      </c>
      <c r="S183" s="21">
        <v>17.5</v>
      </c>
      <c r="T183" s="21">
        <v>8</v>
      </c>
      <c r="U183" s="21">
        <v>-1.6</v>
      </c>
      <c r="V183" s="21">
        <v>15.4</v>
      </c>
      <c r="W183" s="21">
        <v>8.9999999999999993E-3</v>
      </c>
      <c r="X183" s="4">
        <v>0.1</v>
      </c>
    </row>
    <row r="184" spans="1:24" x14ac:dyDescent="0.35">
      <c r="A184" s="21">
        <v>22</v>
      </c>
      <c r="B184" s="21">
        <v>65</v>
      </c>
      <c r="C184" s="21">
        <v>21.3</v>
      </c>
      <c r="D184" s="21">
        <v>7.5</v>
      </c>
      <c r="E184" s="21">
        <v>0.432</v>
      </c>
      <c r="F184" s="21">
        <v>4.0999999999999996</v>
      </c>
      <c r="G184" s="21">
        <v>0.34899999999999998</v>
      </c>
      <c r="H184" s="21">
        <v>3.3</v>
      </c>
      <c r="I184" s="21">
        <v>0.53500000000000003</v>
      </c>
      <c r="J184" s="21">
        <v>0.52900000000000003</v>
      </c>
      <c r="K184" s="21">
        <v>1.4</v>
      </c>
      <c r="L184" s="21">
        <v>0.82199999999999995</v>
      </c>
      <c r="M184" s="21">
        <v>2.2000000000000002</v>
      </c>
      <c r="N184" s="21">
        <v>1.3</v>
      </c>
      <c r="O184" s="21">
        <v>0.6</v>
      </c>
      <c r="P184" s="21">
        <v>0.2</v>
      </c>
      <c r="Q184" s="21">
        <v>0.9</v>
      </c>
      <c r="R184" s="21">
        <v>2.2999999999999998</v>
      </c>
      <c r="S184" s="21">
        <v>9</v>
      </c>
      <c r="T184" s="21">
        <v>1</v>
      </c>
      <c r="U184" s="21">
        <v>-4.5</v>
      </c>
      <c r="V184" s="21">
        <v>9.5</v>
      </c>
      <c r="W184" s="21">
        <v>4.2999999999999997E-2</v>
      </c>
      <c r="X184" s="4">
        <v>0.4</v>
      </c>
    </row>
    <row r="185" spans="1:24" x14ac:dyDescent="0.35">
      <c r="A185" s="21">
        <v>21</v>
      </c>
      <c r="B185" s="21">
        <v>79</v>
      </c>
      <c r="C185" s="21">
        <v>25.9</v>
      </c>
      <c r="D185" s="21">
        <v>8.6</v>
      </c>
      <c r="E185" s="21">
        <v>0.42499999999999999</v>
      </c>
      <c r="F185" s="21">
        <v>5</v>
      </c>
      <c r="G185" s="21">
        <v>0.35199999999999998</v>
      </c>
      <c r="H185" s="21">
        <v>3.6</v>
      </c>
      <c r="I185" s="21">
        <v>0.52500000000000002</v>
      </c>
      <c r="J185" s="21">
        <v>0.52700000000000002</v>
      </c>
      <c r="K185" s="21">
        <v>1.7</v>
      </c>
      <c r="L185" s="21">
        <v>0.82199999999999995</v>
      </c>
      <c r="M185" s="21">
        <v>3.4</v>
      </c>
      <c r="N185" s="21">
        <v>1.7</v>
      </c>
      <c r="O185" s="21">
        <v>0.6</v>
      </c>
      <c r="P185" s="21">
        <v>0.1</v>
      </c>
      <c r="Q185" s="21">
        <v>0.9</v>
      </c>
      <c r="R185" s="21">
        <v>1.8</v>
      </c>
      <c r="S185" s="21">
        <v>10.4</v>
      </c>
      <c r="T185" s="21">
        <v>0</v>
      </c>
      <c r="U185" s="21">
        <v>-2.2000000000000002</v>
      </c>
      <c r="V185" s="21">
        <v>10.5</v>
      </c>
      <c r="W185" s="21">
        <v>8.3000000000000004E-2</v>
      </c>
      <c r="X185" s="4">
        <v>-0.1</v>
      </c>
    </row>
    <row r="186" spans="1:24" x14ac:dyDescent="0.35">
      <c r="A186" s="21">
        <v>25</v>
      </c>
      <c r="B186" s="21">
        <v>74</v>
      </c>
      <c r="C186" s="21">
        <v>21.7</v>
      </c>
      <c r="D186" s="21">
        <v>7.9</v>
      </c>
      <c r="E186" s="21">
        <v>0.44</v>
      </c>
      <c r="F186" s="21">
        <v>6.3</v>
      </c>
      <c r="G186" s="21">
        <v>0.41199999999999998</v>
      </c>
      <c r="H186" s="21">
        <v>1.6</v>
      </c>
      <c r="I186" s="21">
        <v>0.54900000000000004</v>
      </c>
      <c r="J186" s="21">
        <v>0.60399999999999998</v>
      </c>
      <c r="K186" s="21">
        <v>0.8</v>
      </c>
      <c r="L186" s="21">
        <v>0.82099999999999995</v>
      </c>
      <c r="M186" s="21">
        <v>2.6</v>
      </c>
      <c r="N186" s="21">
        <v>1.6</v>
      </c>
      <c r="O186" s="21">
        <v>0.6</v>
      </c>
      <c r="P186" s="21">
        <v>0.1</v>
      </c>
      <c r="Q186" s="21">
        <v>0.5</v>
      </c>
      <c r="R186" s="21">
        <v>1.5</v>
      </c>
      <c r="S186" s="21">
        <v>10.199999999999999</v>
      </c>
      <c r="T186" s="21">
        <v>4</v>
      </c>
      <c r="U186" s="21">
        <v>1.3</v>
      </c>
      <c r="V186" s="21">
        <v>14</v>
      </c>
      <c r="W186" s="21">
        <v>0.153</v>
      </c>
      <c r="X186" s="4">
        <v>0.8</v>
      </c>
    </row>
    <row r="187" spans="1:24" x14ac:dyDescent="0.35">
      <c r="A187" s="21">
        <v>25</v>
      </c>
      <c r="B187" s="21">
        <v>46</v>
      </c>
      <c r="C187" s="21">
        <v>19.7</v>
      </c>
      <c r="D187" s="21">
        <v>5.2</v>
      </c>
      <c r="E187" s="21">
        <v>0.53800000000000003</v>
      </c>
      <c r="F187" s="21">
        <v>1</v>
      </c>
      <c r="G187" s="21">
        <v>0.39600000000000002</v>
      </c>
      <c r="H187" s="21">
        <v>4.0999999999999996</v>
      </c>
      <c r="I187" s="21">
        <v>0.57399999999999995</v>
      </c>
      <c r="J187" s="21">
        <v>0.57799999999999996</v>
      </c>
      <c r="K187" s="21">
        <v>1.5</v>
      </c>
      <c r="L187" s="21">
        <v>0.82099999999999995</v>
      </c>
      <c r="M187" s="21">
        <v>2.5</v>
      </c>
      <c r="N187" s="21">
        <v>4.2</v>
      </c>
      <c r="O187" s="21">
        <v>0.8</v>
      </c>
      <c r="P187" s="21">
        <v>0.2</v>
      </c>
      <c r="Q187" s="21">
        <v>0.8</v>
      </c>
      <c r="R187" s="21">
        <v>1.2</v>
      </c>
      <c r="S187" s="21">
        <v>7.2</v>
      </c>
      <c r="T187" s="21">
        <v>4</v>
      </c>
      <c r="U187" s="21">
        <v>1.5</v>
      </c>
      <c r="V187" s="21">
        <v>16.3</v>
      </c>
      <c r="W187" s="21">
        <v>0.155</v>
      </c>
      <c r="X187" s="4">
        <v>0.1</v>
      </c>
    </row>
    <row r="188" spans="1:24" x14ac:dyDescent="0.35">
      <c r="A188" s="21">
        <v>28</v>
      </c>
      <c r="B188" s="21">
        <v>47</v>
      </c>
      <c r="C188" s="21">
        <v>17.7</v>
      </c>
      <c r="D188" s="21">
        <v>5.5</v>
      </c>
      <c r="E188" s="21">
        <v>0.39700000000000002</v>
      </c>
      <c r="F188" s="21">
        <v>4.5999999999999996</v>
      </c>
      <c r="G188" s="21">
        <v>0.39</v>
      </c>
      <c r="H188" s="21">
        <v>0.8</v>
      </c>
      <c r="I188" s="21">
        <v>0.436</v>
      </c>
      <c r="J188" s="21">
        <v>0.56200000000000006</v>
      </c>
      <c r="K188" s="21">
        <v>1.7</v>
      </c>
      <c r="L188" s="21">
        <v>0.82099999999999995</v>
      </c>
      <c r="M188" s="21">
        <v>1.9</v>
      </c>
      <c r="N188" s="21">
        <v>1.3</v>
      </c>
      <c r="O188" s="21">
        <v>0.6</v>
      </c>
      <c r="P188" s="21">
        <v>0.3</v>
      </c>
      <c r="Q188" s="21">
        <v>0.7</v>
      </c>
      <c r="R188" s="21">
        <v>1.7</v>
      </c>
      <c r="S188" s="21">
        <v>7.5</v>
      </c>
      <c r="T188" s="21">
        <v>5</v>
      </c>
      <c r="U188" s="21">
        <v>-1.6</v>
      </c>
      <c r="V188" s="21">
        <v>11.2</v>
      </c>
      <c r="W188" s="21">
        <v>8.6999999999999994E-2</v>
      </c>
      <c r="X188" s="4">
        <v>1.4</v>
      </c>
    </row>
    <row r="189" spans="1:24" x14ac:dyDescent="0.35">
      <c r="A189" s="21">
        <v>28</v>
      </c>
      <c r="B189" s="21">
        <v>65</v>
      </c>
      <c r="C189" s="21">
        <v>35.4</v>
      </c>
      <c r="D189" s="21">
        <v>18.5</v>
      </c>
      <c r="E189" s="21">
        <v>0.48799999999999999</v>
      </c>
      <c r="F189" s="21">
        <v>6.1</v>
      </c>
      <c r="G189" s="21">
        <v>0.38300000000000001</v>
      </c>
      <c r="H189" s="21">
        <v>12.4</v>
      </c>
      <c r="I189" s="21">
        <v>0.53900000000000003</v>
      </c>
      <c r="J189" s="21">
        <v>0.55100000000000005</v>
      </c>
      <c r="K189" s="21">
        <v>6.9</v>
      </c>
      <c r="L189" s="21">
        <v>0.82099999999999995</v>
      </c>
      <c r="M189" s="21">
        <v>2.9</v>
      </c>
      <c r="N189" s="21">
        <v>7.3</v>
      </c>
      <c r="O189" s="21">
        <v>0.9</v>
      </c>
      <c r="P189" s="21">
        <v>0.1</v>
      </c>
      <c r="Q189" s="21">
        <v>2.5</v>
      </c>
      <c r="R189" s="21">
        <v>2.1</v>
      </c>
      <c r="S189" s="21">
        <v>26</v>
      </c>
      <c r="T189" s="21">
        <v>6</v>
      </c>
      <c r="U189" s="21">
        <v>3.3</v>
      </c>
      <c r="V189" s="21">
        <v>21.6</v>
      </c>
      <c r="W189" s="21">
        <v>0.17199999999999999</v>
      </c>
      <c r="X189" s="4">
        <v>-0.2</v>
      </c>
    </row>
    <row r="190" spans="1:24" x14ac:dyDescent="0.35">
      <c r="A190" s="21">
        <v>23</v>
      </c>
      <c r="B190" s="21">
        <v>63</v>
      </c>
      <c r="C190" s="21">
        <v>24.5</v>
      </c>
      <c r="D190" s="21">
        <v>8.3000000000000007</v>
      </c>
      <c r="E190" s="21">
        <v>0.41199999999999998</v>
      </c>
      <c r="F190" s="21">
        <v>4.8</v>
      </c>
      <c r="G190" s="21">
        <v>0.34100000000000003</v>
      </c>
      <c r="H190" s="21">
        <v>3.5</v>
      </c>
      <c r="I190" s="21">
        <v>0.50900000000000001</v>
      </c>
      <c r="J190" s="21">
        <v>0.51100000000000001</v>
      </c>
      <c r="K190" s="21">
        <v>2</v>
      </c>
      <c r="L190" s="21">
        <v>0.82099999999999995</v>
      </c>
      <c r="M190" s="21">
        <v>4.5999999999999996</v>
      </c>
      <c r="N190" s="21">
        <v>1.3</v>
      </c>
      <c r="O190" s="21">
        <v>1</v>
      </c>
      <c r="P190" s="21">
        <v>0.4</v>
      </c>
      <c r="Q190" s="21">
        <v>1.1000000000000001</v>
      </c>
      <c r="R190" s="21">
        <v>2.4</v>
      </c>
      <c r="S190" s="21">
        <v>10</v>
      </c>
      <c r="T190" s="21">
        <v>3</v>
      </c>
      <c r="U190" s="21">
        <v>-2.2999999999999998</v>
      </c>
      <c r="V190" s="21">
        <v>11.9</v>
      </c>
      <c r="W190" s="21">
        <v>6.5000000000000002E-2</v>
      </c>
      <c r="X190" s="4">
        <v>0.1</v>
      </c>
    </row>
    <row r="191" spans="1:24" x14ac:dyDescent="0.35">
      <c r="A191" s="21">
        <v>22</v>
      </c>
      <c r="B191" s="21">
        <v>36</v>
      </c>
      <c r="C191" s="21">
        <v>23.4</v>
      </c>
      <c r="D191" s="21">
        <v>8.4</v>
      </c>
      <c r="E191" s="21">
        <v>0.34599999999999997</v>
      </c>
      <c r="F191" s="21">
        <v>3.6</v>
      </c>
      <c r="G191" s="21">
        <v>0.254</v>
      </c>
      <c r="H191" s="21">
        <v>4.8</v>
      </c>
      <c r="I191" s="21">
        <v>0.41499999999999998</v>
      </c>
      <c r="J191" s="21">
        <v>0.4</v>
      </c>
      <c r="K191" s="21">
        <v>1.4</v>
      </c>
      <c r="L191" s="21">
        <v>0.82</v>
      </c>
      <c r="M191" s="21">
        <v>3</v>
      </c>
      <c r="N191" s="21">
        <v>3.1</v>
      </c>
      <c r="O191" s="21">
        <v>0.9</v>
      </c>
      <c r="P191" s="21">
        <v>0.2</v>
      </c>
      <c r="Q191" s="21">
        <v>1.6</v>
      </c>
      <c r="R191" s="21">
        <v>1.6</v>
      </c>
      <c r="S191" s="21">
        <v>7.8</v>
      </c>
      <c r="T191" s="21">
        <v>0</v>
      </c>
      <c r="U191" s="21">
        <v>-5.4</v>
      </c>
      <c r="V191" s="21">
        <v>8.3000000000000007</v>
      </c>
      <c r="W191" s="21">
        <v>-2.5000000000000001E-2</v>
      </c>
      <c r="X191" s="4">
        <v>0.1</v>
      </c>
    </row>
    <row r="192" spans="1:24" x14ac:dyDescent="0.35">
      <c r="A192" s="21">
        <v>21</v>
      </c>
      <c r="B192" s="21">
        <v>47</v>
      </c>
      <c r="C192" s="21">
        <v>9.1</v>
      </c>
      <c r="D192" s="21">
        <v>4</v>
      </c>
      <c r="E192" s="21">
        <v>0.45800000000000002</v>
      </c>
      <c r="F192" s="21">
        <v>1.8</v>
      </c>
      <c r="G192" s="21">
        <v>0.40500000000000003</v>
      </c>
      <c r="H192" s="21">
        <v>2.2999999999999998</v>
      </c>
      <c r="I192" s="21">
        <v>0.5</v>
      </c>
      <c r="J192" s="21">
        <v>0.54700000000000004</v>
      </c>
      <c r="K192" s="21">
        <v>0.7</v>
      </c>
      <c r="L192" s="21">
        <v>0.81799999999999995</v>
      </c>
      <c r="M192" s="21">
        <v>1.1000000000000001</v>
      </c>
      <c r="N192" s="21">
        <v>0.8</v>
      </c>
      <c r="O192" s="21">
        <v>0.2</v>
      </c>
      <c r="P192" s="21">
        <v>0</v>
      </c>
      <c r="Q192" s="21">
        <v>0.7</v>
      </c>
      <c r="R192" s="21">
        <v>0.6</v>
      </c>
      <c r="S192" s="21">
        <v>5</v>
      </c>
      <c r="T192" s="21">
        <v>2</v>
      </c>
      <c r="U192" s="21">
        <v>-3.2</v>
      </c>
      <c r="V192" s="21">
        <v>12</v>
      </c>
      <c r="W192" s="21">
        <v>7.0000000000000001E-3</v>
      </c>
      <c r="X192" s="4">
        <v>0.4</v>
      </c>
    </row>
    <row r="193" spans="1:24" x14ac:dyDescent="0.35">
      <c r="A193" s="21">
        <v>29</v>
      </c>
      <c r="B193" s="21">
        <v>75</v>
      </c>
      <c r="C193" s="21">
        <v>31.8</v>
      </c>
      <c r="D193" s="21">
        <v>11.9</v>
      </c>
      <c r="E193" s="21">
        <v>0.42899999999999999</v>
      </c>
      <c r="F193" s="21">
        <v>6.3</v>
      </c>
      <c r="G193" s="21">
        <v>0.39700000000000002</v>
      </c>
      <c r="H193" s="21">
        <v>5.7</v>
      </c>
      <c r="I193" s="21">
        <v>0.46500000000000002</v>
      </c>
      <c r="J193" s="21">
        <v>0.53300000000000003</v>
      </c>
      <c r="K193" s="21">
        <v>1.6</v>
      </c>
      <c r="L193" s="21">
        <v>0.81799999999999995</v>
      </c>
      <c r="M193" s="21">
        <v>3.7</v>
      </c>
      <c r="N193" s="21">
        <v>1.7</v>
      </c>
      <c r="O193" s="21">
        <v>0.8</v>
      </c>
      <c r="P193" s="21">
        <v>0.2</v>
      </c>
      <c r="Q193" s="21">
        <v>1</v>
      </c>
      <c r="R193" s="21">
        <v>3.2</v>
      </c>
      <c r="S193" s="21">
        <v>14</v>
      </c>
      <c r="T193" s="21">
        <v>7</v>
      </c>
      <c r="U193" s="21">
        <v>-1.4</v>
      </c>
      <c r="V193" s="21">
        <v>11</v>
      </c>
      <c r="W193" s="21">
        <v>0.10299999999999999</v>
      </c>
      <c r="X193" s="4">
        <v>-0.3</v>
      </c>
    </row>
    <row r="194" spans="1:24" x14ac:dyDescent="0.35">
      <c r="A194" s="21">
        <v>26</v>
      </c>
      <c r="B194" s="21">
        <v>29</v>
      </c>
      <c r="C194" s="21">
        <v>18.7</v>
      </c>
      <c r="D194" s="21">
        <v>5</v>
      </c>
      <c r="E194" s="21">
        <v>0.438</v>
      </c>
      <c r="F194" s="21">
        <v>2.2999999999999998</v>
      </c>
      <c r="G194" s="21">
        <v>0.38200000000000001</v>
      </c>
      <c r="H194" s="21">
        <v>2.6</v>
      </c>
      <c r="I194" s="21">
        <v>0.48699999999999999</v>
      </c>
      <c r="J194" s="21">
        <v>0.52800000000000002</v>
      </c>
      <c r="K194" s="21">
        <v>0.4</v>
      </c>
      <c r="L194" s="21">
        <v>0.81799999999999995</v>
      </c>
      <c r="M194" s="21">
        <v>3.9</v>
      </c>
      <c r="N194" s="21">
        <v>1.4</v>
      </c>
      <c r="O194" s="21">
        <v>1</v>
      </c>
      <c r="P194" s="21">
        <v>0.4</v>
      </c>
      <c r="Q194" s="21">
        <v>0.9</v>
      </c>
      <c r="R194" s="21">
        <v>1.5</v>
      </c>
      <c r="S194" s="21">
        <v>5.6</v>
      </c>
      <c r="T194" s="21">
        <v>3</v>
      </c>
      <c r="U194" s="21">
        <v>-0.8</v>
      </c>
      <c r="V194" s="21">
        <v>12.1</v>
      </c>
      <c r="W194" s="21">
        <v>8.4000000000000005E-2</v>
      </c>
      <c r="X194" s="4">
        <v>0</v>
      </c>
    </row>
    <row r="195" spans="1:24" x14ac:dyDescent="0.35">
      <c r="A195" s="21">
        <v>23</v>
      </c>
      <c r="B195" s="21">
        <v>36</v>
      </c>
      <c r="C195" s="21">
        <v>13.9</v>
      </c>
      <c r="D195" s="21">
        <v>3.5</v>
      </c>
      <c r="E195" s="21">
        <v>0.46800000000000003</v>
      </c>
      <c r="F195" s="21">
        <v>1.1000000000000001</v>
      </c>
      <c r="G195" s="21">
        <v>0.34100000000000003</v>
      </c>
      <c r="H195" s="21">
        <v>2.4</v>
      </c>
      <c r="I195" s="21">
        <v>0.52900000000000003</v>
      </c>
      <c r="J195" s="21">
        <v>0.52400000000000002</v>
      </c>
      <c r="K195" s="21">
        <v>0.6</v>
      </c>
      <c r="L195" s="21">
        <v>0.81799999999999995</v>
      </c>
      <c r="M195" s="21">
        <v>2.6</v>
      </c>
      <c r="N195" s="21">
        <v>1.2</v>
      </c>
      <c r="O195" s="21">
        <v>0.6</v>
      </c>
      <c r="P195" s="21">
        <v>0.1</v>
      </c>
      <c r="Q195" s="21">
        <v>0.8</v>
      </c>
      <c r="R195" s="21">
        <v>0.9</v>
      </c>
      <c r="S195" s="21">
        <v>4.2</v>
      </c>
      <c r="T195" s="21">
        <v>2</v>
      </c>
      <c r="U195" s="21">
        <v>-2.7</v>
      </c>
      <c r="V195" s="21">
        <v>11</v>
      </c>
      <c r="W195" s="21">
        <v>6.3E-2</v>
      </c>
      <c r="X195" s="4">
        <v>-1.4</v>
      </c>
    </row>
    <row r="196" spans="1:24" x14ac:dyDescent="0.35">
      <c r="A196" s="21">
        <v>24</v>
      </c>
      <c r="B196" s="21">
        <v>79</v>
      </c>
      <c r="C196" s="21">
        <v>25.7</v>
      </c>
      <c r="D196" s="21">
        <v>7.8</v>
      </c>
      <c r="E196" s="21">
        <v>0.39700000000000002</v>
      </c>
      <c r="F196" s="21">
        <v>4.5999999999999996</v>
      </c>
      <c r="G196" s="21">
        <v>0.33700000000000002</v>
      </c>
      <c r="H196" s="21">
        <v>3.3</v>
      </c>
      <c r="I196" s="21">
        <v>0.48099999999999998</v>
      </c>
      <c r="J196" s="21">
        <v>0.495</v>
      </c>
      <c r="K196" s="21">
        <v>2.1</v>
      </c>
      <c r="L196" s="21">
        <v>0.81799999999999995</v>
      </c>
      <c r="M196" s="21">
        <v>3.4</v>
      </c>
      <c r="N196" s="21">
        <v>1.8</v>
      </c>
      <c r="O196" s="21">
        <v>0.5</v>
      </c>
      <c r="P196" s="21">
        <v>0.1</v>
      </c>
      <c r="Q196" s="21">
        <v>1</v>
      </c>
      <c r="R196" s="21">
        <v>2.1</v>
      </c>
      <c r="S196" s="21">
        <v>9.5</v>
      </c>
      <c r="T196" s="21">
        <v>1</v>
      </c>
      <c r="U196" s="21">
        <v>-3.9</v>
      </c>
      <c r="V196" s="21">
        <v>9.5</v>
      </c>
      <c r="W196" s="21">
        <v>4.5999999999999999E-2</v>
      </c>
      <c r="X196" s="4">
        <v>-0.1</v>
      </c>
    </row>
    <row r="197" spans="1:24" x14ac:dyDescent="0.35">
      <c r="A197" s="21">
        <v>21</v>
      </c>
      <c r="B197" s="21">
        <v>67</v>
      </c>
      <c r="C197" s="21">
        <v>31.5</v>
      </c>
      <c r="D197" s="21">
        <v>13.7</v>
      </c>
      <c r="E197" s="21">
        <v>0.39100000000000001</v>
      </c>
      <c r="F197" s="21">
        <v>7.6</v>
      </c>
      <c r="G197" s="21">
        <v>0.34300000000000003</v>
      </c>
      <c r="H197" s="21">
        <v>6.1</v>
      </c>
      <c r="I197" s="21">
        <v>0.44900000000000001</v>
      </c>
      <c r="J197" s="21">
        <v>0.48499999999999999</v>
      </c>
      <c r="K197" s="21">
        <v>4.3</v>
      </c>
      <c r="L197" s="21">
        <v>0.81799999999999995</v>
      </c>
      <c r="M197" s="21">
        <v>3.8</v>
      </c>
      <c r="N197" s="21">
        <v>5.6</v>
      </c>
      <c r="O197" s="21">
        <v>0.7</v>
      </c>
      <c r="P197" s="21">
        <v>0.1</v>
      </c>
      <c r="Q197" s="21">
        <v>2.7</v>
      </c>
      <c r="R197" s="21">
        <v>1.7</v>
      </c>
      <c r="S197" s="21">
        <v>16.8</v>
      </c>
      <c r="T197" s="21">
        <v>1</v>
      </c>
      <c r="U197" s="21">
        <v>-2.7</v>
      </c>
      <c r="V197" s="21">
        <v>12.9</v>
      </c>
      <c r="W197" s="21">
        <v>2.4E-2</v>
      </c>
      <c r="X197" s="4">
        <v>0.6</v>
      </c>
    </row>
    <row r="198" spans="1:24" x14ac:dyDescent="0.35">
      <c r="A198" s="21">
        <v>38</v>
      </c>
      <c r="B198" s="21">
        <v>35</v>
      </c>
      <c r="C198" s="21">
        <v>18.8</v>
      </c>
      <c r="D198" s="21">
        <v>3.3</v>
      </c>
      <c r="E198" s="21">
        <v>0.35</v>
      </c>
      <c r="F198" s="21">
        <v>2.5</v>
      </c>
      <c r="G198" s="21">
        <v>0.33</v>
      </c>
      <c r="H198" s="21">
        <v>0.8</v>
      </c>
      <c r="I198" s="21">
        <v>0.41399999999999998</v>
      </c>
      <c r="J198" s="21">
        <v>0.47399999999999998</v>
      </c>
      <c r="K198" s="21">
        <v>0.9</v>
      </c>
      <c r="L198" s="21">
        <v>0.81799999999999995</v>
      </c>
      <c r="M198" s="21">
        <v>1.9</v>
      </c>
      <c r="N198" s="21">
        <v>2.7</v>
      </c>
      <c r="O198" s="21">
        <v>0.9</v>
      </c>
      <c r="P198" s="21">
        <v>0.3</v>
      </c>
      <c r="Q198" s="21">
        <v>0.6</v>
      </c>
      <c r="R198" s="21">
        <v>1.8</v>
      </c>
      <c r="S198" s="21">
        <v>3.9</v>
      </c>
      <c r="T198" s="21">
        <v>18</v>
      </c>
      <c r="U198" s="21">
        <v>-1.3</v>
      </c>
      <c r="V198" s="21">
        <v>9.8000000000000007</v>
      </c>
      <c r="W198" s="21">
        <v>7.0000000000000007E-2</v>
      </c>
      <c r="X198" s="4">
        <v>0.5</v>
      </c>
    </row>
    <row r="199" spans="1:24" x14ac:dyDescent="0.35">
      <c r="A199" s="21">
        <v>20</v>
      </c>
      <c r="B199" s="21">
        <v>50</v>
      </c>
      <c r="C199" s="21">
        <v>7.6</v>
      </c>
      <c r="D199" s="21">
        <v>1.8</v>
      </c>
      <c r="E199" s="21">
        <v>0.38</v>
      </c>
      <c r="F199" s="21">
        <v>1</v>
      </c>
      <c r="G199" s="21">
        <v>0.3</v>
      </c>
      <c r="H199" s="21">
        <v>0.8</v>
      </c>
      <c r="I199" s="21">
        <v>0.47599999999999998</v>
      </c>
      <c r="J199" s="21">
        <v>0.46200000000000002</v>
      </c>
      <c r="K199" s="21">
        <v>0.4</v>
      </c>
      <c r="L199" s="21">
        <v>0.81799999999999995</v>
      </c>
      <c r="M199" s="21">
        <v>1.4</v>
      </c>
      <c r="N199" s="21">
        <v>0.4</v>
      </c>
      <c r="O199" s="21">
        <v>0.4</v>
      </c>
      <c r="P199" s="21">
        <v>0.2</v>
      </c>
      <c r="Q199" s="21">
        <v>0.2</v>
      </c>
      <c r="R199" s="21">
        <v>0.8</v>
      </c>
      <c r="S199" s="21">
        <v>2.1</v>
      </c>
      <c r="T199" s="21">
        <v>0</v>
      </c>
      <c r="U199" s="21">
        <v>-2.5</v>
      </c>
      <c r="V199" s="21">
        <v>9.8000000000000007</v>
      </c>
      <c r="W199" s="21">
        <v>7.0000000000000007E-2</v>
      </c>
      <c r="X199" s="4">
        <v>0.3</v>
      </c>
    </row>
    <row r="200" spans="1:24" x14ac:dyDescent="0.35">
      <c r="A200" s="21">
        <v>29</v>
      </c>
      <c r="B200" s="21">
        <v>64</v>
      </c>
      <c r="C200" s="21">
        <v>24.1</v>
      </c>
      <c r="D200" s="21">
        <v>7.6</v>
      </c>
      <c r="E200" s="21">
        <v>0.44800000000000001</v>
      </c>
      <c r="F200" s="21">
        <v>5.5</v>
      </c>
      <c r="G200" s="21">
        <v>0.42599999999999999</v>
      </c>
      <c r="H200" s="21">
        <v>2.2000000000000002</v>
      </c>
      <c r="I200" s="21">
        <v>0.504</v>
      </c>
      <c r="J200" s="21">
        <v>0.6</v>
      </c>
      <c r="K200" s="21">
        <v>1.8</v>
      </c>
      <c r="L200" s="21">
        <v>0.81599999999999995</v>
      </c>
      <c r="M200" s="21">
        <v>3</v>
      </c>
      <c r="N200" s="21">
        <v>2.1</v>
      </c>
      <c r="O200" s="21">
        <v>0.8</v>
      </c>
      <c r="P200" s="21">
        <v>0.3</v>
      </c>
      <c r="Q200" s="21">
        <v>1.2</v>
      </c>
      <c r="R200" s="21">
        <v>1.5</v>
      </c>
      <c r="S200" s="21">
        <v>10.6</v>
      </c>
      <c r="T200" s="21">
        <v>6</v>
      </c>
      <c r="U200" s="21">
        <v>-0.3</v>
      </c>
      <c r="V200" s="21">
        <v>13.7</v>
      </c>
      <c r="W200" s="21">
        <v>7.9000000000000001E-2</v>
      </c>
      <c r="X200" s="4">
        <v>-0.2</v>
      </c>
    </row>
    <row r="201" spans="1:24" x14ac:dyDescent="0.35">
      <c r="A201" s="21">
        <v>22</v>
      </c>
      <c r="B201" s="21">
        <v>56</v>
      </c>
      <c r="C201" s="21">
        <v>23.6</v>
      </c>
      <c r="D201" s="21">
        <v>9.9</v>
      </c>
      <c r="E201" s="21">
        <v>0.372</v>
      </c>
      <c r="F201" s="21">
        <v>5.9</v>
      </c>
      <c r="G201" s="21">
        <v>0.33100000000000002</v>
      </c>
      <c r="H201" s="21">
        <v>4</v>
      </c>
      <c r="I201" s="21">
        <v>0.433</v>
      </c>
      <c r="J201" s="21">
        <v>0.47099999999999997</v>
      </c>
      <c r="K201" s="21">
        <v>1.8</v>
      </c>
      <c r="L201" s="21">
        <v>0.81599999999999995</v>
      </c>
      <c r="M201" s="21">
        <v>2.8</v>
      </c>
      <c r="N201" s="21">
        <v>1.2</v>
      </c>
      <c r="O201" s="21">
        <v>0.5</v>
      </c>
      <c r="P201" s="21">
        <v>0.4</v>
      </c>
      <c r="Q201" s="21">
        <v>1</v>
      </c>
      <c r="R201" s="21">
        <v>0.9</v>
      </c>
      <c r="S201" s="21">
        <v>10.8</v>
      </c>
      <c r="T201" s="21">
        <v>1</v>
      </c>
      <c r="U201" s="21">
        <v>-5.4</v>
      </c>
      <c r="V201" s="21">
        <v>9.6</v>
      </c>
      <c r="W201" s="21">
        <v>-0.02</v>
      </c>
      <c r="X201" s="4">
        <v>-0.2</v>
      </c>
    </row>
    <row r="202" spans="1:24" x14ac:dyDescent="0.35">
      <c r="A202" s="21">
        <v>25</v>
      </c>
      <c r="B202" s="21">
        <v>73</v>
      </c>
      <c r="C202" s="21">
        <v>22.7</v>
      </c>
      <c r="D202" s="21">
        <v>5.8</v>
      </c>
      <c r="E202" s="21">
        <v>0.42899999999999999</v>
      </c>
      <c r="F202" s="21">
        <v>5</v>
      </c>
      <c r="G202" s="21">
        <v>0.42699999999999999</v>
      </c>
      <c r="H202" s="21">
        <v>0.8</v>
      </c>
      <c r="I202" s="21">
        <v>0.443</v>
      </c>
      <c r="J202" s="21">
        <v>0.61199999999999999</v>
      </c>
      <c r="K202" s="21">
        <v>0.4</v>
      </c>
      <c r="L202" s="21">
        <v>0.81499999999999995</v>
      </c>
      <c r="M202" s="21">
        <v>2.4</v>
      </c>
      <c r="N202" s="21">
        <v>1.5</v>
      </c>
      <c r="O202" s="21">
        <v>0.5</v>
      </c>
      <c r="P202" s="21">
        <v>0.1</v>
      </c>
      <c r="Q202" s="21">
        <v>0.5</v>
      </c>
      <c r="R202" s="21">
        <v>2.2000000000000002</v>
      </c>
      <c r="S202" s="21">
        <v>7.4</v>
      </c>
      <c r="T202" s="21">
        <v>2</v>
      </c>
      <c r="U202" s="21">
        <v>-2.2000000000000002</v>
      </c>
      <c r="V202" s="21">
        <v>9.1999999999999993</v>
      </c>
      <c r="W202" s="21">
        <v>8.2000000000000003E-2</v>
      </c>
      <c r="X202" s="4">
        <v>0.5</v>
      </c>
    </row>
    <row r="203" spans="1:24" x14ac:dyDescent="0.35">
      <c r="A203" s="21">
        <v>20</v>
      </c>
      <c r="B203" s="21">
        <v>80</v>
      </c>
      <c r="C203" s="21">
        <v>18.899999999999999</v>
      </c>
      <c r="D203" s="21">
        <v>6.9</v>
      </c>
      <c r="E203" s="21">
        <v>0.45400000000000001</v>
      </c>
      <c r="F203" s="21">
        <v>3.3</v>
      </c>
      <c r="G203" s="21">
        <v>0.36099999999999999</v>
      </c>
      <c r="H203" s="21">
        <v>3.6</v>
      </c>
      <c r="I203" s="21">
        <v>0.54</v>
      </c>
      <c r="J203" s="21">
        <v>0.54100000000000004</v>
      </c>
      <c r="K203" s="21">
        <v>1.4</v>
      </c>
      <c r="L203" s="21">
        <v>0.81499999999999995</v>
      </c>
      <c r="M203" s="21">
        <v>3.5</v>
      </c>
      <c r="N203" s="21">
        <v>1</v>
      </c>
      <c r="O203" s="21">
        <v>0.4</v>
      </c>
      <c r="P203" s="21">
        <v>0.9</v>
      </c>
      <c r="Q203" s="21">
        <v>0.9</v>
      </c>
      <c r="R203" s="21">
        <v>1.6</v>
      </c>
      <c r="S203" s="21">
        <v>8.6</v>
      </c>
      <c r="T203" s="21">
        <v>0</v>
      </c>
      <c r="U203" s="21">
        <v>-2.5</v>
      </c>
      <c r="V203" s="21">
        <v>12.5</v>
      </c>
      <c r="W203" s="21">
        <v>0.06</v>
      </c>
      <c r="X203" s="4">
        <v>-0.2</v>
      </c>
    </row>
    <row r="204" spans="1:24" x14ac:dyDescent="0.35">
      <c r="A204" s="21">
        <v>27</v>
      </c>
      <c r="B204" s="21">
        <v>35</v>
      </c>
      <c r="C204" s="21">
        <v>22.2</v>
      </c>
      <c r="D204" s="21">
        <v>6.9</v>
      </c>
      <c r="E204" s="21">
        <v>0.36599999999999999</v>
      </c>
      <c r="F204" s="21">
        <v>5.6</v>
      </c>
      <c r="G204" s="21">
        <v>0.34399999999999997</v>
      </c>
      <c r="H204" s="21">
        <v>1.4</v>
      </c>
      <c r="I204" s="21">
        <v>0.45800000000000002</v>
      </c>
      <c r="J204" s="21">
        <v>0.504</v>
      </c>
      <c r="K204" s="21">
        <v>0.8</v>
      </c>
      <c r="L204" s="21">
        <v>0.81499999999999995</v>
      </c>
      <c r="M204" s="21">
        <v>3.4</v>
      </c>
      <c r="N204" s="21">
        <v>3.3</v>
      </c>
      <c r="O204" s="21">
        <v>1.3</v>
      </c>
      <c r="P204" s="21">
        <v>0.5</v>
      </c>
      <c r="Q204" s="21">
        <v>1.2</v>
      </c>
      <c r="R204" s="21">
        <v>1.6</v>
      </c>
      <c r="S204" s="21">
        <v>7.6</v>
      </c>
      <c r="T204" s="21">
        <v>7</v>
      </c>
      <c r="U204" s="21">
        <v>0.2</v>
      </c>
      <c r="V204" s="21">
        <v>12.2</v>
      </c>
      <c r="W204" s="21">
        <v>7.4999999999999997E-2</v>
      </c>
      <c r="X204" s="4">
        <v>0.1</v>
      </c>
    </row>
    <row r="205" spans="1:24" x14ac:dyDescent="0.35">
      <c r="A205" s="21">
        <v>28</v>
      </c>
      <c r="B205" s="21">
        <v>41</v>
      </c>
      <c r="C205" s="21">
        <v>22.5</v>
      </c>
      <c r="D205" s="21">
        <v>7.5</v>
      </c>
      <c r="E205" s="21">
        <v>0.42099999999999999</v>
      </c>
      <c r="F205" s="21">
        <v>2</v>
      </c>
      <c r="G205" s="21">
        <v>0.33300000000000002</v>
      </c>
      <c r="H205" s="21">
        <v>5.6</v>
      </c>
      <c r="I205" s="21">
        <v>0.45200000000000001</v>
      </c>
      <c r="J205" s="21">
        <v>0.46400000000000002</v>
      </c>
      <c r="K205" s="21">
        <v>1.6</v>
      </c>
      <c r="L205" s="21">
        <v>0.81499999999999995</v>
      </c>
      <c r="M205" s="21">
        <v>4</v>
      </c>
      <c r="N205" s="21">
        <v>2</v>
      </c>
      <c r="O205" s="21">
        <v>0.8</v>
      </c>
      <c r="P205" s="21">
        <v>0.2</v>
      </c>
      <c r="Q205" s="21">
        <v>1</v>
      </c>
      <c r="R205" s="21">
        <v>1.7</v>
      </c>
      <c r="S205" s="21">
        <v>8.3000000000000007</v>
      </c>
      <c r="T205" s="21">
        <v>6</v>
      </c>
      <c r="U205" s="21">
        <v>-3.8</v>
      </c>
      <c r="V205" s="21">
        <v>10.9</v>
      </c>
      <c r="W205" s="21">
        <v>3.5000000000000003E-2</v>
      </c>
      <c r="X205" s="4">
        <v>0.5</v>
      </c>
    </row>
    <row r="206" spans="1:24" x14ac:dyDescent="0.35">
      <c r="A206" s="21">
        <v>28</v>
      </c>
      <c r="B206" s="21">
        <v>82</v>
      </c>
      <c r="C206" s="21">
        <v>37</v>
      </c>
      <c r="D206" s="21">
        <v>14.4</v>
      </c>
      <c r="E206" s="21">
        <v>0.5</v>
      </c>
      <c r="F206" s="21">
        <v>5.6</v>
      </c>
      <c r="G206" s="21">
        <v>0.35399999999999998</v>
      </c>
      <c r="H206" s="21">
        <v>8.8000000000000007</v>
      </c>
      <c r="I206" s="21">
        <v>0.59399999999999997</v>
      </c>
      <c r="J206" s="21">
        <v>0.56999999999999995</v>
      </c>
      <c r="K206" s="21">
        <v>1.4</v>
      </c>
      <c r="L206" s="21">
        <v>0.81399999999999995</v>
      </c>
      <c r="M206" s="21">
        <v>3.2</v>
      </c>
      <c r="N206" s="21">
        <v>3.7</v>
      </c>
      <c r="O206" s="21">
        <v>0.9</v>
      </c>
      <c r="P206" s="21">
        <v>0.5</v>
      </c>
      <c r="Q206" s="21">
        <v>1.6</v>
      </c>
      <c r="R206" s="21">
        <v>1.5</v>
      </c>
      <c r="S206" s="21">
        <v>17.600000000000001</v>
      </c>
      <c r="T206" s="21">
        <v>6</v>
      </c>
      <c r="U206" s="21">
        <v>-0.5</v>
      </c>
      <c r="V206" s="21">
        <v>14</v>
      </c>
      <c r="W206" s="21">
        <v>0.09</v>
      </c>
      <c r="X206" s="4">
        <v>-1.3</v>
      </c>
    </row>
    <row r="207" spans="1:24" x14ac:dyDescent="0.35">
      <c r="A207" s="21">
        <v>26</v>
      </c>
      <c r="B207" s="21">
        <v>72</v>
      </c>
      <c r="C207" s="21">
        <v>36.4</v>
      </c>
      <c r="D207" s="21">
        <v>20.3</v>
      </c>
      <c r="E207" s="21">
        <v>0.45200000000000001</v>
      </c>
      <c r="F207" s="21">
        <v>10.1</v>
      </c>
      <c r="G207" s="21">
        <v>0.34300000000000003</v>
      </c>
      <c r="H207" s="21">
        <v>10.199999999999999</v>
      </c>
      <c r="I207" s="21">
        <v>0.55900000000000005</v>
      </c>
      <c r="J207" s="21">
        <v>0.53700000000000003</v>
      </c>
      <c r="K207" s="21">
        <v>6.1</v>
      </c>
      <c r="L207" s="21">
        <v>0.81399999999999995</v>
      </c>
      <c r="M207" s="21">
        <v>8.6999999999999993</v>
      </c>
      <c r="N207" s="21">
        <v>6</v>
      </c>
      <c r="O207" s="21">
        <v>1.1000000000000001</v>
      </c>
      <c r="P207" s="21">
        <v>0.5</v>
      </c>
      <c r="Q207" s="21">
        <v>2.9</v>
      </c>
      <c r="R207" s="21">
        <v>2.2000000000000002</v>
      </c>
      <c r="S207" s="21">
        <v>26.8</v>
      </c>
      <c r="T207" s="21">
        <v>7</v>
      </c>
      <c r="U207" s="21">
        <v>5.2</v>
      </c>
      <c r="V207" s="21">
        <v>21.7</v>
      </c>
      <c r="W207" s="21">
        <v>0.17399999999999999</v>
      </c>
      <c r="X207" s="4">
        <v>0.1</v>
      </c>
    </row>
    <row r="208" spans="1:24" x14ac:dyDescent="0.35">
      <c r="A208" s="21">
        <v>34</v>
      </c>
      <c r="B208" s="21">
        <v>41</v>
      </c>
      <c r="C208" s="21">
        <v>32.5</v>
      </c>
      <c r="D208" s="21">
        <v>13.9</v>
      </c>
      <c r="E208" s="21">
        <v>0.43</v>
      </c>
      <c r="F208" s="21">
        <v>6.5</v>
      </c>
      <c r="G208" s="21">
        <v>0.35799999999999998</v>
      </c>
      <c r="H208" s="21">
        <v>7.4</v>
      </c>
      <c r="I208" s="21">
        <v>0.49299999999999999</v>
      </c>
      <c r="J208" s="21">
        <v>0.51400000000000001</v>
      </c>
      <c r="K208" s="21">
        <v>2.4</v>
      </c>
      <c r="L208" s="21">
        <v>0.81399999999999995</v>
      </c>
      <c r="M208" s="21">
        <v>5.3</v>
      </c>
      <c r="N208" s="21">
        <v>4.3</v>
      </c>
      <c r="O208" s="21">
        <v>1.8</v>
      </c>
      <c r="P208" s="21">
        <v>0.5</v>
      </c>
      <c r="Q208" s="21">
        <v>2.6</v>
      </c>
      <c r="R208" s="21">
        <v>2.5</v>
      </c>
      <c r="S208" s="21">
        <v>16.2</v>
      </c>
      <c r="T208" s="21">
        <v>14</v>
      </c>
      <c r="U208" s="21">
        <v>-0.4</v>
      </c>
      <c r="V208" s="21">
        <v>14.5</v>
      </c>
      <c r="W208" s="21">
        <v>3.5999999999999997E-2</v>
      </c>
      <c r="X208" s="4">
        <v>-0.1</v>
      </c>
    </row>
    <row r="209" spans="1:24" x14ac:dyDescent="0.35">
      <c r="A209" s="21">
        <v>30</v>
      </c>
      <c r="B209" s="21">
        <v>80</v>
      </c>
      <c r="C209" s="21">
        <v>27.1</v>
      </c>
      <c r="D209" s="21">
        <v>6.4</v>
      </c>
      <c r="E209" s="21">
        <v>0.45700000000000002</v>
      </c>
      <c r="F209" s="21">
        <v>4.2</v>
      </c>
      <c r="G209" s="21">
        <v>0.439</v>
      </c>
      <c r="H209" s="21">
        <v>2.2000000000000002</v>
      </c>
      <c r="I209" s="21">
        <v>0.49199999999999999</v>
      </c>
      <c r="J209" s="21">
        <v>0.6</v>
      </c>
      <c r="K209" s="21">
        <v>0.6</v>
      </c>
      <c r="L209" s="21">
        <v>0.81299999999999994</v>
      </c>
      <c r="M209" s="21">
        <v>3.6</v>
      </c>
      <c r="N209" s="21">
        <v>1.9</v>
      </c>
      <c r="O209" s="21">
        <v>1</v>
      </c>
      <c r="P209" s="21">
        <v>0.2</v>
      </c>
      <c r="Q209" s="21">
        <v>1</v>
      </c>
      <c r="R209" s="21">
        <v>2.1</v>
      </c>
      <c r="S209" s="21">
        <v>8.1999999999999993</v>
      </c>
      <c r="T209" s="21">
        <v>8</v>
      </c>
      <c r="U209" s="21">
        <v>-1.7</v>
      </c>
      <c r="V209" s="21">
        <v>9.8000000000000007</v>
      </c>
      <c r="W209" s="21">
        <v>7.6999999999999999E-2</v>
      </c>
      <c r="X209" s="4">
        <v>-0.2</v>
      </c>
    </row>
    <row r="210" spans="1:24" x14ac:dyDescent="0.35">
      <c r="A210" s="21">
        <v>27</v>
      </c>
      <c r="B210" s="21">
        <v>69</v>
      </c>
      <c r="C210" s="21">
        <v>27.8</v>
      </c>
      <c r="D210" s="21">
        <v>10.3</v>
      </c>
      <c r="E210" s="21">
        <v>0.50800000000000001</v>
      </c>
      <c r="F210" s="21">
        <v>3.2</v>
      </c>
      <c r="G210" s="21">
        <v>0.27500000000000002</v>
      </c>
      <c r="H210" s="21">
        <v>7.2</v>
      </c>
      <c r="I210" s="21">
        <v>0.61099999999999999</v>
      </c>
      <c r="J210" s="21">
        <v>0.55100000000000005</v>
      </c>
      <c r="K210" s="21">
        <v>2.2999999999999998</v>
      </c>
      <c r="L210" s="21">
        <v>0.81299999999999994</v>
      </c>
      <c r="M210" s="21">
        <v>4.8</v>
      </c>
      <c r="N210" s="21">
        <v>3</v>
      </c>
      <c r="O210" s="21">
        <v>1</v>
      </c>
      <c r="P210" s="21">
        <v>0.2</v>
      </c>
      <c r="Q210" s="21">
        <v>1.6</v>
      </c>
      <c r="R210" s="21">
        <v>1.6</v>
      </c>
      <c r="S210" s="21">
        <v>13.2</v>
      </c>
      <c r="T210" s="21">
        <v>4</v>
      </c>
      <c r="U210" s="21">
        <v>-0.8</v>
      </c>
      <c r="V210" s="21">
        <v>15.1</v>
      </c>
      <c r="W210" s="21">
        <v>8.6999999999999994E-2</v>
      </c>
      <c r="X210" s="4">
        <v>1.1000000000000001</v>
      </c>
    </row>
    <row r="211" spans="1:24" x14ac:dyDescent="0.35">
      <c r="A211" s="21">
        <v>24</v>
      </c>
      <c r="B211" s="21">
        <v>82</v>
      </c>
      <c r="C211" s="21">
        <v>31.9</v>
      </c>
      <c r="D211" s="21">
        <v>10.199999999999999</v>
      </c>
      <c r="E211" s="21">
        <v>0.47699999999999998</v>
      </c>
      <c r="F211" s="21">
        <v>3.7</v>
      </c>
      <c r="G211" s="21">
        <v>0.33</v>
      </c>
      <c r="H211" s="21">
        <v>6.5</v>
      </c>
      <c r="I211" s="21">
        <v>0.56100000000000005</v>
      </c>
      <c r="J211" s="21">
        <v>0.53700000000000003</v>
      </c>
      <c r="K211" s="21">
        <v>1.6</v>
      </c>
      <c r="L211" s="21">
        <v>0.81299999999999994</v>
      </c>
      <c r="M211" s="21">
        <v>5.7</v>
      </c>
      <c r="N211" s="21">
        <v>2</v>
      </c>
      <c r="O211" s="21">
        <v>1.3</v>
      </c>
      <c r="P211" s="21">
        <v>0.9</v>
      </c>
      <c r="Q211" s="21">
        <v>1.2</v>
      </c>
      <c r="R211" s="21">
        <v>2.7</v>
      </c>
      <c r="S211" s="21">
        <v>12.2</v>
      </c>
      <c r="T211" s="21">
        <v>4</v>
      </c>
      <c r="U211" s="21">
        <v>0</v>
      </c>
      <c r="V211" s="21">
        <v>13.3</v>
      </c>
      <c r="W211" s="21">
        <v>0.115</v>
      </c>
      <c r="X211" s="4">
        <v>0.2</v>
      </c>
    </row>
    <row r="212" spans="1:24" x14ac:dyDescent="0.35">
      <c r="A212" s="21">
        <v>24</v>
      </c>
      <c r="B212" s="21">
        <v>64</v>
      </c>
      <c r="C212" s="21">
        <v>24.9</v>
      </c>
      <c r="D212" s="21">
        <v>8.5</v>
      </c>
      <c r="E212" s="21">
        <v>0.40600000000000003</v>
      </c>
      <c r="F212" s="21">
        <v>4.9000000000000004</v>
      </c>
      <c r="G212" s="21">
        <v>0.36899999999999999</v>
      </c>
      <c r="H212" s="21">
        <v>3.7</v>
      </c>
      <c r="I212" s="21">
        <v>0.45500000000000002</v>
      </c>
      <c r="J212" s="21">
        <v>0.51100000000000001</v>
      </c>
      <c r="K212" s="21">
        <v>1</v>
      </c>
      <c r="L212" s="21">
        <v>0.81299999999999994</v>
      </c>
      <c r="M212" s="21">
        <v>2.5</v>
      </c>
      <c r="N212" s="21">
        <v>2.9</v>
      </c>
      <c r="O212" s="21">
        <v>1</v>
      </c>
      <c r="P212" s="21">
        <v>0.3</v>
      </c>
      <c r="Q212" s="21">
        <v>0.6</v>
      </c>
      <c r="R212" s="21">
        <v>1.7</v>
      </c>
      <c r="S212" s="21">
        <v>9.5</v>
      </c>
      <c r="T212" s="21">
        <v>3</v>
      </c>
      <c r="U212" s="21">
        <v>0</v>
      </c>
      <c r="V212" s="21">
        <v>12.6</v>
      </c>
      <c r="W212" s="21">
        <v>9.8000000000000004E-2</v>
      </c>
      <c r="X212" s="4">
        <v>0</v>
      </c>
    </row>
    <row r="213" spans="1:24" x14ac:dyDescent="0.35">
      <c r="A213" s="21">
        <v>22</v>
      </c>
      <c r="B213" s="21">
        <v>82</v>
      </c>
      <c r="C213" s="21">
        <v>32.9</v>
      </c>
      <c r="D213" s="21">
        <v>17.5</v>
      </c>
      <c r="E213" s="21">
        <v>0.42299999999999999</v>
      </c>
      <c r="F213" s="21">
        <v>8.1</v>
      </c>
      <c r="G213" s="21">
        <v>0.35399999999999998</v>
      </c>
      <c r="H213" s="21">
        <v>9.5</v>
      </c>
      <c r="I213" s="21">
        <v>0.48199999999999998</v>
      </c>
      <c r="J213" s="21">
        <v>0.505</v>
      </c>
      <c r="K213" s="21">
        <v>4.0999999999999996</v>
      </c>
      <c r="L213" s="21">
        <v>0.81299999999999994</v>
      </c>
      <c r="M213" s="21">
        <v>4.5999999999999996</v>
      </c>
      <c r="N213" s="21">
        <v>3.4</v>
      </c>
      <c r="O213" s="21">
        <v>0.9</v>
      </c>
      <c r="P213" s="21">
        <v>0.3</v>
      </c>
      <c r="Q213" s="21">
        <v>2.5</v>
      </c>
      <c r="R213" s="21">
        <v>1.5</v>
      </c>
      <c r="S213" s="21">
        <v>21</v>
      </c>
      <c r="T213" s="21">
        <v>3</v>
      </c>
      <c r="U213" s="21">
        <v>0.5</v>
      </c>
      <c r="V213" s="21">
        <v>15.1</v>
      </c>
      <c r="W213" s="21">
        <v>9.1999999999999998E-2</v>
      </c>
      <c r="X213" s="4">
        <v>-0.5</v>
      </c>
    </row>
    <row r="214" spans="1:24" x14ac:dyDescent="0.35">
      <c r="A214" s="21">
        <v>20</v>
      </c>
      <c r="B214" s="21">
        <v>52</v>
      </c>
      <c r="C214" s="21">
        <v>12.6</v>
      </c>
      <c r="D214" s="21">
        <v>4.5999999999999996</v>
      </c>
      <c r="E214" s="21">
        <v>0.35099999999999998</v>
      </c>
      <c r="F214" s="21">
        <v>2.7</v>
      </c>
      <c r="G214" s="21">
        <v>0.33800000000000002</v>
      </c>
      <c r="H214" s="21">
        <v>1.9</v>
      </c>
      <c r="I214" s="21">
        <v>0.371</v>
      </c>
      <c r="J214" s="21">
        <v>0.45200000000000001</v>
      </c>
      <c r="K214" s="21">
        <v>0.3</v>
      </c>
      <c r="L214" s="21">
        <v>0.81299999999999994</v>
      </c>
      <c r="M214" s="21">
        <v>1.5</v>
      </c>
      <c r="N214" s="21">
        <v>1.4</v>
      </c>
      <c r="O214" s="21">
        <v>0.7</v>
      </c>
      <c r="P214" s="21">
        <v>0.3</v>
      </c>
      <c r="Q214" s="21">
        <v>0.7</v>
      </c>
      <c r="R214" s="21">
        <v>1</v>
      </c>
      <c r="S214" s="21">
        <v>4.4000000000000004</v>
      </c>
      <c r="T214" s="21">
        <v>0</v>
      </c>
      <c r="U214" s="21">
        <v>-1.7</v>
      </c>
      <c r="V214" s="21">
        <v>9.6999999999999993</v>
      </c>
      <c r="W214" s="21">
        <v>5.5E-2</v>
      </c>
      <c r="X214" s="4">
        <v>0</v>
      </c>
    </row>
    <row r="215" spans="1:24" x14ac:dyDescent="0.35">
      <c r="A215" s="21">
        <v>19</v>
      </c>
      <c r="B215" s="21">
        <v>82</v>
      </c>
      <c r="C215" s="21">
        <v>30</v>
      </c>
      <c r="D215" s="21">
        <v>9.1</v>
      </c>
      <c r="E215" s="21">
        <v>0.40100000000000002</v>
      </c>
      <c r="F215" s="21">
        <v>5</v>
      </c>
      <c r="G215" s="21">
        <v>0.33900000000000002</v>
      </c>
      <c r="H215" s="21">
        <v>4.2</v>
      </c>
      <c r="I215" s="21">
        <v>0.47499999999999998</v>
      </c>
      <c r="J215" s="21">
        <v>0.49299999999999999</v>
      </c>
      <c r="K215" s="21">
        <v>1</v>
      </c>
      <c r="L215" s="21">
        <v>0.81200000000000006</v>
      </c>
      <c r="M215" s="21">
        <v>4.2</v>
      </c>
      <c r="N215" s="21">
        <v>4.4000000000000004</v>
      </c>
      <c r="O215" s="21">
        <v>0.7</v>
      </c>
      <c r="P215" s="21">
        <v>0.3</v>
      </c>
      <c r="Q215" s="21">
        <v>1.7</v>
      </c>
      <c r="R215" s="21">
        <v>2.2999999999999998</v>
      </c>
      <c r="S215" s="21">
        <v>9.8000000000000007</v>
      </c>
      <c r="T215" s="21">
        <v>0</v>
      </c>
      <c r="U215" s="21">
        <v>-4.5999999999999996</v>
      </c>
      <c r="V215" s="21">
        <v>9</v>
      </c>
      <c r="W215" s="21">
        <v>5.0000000000000001E-3</v>
      </c>
      <c r="X215" s="4">
        <v>-0.1</v>
      </c>
    </row>
    <row r="216" spans="1:24" x14ac:dyDescent="0.35">
      <c r="A216" s="21">
        <v>21</v>
      </c>
      <c r="B216" s="21">
        <v>68</v>
      </c>
      <c r="C216" s="21">
        <v>27.6</v>
      </c>
      <c r="D216" s="21">
        <v>7.2</v>
      </c>
      <c r="E216" s="21">
        <v>0.47399999999999998</v>
      </c>
      <c r="F216" s="21">
        <v>3.1</v>
      </c>
      <c r="G216" s="21">
        <v>0.35599999999999998</v>
      </c>
      <c r="H216" s="21">
        <v>4.0999999999999996</v>
      </c>
      <c r="I216" s="21">
        <v>0.56200000000000006</v>
      </c>
      <c r="J216" s="21">
        <v>0.55000000000000004</v>
      </c>
      <c r="K216" s="21">
        <v>0.5</v>
      </c>
      <c r="L216" s="21">
        <v>0.81100000000000005</v>
      </c>
      <c r="M216" s="21">
        <v>3.4</v>
      </c>
      <c r="N216" s="21">
        <v>2.5</v>
      </c>
      <c r="O216" s="21">
        <v>1.8</v>
      </c>
      <c r="P216" s="21">
        <v>0.5</v>
      </c>
      <c r="Q216" s="21">
        <v>0.9</v>
      </c>
      <c r="R216" s="21">
        <v>2.1</v>
      </c>
      <c r="S216" s="21">
        <v>8.4</v>
      </c>
      <c r="T216" s="21">
        <v>1</v>
      </c>
      <c r="U216" s="21">
        <v>1</v>
      </c>
      <c r="V216" s="21">
        <v>12.3</v>
      </c>
      <c r="W216" s="21">
        <v>0.13300000000000001</v>
      </c>
      <c r="X216" s="4">
        <v>0.2</v>
      </c>
    </row>
    <row r="217" spans="1:24" x14ac:dyDescent="0.35">
      <c r="A217" s="21">
        <v>26</v>
      </c>
      <c r="B217" s="21">
        <v>56</v>
      </c>
      <c r="C217" s="21">
        <v>24.4</v>
      </c>
      <c r="D217" s="21">
        <v>9.3000000000000007</v>
      </c>
      <c r="E217" s="21">
        <v>0.39200000000000002</v>
      </c>
      <c r="F217" s="21">
        <v>5.5</v>
      </c>
      <c r="G217" s="21">
        <v>0.35899999999999999</v>
      </c>
      <c r="H217" s="21">
        <v>3.8</v>
      </c>
      <c r="I217" s="21">
        <v>0.439</v>
      </c>
      <c r="J217" s="21">
        <v>0.498</v>
      </c>
      <c r="K217" s="21">
        <v>1.3</v>
      </c>
      <c r="L217" s="21">
        <v>0.81100000000000005</v>
      </c>
      <c r="M217" s="21">
        <v>2.4</v>
      </c>
      <c r="N217" s="21">
        <v>4.5999999999999996</v>
      </c>
      <c r="O217" s="21">
        <v>1.3</v>
      </c>
      <c r="P217" s="21">
        <v>0.3</v>
      </c>
      <c r="Q217" s="21">
        <v>1.5</v>
      </c>
      <c r="R217" s="21">
        <v>1.6</v>
      </c>
      <c r="S217" s="21">
        <v>10.3</v>
      </c>
      <c r="T217" s="21">
        <v>3</v>
      </c>
      <c r="U217" s="21">
        <v>-1.4</v>
      </c>
      <c r="V217" s="21">
        <v>13.4</v>
      </c>
      <c r="W217" s="21">
        <v>4.2999999999999997E-2</v>
      </c>
      <c r="X217" s="4">
        <v>-0.1</v>
      </c>
    </row>
    <row r="218" spans="1:24" x14ac:dyDescent="0.35">
      <c r="A218" s="21">
        <v>36</v>
      </c>
      <c r="B218" s="21">
        <v>78</v>
      </c>
      <c r="C218" s="21">
        <v>17.5</v>
      </c>
      <c r="D218" s="21">
        <v>3.1</v>
      </c>
      <c r="E218" s="21">
        <v>0.437</v>
      </c>
      <c r="F218" s="21">
        <v>2.6</v>
      </c>
      <c r="G218" s="21">
        <v>0.433</v>
      </c>
      <c r="H218" s="21">
        <v>0.4</v>
      </c>
      <c r="I218" s="21">
        <v>0.45700000000000002</v>
      </c>
      <c r="J218" s="21">
        <v>0.622</v>
      </c>
      <c r="K218" s="21">
        <v>0.3</v>
      </c>
      <c r="L218" s="21">
        <v>0.81</v>
      </c>
      <c r="M218" s="21">
        <v>2.8</v>
      </c>
      <c r="N218" s="21">
        <v>1.1000000000000001</v>
      </c>
      <c r="O218" s="21">
        <v>0.7</v>
      </c>
      <c r="P218" s="21">
        <v>0.5</v>
      </c>
      <c r="Q218" s="21">
        <v>0.4</v>
      </c>
      <c r="R218" s="21">
        <v>1.4</v>
      </c>
      <c r="S218" s="21">
        <v>4</v>
      </c>
      <c r="T218" s="21">
        <v>16</v>
      </c>
      <c r="U218" s="21">
        <v>0.8</v>
      </c>
      <c r="V218" s="21">
        <v>10.3</v>
      </c>
      <c r="W218" s="21">
        <v>0.124</v>
      </c>
      <c r="X218" s="4">
        <v>-0.5</v>
      </c>
    </row>
    <row r="219" spans="1:24" x14ac:dyDescent="0.35">
      <c r="A219" s="21">
        <v>29</v>
      </c>
      <c r="B219" s="21">
        <v>51</v>
      </c>
      <c r="C219" s="21">
        <v>28.4</v>
      </c>
      <c r="D219" s="21">
        <v>9.6999999999999993</v>
      </c>
      <c r="E219" s="21">
        <v>0.53100000000000003</v>
      </c>
      <c r="F219" s="21">
        <v>3.4</v>
      </c>
      <c r="G219" s="21">
        <v>0.436</v>
      </c>
      <c r="H219" s="21">
        <v>6.4</v>
      </c>
      <c r="I219" s="21">
        <v>0.58199999999999996</v>
      </c>
      <c r="J219" s="21">
        <v>0.60699999999999998</v>
      </c>
      <c r="K219" s="21">
        <v>3.5</v>
      </c>
      <c r="L219" s="21">
        <v>0.81</v>
      </c>
      <c r="M219" s="21">
        <v>4.8</v>
      </c>
      <c r="N219" s="21">
        <v>3.2</v>
      </c>
      <c r="O219" s="21">
        <v>0.5</v>
      </c>
      <c r="P219" s="21">
        <v>0.3</v>
      </c>
      <c r="Q219" s="21">
        <v>1.4</v>
      </c>
      <c r="R219" s="21">
        <v>1.6</v>
      </c>
      <c r="S219" s="21">
        <v>14.7</v>
      </c>
      <c r="T219" s="21">
        <v>10</v>
      </c>
      <c r="U219" s="21">
        <v>1.2</v>
      </c>
      <c r="V219" s="21">
        <v>17</v>
      </c>
      <c r="W219" s="21">
        <v>0.14299999999999999</v>
      </c>
      <c r="X219" s="4">
        <v>0.3</v>
      </c>
    </row>
    <row r="220" spans="1:24" x14ac:dyDescent="0.35">
      <c r="A220" s="21">
        <v>33</v>
      </c>
      <c r="B220" s="21">
        <v>37</v>
      </c>
      <c r="C220" s="21">
        <v>31.9</v>
      </c>
      <c r="D220" s="21">
        <v>16.8</v>
      </c>
      <c r="E220" s="21">
        <v>0.498</v>
      </c>
      <c r="F220" s="21">
        <v>5.0999999999999996</v>
      </c>
      <c r="G220" s="21">
        <v>0.41099999999999998</v>
      </c>
      <c r="H220" s="21">
        <v>11.7</v>
      </c>
      <c r="I220" s="21">
        <v>0.53600000000000003</v>
      </c>
      <c r="J220" s="21">
        <v>0.56000000000000005</v>
      </c>
      <c r="K220" s="21">
        <v>3.3</v>
      </c>
      <c r="L220" s="21">
        <v>0.81</v>
      </c>
      <c r="M220" s="21">
        <v>5.9</v>
      </c>
      <c r="N220" s="21">
        <v>3.1</v>
      </c>
      <c r="O220" s="21">
        <v>1.6</v>
      </c>
      <c r="P220" s="21">
        <v>0.5</v>
      </c>
      <c r="Q220" s="21">
        <v>1.9</v>
      </c>
      <c r="R220" s="21">
        <v>1.5</v>
      </c>
      <c r="S220" s="21">
        <v>21.5</v>
      </c>
      <c r="T220" s="21">
        <v>13</v>
      </c>
      <c r="U220" s="21">
        <v>3.1</v>
      </c>
      <c r="V220" s="21">
        <v>20.5</v>
      </c>
      <c r="W220" s="21">
        <v>0.14099999999999999</v>
      </c>
      <c r="X220" s="4">
        <v>0.3</v>
      </c>
    </row>
    <row r="221" spans="1:24" x14ac:dyDescent="0.35">
      <c r="A221" s="21">
        <v>27</v>
      </c>
      <c r="B221" s="21">
        <v>74</v>
      </c>
      <c r="C221" s="21">
        <v>36.6</v>
      </c>
      <c r="D221" s="21">
        <v>13.9</v>
      </c>
      <c r="E221" s="21">
        <v>0.47599999999999998</v>
      </c>
      <c r="F221" s="21">
        <v>6.2</v>
      </c>
      <c r="G221" s="21">
        <v>0.372</v>
      </c>
      <c r="H221" s="21">
        <v>7.7</v>
      </c>
      <c r="I221" s="21">
        <v>0.56100000000000005</v>
      </c>
      <c r="J221" s="21">
        <v>0.55900000000000005</v>
      </c>
      <c r="K221" s="21">
        <v>3.1</v>
      </c>
      <c r="L221" s="21">
        <v>0.81</v>
      </c>
      <c r="M221" s="21">
        <v>4.8</v>
      </c>
      <c r="N221" s="21">
        <v>2.2000000000000002</v>
      </c>
      <c r="O221" s="21">
        <v>1.5</v>
      </c>
      <c r="P221" s="21">
        <v>0.9</v>
      </c>
      <c r="Q221" s="21">
        <v>1.4</v>
      </c>
      <c r="R221" s="21">
        <v>2.2999999999999998</v>
      </c>
      <c r="S221" s="21">
        <v>18</v>
      </c>
      <c r="T221" s="21">
        <v>7</v>
      </c>
      <c r="U221" s="21">
        <v>0.7</v>
      </c>
      <c r="V221" s="21">
        <v>15.4</v>
      </c>
      <c r="W221" s="21">
        <v>0.11600000000000001</v>
      </c>
      <c r="X221" s="4">
        <v>0</v>
      </c>
    </row>
    <row r="222" spans="1:24" x14ac:dyDescent="0.35">
      <c r="A222" s="21">
        <v>24</v>
      </c>
      <c r="B222" s="21">
        <v>32</v>
      </c>
      <c r="C222" s="21">
        <v>10.6</v>
      </c>
      <c r="D222" s="21">
        <v>3.6</v>
      </c>
      <c r="E222" s="21">
        <v>0.48199999999999998</v>
      </c>
      <c r="F222" s="21">
        <v>1</v>
      </c>
      <c r="G222" s="21">
        <v>0.35499999999999998</v>
      </c>
      <c r="H222" s="21">
        <v>2.6</v>
      </c>
      <c r="I222" s="21">
        <v>0.53</v>
      </c>
      <c r="J222" s="21">
        <v>0.53100000000000003</v>
      </c>
      <c r="K222" s="21">
        <v>0.7</v>
      </c>
      <c r="L222" s="21">
        <v>0.81</v>
      </c>
      <c r="M222" s="21">
        <v>1.5</v>
      </c>
      <c r="N222" s="21">
        <v>1</v>
      </c>
      <c r="O222" s="21">
        <v>0.2</v>
      </c>
      <c r="P222" s="21">
        <v>0.2</v>
      </c>
      <c r="Q222" s="21">
        <v>0.5</v>
      </c>
      <c r="R222" s="21">
        <v>0.8</v>
      </c>
      <c r="S222" s="21">
        <v>4.3</v>
      </c>
      <c r="T222" s="21">
        <v>0</v>
      </c>
      <c r="U222" s="21">
        <v>-2.1</v>
      </c>
      <c r="V222" s="21">
        <v>11.9</v>
      </c>
      <c r="W222" s="21">
        <v>9.0999999999999998E-2</v>
      </c>
      <c r="X222" s="4">
        <v>0.5</v>
      </c>
    </row>
    <row r="223" spans="1:24" x14ac:dyDescent="0.35">
      <c r="A223" s="21">
        <v>30</v>
      </c>
      <c r="B223" s="21">
        <v>60</v>
      </c>
      <c r="C223" s="21">
        <v>35.200000000000003</v>
      </c>
      <c r="D223" s="21">
        <v>12.7</v>
      </c>
      <c r="E223" s="21">
        <v>0.378</v>
      </c>
      <c r="F223" s="21">
        <v>7.7</v>
      </c>
      <c r="G223" s="21">
        <v>0.34499999999999997</v>
      </c>
      <c r="H223" s="21">
        <v>5</v>
      </c>
      <c r="I223" s="21">
        <v>0.43</v>
      </c>
      <c r="J223" s="21">
        <v>0.48299999999999998</v>
      </c>
      <c r="K223" s="21">
        <v>2.2999999999999998</v>
      </c>
      <c r="L223" s="21">
        <v>0.81</v>
      </c>
      <c r="M223" s="21">
        <v>3.7</v>
      </c>
      <c r="N223" s="21">
        <v>5.6</v>
      </c>
      <c r="O223" s="21">
        <v>1.6</v>
      </c>
      <c r="P223" s="21">
        <v>0.4</v>
      </c>
      <c r="Q223" s="21">
        <v>1.5</v>
      </c>
      <c r="R223" s="21">
        <v>2.2999999999999998</v>
      </c>
      <c r="S223" s="21">
        <v>14.1</v>
      </c>
      <c r="T223" s="21">
        <v>8</v>
      </c>
      <c r="U223" s="21">
        <v>0.9</v>
      </c>
      <c r="V223" s="21">
        <v>12.8</v>
      </c>
      <c r="W223" s="21">
        <v>0.11899999999999999</v>
      </c>
      <c r="X223" s="4">
        <v>0</v>
      </c>
    </row>
    <row r="224" spans="1:24" x14ac:dyDescent="0.35">
      <c r="A224" s="21">
        <v>32</v>
      </c>
      <c r="B224" s="21">
        <v>82</v>
      </c>
      <c r="C224" s="21">
        <v>27.2</v>
      </c>
      <c r="D224" s="21">
        <v>8.3000000000000007</v>
      </c>
      <c r="E224" s="21">
        <v>0.50800000000000001</v>
      </c>
      <c r="F224" s="21">
        <v>4.4000000000000004</v>
      </c>
      <c r="G224" s="21">
        <v>0.433</v>
      </c>
      <c r="H224" s="21">
        <v>3.9</v>
      </c>
      <c r="I224" s="21">
        <v>0.59099999999999997</v>
      </c>
      <c r="J224" s="21">
        <v>0.622</v>
      </c>
      <c r="K224" s="21">
        <v>2.4</v>
      </c>
      <c r="L224" s="21">
        <v>0.80900000000000005</v>
      </c>
      <c r="M224" s="21">
        <v>3.8</v>
      </c>
      <c r="N224" s="21">
        <v>1.7</v>
      </c>
      <c r="O224" s="21">
        <v>0.5</v>
      </c>
      <c r="P224" s="21">
        <v>0.2</v>
      </c>
      <c r="Q224" s="21">
        <v>0.6</v>
      </c>
      <c r="R224" s="21">
        <v>0.9</v>
      </c>
      <c r="S224" s="21">
        <v>12.3</v>
      </c>
      <c r="T224" s="21">
        <v>12</v>
      </c>
      <c r="U224" s="21">
        <v>0</v>
      </c>
      <c r="V224" s="21">
        <v>14.9</v>
      </c>
      <c r="W224" s="21">
        <v>0.12</v>
      </c>
      <c r="X224" s="4">
        <v>0.3</v>
      </c>
    </row>
    <row r="225" spans="1:24" x14ac:dyDescent="0.35">
      <c r="A225" s="21">
        <v>29</v>
      </c>
      <c r="B225" s="21">
        <v>42</v>
      </c>
      <c r="C225" s="21">
        <v>28.8</v>
      </c>
      <c r="D225" s="21">
        <v>13.7</v>
      </c>
      <c r="E225" s="21">
        <v>0.48299999999999998</v>
      </c>
      <c r="F225" s="21">
        <v>6</v>
      </c>
      <c r="G225" s="21">
        <v>0.41199999999999998</v>
      </c>
      <c r="H225" s="21">
        <v>7.7</v>
      </c>
      <c r="I225" s="21">
        <v>0.53700000000000003</v>
      </c>
      <c r="J225" s="21">
        <v>0.57199999999999995</v>
      </c>
      <c r="K225" s="21">
        <v>4.7</v>
      </c>
      <c r="L225" s="21">
        <v>0.80900000000000005</v>
      </c>
      <c r="M225" s="21">
        <v>6.8</v>
      </c>
      <c r="N225" s="21">
        <v>2.1</v>
      </c>
      <c r="O225" s="21">
        <v>0.7</v>
      </c>
      <c r="P225" s="21">
        <v>1.5</v>
      </c>
      <c r="Q225" s="21">
        <v>1.3</v>
      </c>
      <c r="R225" s="21">
        <v>2.8</v>
      </c>
      <c r="S225" s="21">
        <v>19.5</v>
      </c>
      <c r="T225" s="21">
        <v>9</v>
      </c>
      <c r="U225" s="21">
        <v>4.7</v>
      </c>
      <c r="V225" s="21">
        <v>22.3</v>
      </c>
      <c r="W225" s="21">
        <v>0.21199999999999999</v>
      </c>
      <c r="X225" s="4">
        <v>-0.1</v>
      </c>
    </row>
    <row r="226" spans="1:24" x14ac:dyDescent="0.35">
      <c r="A226" s="21">
        <v>24</v>
      </c>
      <c r="B226" s="21">
        <v>64</v>
      </c>
      <c r="C226" s="21">
        <v>15</v>
      </c>
      <c r="D226" s="21">
        <v>6.4</v>
      </c>
      <c r="E226" s="21">
        <v>0.46600000000000003</v>
      </c>
      <c r="F226" s="21">
        <v>3.5</v>
      </c>
      <c r="G226" s="21">
        <v>0.32400000000000001</v>
      </c>
      <c r="H226" s="21">
        <v>2.9</v>
      </c>
      <c r="I226" s="21">
        <v>0.63400000000000001</v>
      </c>
      <c r="J226" s="21">
        <v>0.55400000000000005</v>
      </c>
      <c r="K226" s="21">
        <v>1.4</v>
      </c>
      <c r="L226" s="21">
        <v>0.80900000000000005</v>
      </c>
      <c r="M226" s="21">
        <v>5.6</v>
      </c>
      <c r="N226" s="21">
        <v>1</v>
      </c>
      <c r="O226" s="21">
        <v>0.3</v>
      </c>
      <c r="P226" s="21">
        <v>0.7</v>
      </c>
      <c r="Q226" s="21">
        <v>0.6</v>
      </c>
      <c r="R226" s="21">
        <v>1.5</v>
      </c>
      <c r="S226" s="21">
        <v>8.1999999999999993</v>
      </c>
      <c r="T226" s="21">
        <v>4</v>
      </c>
      <c r="U226" s="21">
        <v>0.9</v>
      </c>
      <c r="V226" s="21">
        <v>18.7</v>
      </c>
      <c r="W226" s="21">
        <v>0.14599999999999999</v>
      </c>
      <c r="X226" s="4">
        <v>1.2</v>
      </c>
    </row>
    <row r="227" spans="1:24" x14ac:dyDescent="0.35">
      <c r="A227" s="21">
        <v>38</v>
      </c>
      <c r="B227" s="21">
        <v>32</v>
      </c>
      <c r="C227" s="21">
        <v>12.4</v>
      </c>
      <c r="D227" s="21">
        <v>3.8</v>
      </c>
      <c r="E227" s="21">
        <v>0.504</v>
      </c>
      <c r="F227" s="21">
        <v>2.5</v>
      </c>
      <c r="G227" s="21">
        <v>0.36699999999999999</v>
      </c>
      <c r="H227" s="21">
        <v>1.3</v>
      </c>
      <c r="I227" s="21">
        <v>0.76200000000000001</v>
      </c>
      <c r="J227" s="21">
        <v>0.624</v>
      </c>
      <c r="K227" s="21">
        <v>0.8</v>
      </c>
      <c r="L227" s="21">
        <v>0.80800000000000005</v>
      </c>
      <c r="M227" s="21">
        <v>1.8</v>
      </c>
      <c r="N227" s="21">
        <v>0.6</v>
      </c>
      <c r="O227" s="21">
        <v>0.2</v>
      </c>
      <c r="P227" s="21">
        <v>0.1</v>
      </c>
      <c r="Q227" s="21">
        <v>0.3</v>
      </c>
      <c r="R227" s="21">
        <v>1</v>
      </c>
      <c r="S227" s="21">
        <v>5.4</v>
      </c>
      <c r="T227" s="21">
        <v>16</v>
      </c>
      <c r="U227" s="21">
        <v>0.4</v>
      </c>
      <c r="V227" s="21">
        <v>13.6</v>
      </c>
      <c r="W227" s="21">
        <v>0.159</v>
      </c>
      <c r="X227" s="4">
        <v>-0.3</v>
      </c>
    </row>
    <row r="228" spans="1:24" x14ac:dyDescent="0.35">
      <c r="A228" s="21">
        <v>30</v>
      </c>
      <c r="B228" s="21">
        <v>69</v>
      </c>
      <c r="C228" s="21">
        <v>32.299999999999997</v>
      </c>
      <c r="D228" s="21">
        <v>13.6</v>
      </c>
      <c r="E228" s="21">
        <v>0.48499999999999999</v>
      </c>
      <c r="F228" s="21">
        <v>4.5999999999999996</v>
      </c>
      <c r="G228" s="21">
        <v>0.34399999999999997</v>
      </c>
      <c r="H228" s="21">
        <v>9.1</v>
      </c>
      <c r="I228" s="21">
        <v>0.55500000000000005</v>
      </c>
      <c r="J228" s="21">
        <v>0.54200000000000004</v>
      </c>
      <c r="K228" s="21">
        <v>4.9000000000000004</v>
      </c>
      <c r="L228" s="21">
        <v>0.80600000000000005</v>
      </c>
      <c r="M228" s="21">
        <v>7.1</v>
      </c>
      <c r="N228" s="21">
        <v>4.7</v>
      </c>
      <c r="O228" s="21">
        <v>0.7</v>
      </c>
      <c r="P228" s="21">
        <v>0.2</v>
      </c>
      <c r="Q228" s="21">
        <v>2.8</v>
      </c>
      <c r="R228" s="21">
        <v>2.5</v>
      </c>
      <c r="S228" s="21">
        <v>18.7</v>
      </c>
      <c r="T228" s="21">
        <v>10</v>
      </c>
      <c r="U228" s="21">
        <v>1.3</v>
      </c>
      <c r="V228" s="21">
        <v>17.5</v>
      </c>
      <c r="W228" s="21">
        <v>0.13400000000000001</v>
      </c>
      <c r="X228" s="4">
        <v>1.6</v>
      </c>
    </row>
    <row r="229" spans="1:24" x14ac:dyDescent="0.35">
      <c r="A229" s="21">
        <v>34</v>
      </c>
      <c r="B229" s="21">
        <v>73</v>
      </c>
      <c r="C229" s="21">
        <v>31.2</v>
      </c>
      <c r="D229" s="21">
        <v>14.2</v>
      </c>
      <c r="E229" s="21">
        <v>0.53</v>
      </c>
      <c r="F229" s="21">
        <v>4.4000000000000004</v>
      </c>
      <c r="G229" s="21">
        <v>0.40200000000000002</v>
      </c>
      <c r="H229" s="21">
        <v>9.8000000000000007</v>
      </c>
      <c r="I229" s="21">
        <v>0.58699999999999997</v>
      </c>
      <c r="J229" s="21">
        <v>0.59199999999999997</v>
      </c>
      <c r="K229" s="21">
        <v>2</v>
      </c>
      <c r="L229" s="21">
        <v>0.80500000000000005</v>
      </c>
      <c r="M229" s="21">
        <v>10.1</v>
      </c>
      <c r="N229" s="21">
        <v>3.5</v>
      </c>
      <c r="O229" s="21">
        <v>0.8</v>
      </c>
      <c r="P229" s="21">
        <v>0.7</v>
      </c>
      <c r="Q229" s="21">
        <v>1.6</v>
      </c>
      <c r="R229" s="21">
        <v>2.2000000000000002</v>
      </c>
      <c r="S229" s="21">
        <v>18.5</v>
      </c>
      <c r="T229" s="21">
        <v>13</v>
      </c>
      <c r="U229" s="21">
        <v>2.6</v>
      </c>
      <c r="V229" s="21">
        <v>20.3</v>
      </c>
      <c r="W229" s="21">
        <v>0.153</v>
      </c>
      <c r="X229" s="4">
        <v>-0.1</v>
      </c>
    </row>
    <row r="230" spans="1:24" x14ac:dyDescent="0.35">
      <c r="A230" s="21">
        <v>23</v>
      </c>
      <c r="B230" s="21">
        <v>44</v>
      </c>
      <c r="C230" s="21">
        <v>26.6</v>
      </c>
      <c r="D230" s="21">
        <v>10.199999999999999</v>
      </c>
      <c r="E230" s="21">
        <v>0.60399999999999998</v>
      </c>
      <c r="F230" s="21">
        <v>0.1</v>
      </c>
      <c r="G230" s="21">
        <v>0</v>
      </c>
      <c r="H230" s="21">
        <v>10.1</v>
      </c>
      <c r="I230" s="21">
        <v>0.60899999999999999</v>
      </c>
      <c r="J230" s="21">
        <v>0.60399999999999998</v>
      </c>
      <c r="K230" s="21">
        <v>3.7</v>
      </c>
      <c r="L230" s="21">
        <v>0.80400000000000005</v>
      </c>
      <c r="M230" s="21">
        <v>10.199999999999999</v>
      </c>
      <c r="N230" s="21">
        <v>2.5</v>
      </c>
      <c r="O230" s="21">
        <v>0.7</v>
      </c>
      <c r="P230" s="21">
        <v>1.2</v>
      </c>
      <c r="Q230" s="21">
        <v>1.6</v>
      </c>
      <c r="R230" s="21">
        <v>2.4</v>
      </c>
      <c r="S230" s="21">
        <v>15.3</v>
      </c>
      <c r="T230" s="21">
        <v>2</v>
      </c>
      <c r="U230" s="21">
        <v>3.5</v>
      </c>
      <c r="V230" s="21">
        <v>23.9</v>
      </c>
      <c r="W230" s="21">
        <v>0.19500000000000001</v>
      </c>
      <c r="X230" s="4">
        <v>0.1</v>
      </c>
    </row>
    <row r="231" spans="1:24" x14ac:dyDescent="0.35">
      <c r="A231" s="21">
        <v>31</v>
      </c>
      <c r="B231" s="21">
        <v>60</v>
      </c>
      <c r="C231" s="21">
        <v>32.6</v>
      </c>
      <c r="D231" s="21">
        <v>15.8</v>
      </c>
      <c r="E231" s="21">
        <v>0.48399999999999999</v>
      </c>
      <c r="F231" s="21">
        <v>7.1</v>
      </c>
      <c r="G231" s="21">
        <v>0.41799999999999998</v>
      </c>
      <c r="H231" s="21">
        <v>8.6</v>
      </c>
      <c r="I231" s="21">
        <v>0.53800000000000003</v>
      </c>
      <c r="J231" s="21">
        <v>0.57799999999999996</v>
      </c>
      <c r="K231" s="21">
        <v>4.4000000000000004</v>
      </c>
      <c r="L231" s="21">
        <v>0.80400000000000005</v>
      </c>
      <c r="M231" s="21">
        <v>3.2</v>
      </c>
      <c r="N231" s="21">
        <v>2.1</v>
      </c>
      <c r="O231" s="21">
        <v>1.2</v>
      </c>
      <c r="P231" s="21">
        <v>0.2</v>
      </c>
      <c r="Q231" s="21">
        <v>1.8</v>
      </c>
      <c r="R231" s="21">
        <v>1.9</v>
      </c>
      <c r="S231" s="21">
        <v>21.8</v>
      </c>
      <c r="T231" s="21">
        <v>9</v>
      </c>
      <c r="U231" s="21">
        <v>1.5</v>
      </c>
      <c r="V231" s="21">
        <v>17.5</v>
      </c>
      <c r="W231" s="21">
        <v>0.129</v>
      </c>
      <c r="X231" s="4">
        <v>-0.3</v>
      </c>
    </row>
    <row r="232" spans="1:24" x14ac:dyDescent="0.35">
      <c r="A232" s="21">
        <v>23</v>
      </c>
      <c r="B232" s="21">
        <v>73</v>
      </c>
      <c r="C232" s="21">
        <v>17.100000000000001</v>
      </c>
      <c r="D232" s="21">
        <v>6.3</v>
      </c>
      <c r="E232" s="21">
        <v>0.38200000000000001</v>
      </c>
      <c r="F232" s="21">
        <v>2.9</v>
      </c>
      <c r="G232" s="21">
        <v>0.25800000000000001</v>
      </c>
      <c r="H232" s="21">
        <v>3.4</v>
      </c>
      <c r="I232" s="21">
        <v>0.48799999999999999</v>
      </c>
      <c r="J232" s="21">
        <v>0.442</v>
      </c>
      <c r="K232" s="21">
        <v>2.1</v>
      </c>
      <c r="L232" s="21">
        <v>0.80400000000000005</v>
      </c>
      <c r="M232" s="21">
        <v>2.9</v>
      </c>
      <c r="N232" s="21">
        <v>1.3</v>
      </c>
      <c r="O232" s="21">
        <v>0.4</v>
      </c>
      <c r="P232" s="21">
        <v>0.2</v>
      </c>
      <c r="Q232" s="21">
        <v>0.7</v>
      </c>
      <c r="R232" s="21">
        <v>0.9</v>
      </c>
      <c r="S232" s="21">
        <v>7.3</v>
      </c>
      <c r="T232" s="21">
        <v>1</v>
      </c>
      <c r="U232" s="21">
        <v>-4.3</v>
      </c>
      <c r="V232" s="21">
        <v>11.6</v>
      </c>
      <c r="W232" s="21">
        <v>2.3E-2</v>
      </c>
      <c r="X232" s="4">
        <v>-0.8</v>
      </c>
    </row>
    <row r="233" spans="1:24" x14ac:dyDescent="0.35">
      <c r="A233" s="21">
        <v>31</v>
      </c>
      <c r="B233" s="21">
        <v>53</v>
      </c>
      <c r="C233" s="21">
        <v>32.1</v>
      </c>
      <c r="D233" s="21">
        <v>13.1</v>
      </c>
      <c r="E233" s="21">
        <v>0.497</v>
      </c>
      <c r="F233" s="21">
        <v>5</v>
      </c>
      <c r="G233" s="21">
        <v>0.38600000000000001</v>
      </c>
      <c r="H233" s="21">
        <v>8.1</v>
      </c>
      <c r="I233" s="21">
        <v>0.56499999999999995</v>
      </c>
      <c r="J233" s="21">
        <v>0.57099999999999995</v>
      </c>
      <c r="K233" s="21">
        <v>2.6</v>
      </c>
      <c r="L233" s="21">
        <v>0.80300000000000005</v>
      </c>
      <c r="M233" s="21">
        <v>3.3</v>
      </c>
      <c r="N233" s="21">
        <v>3.7</v>
      </c>
      <c r="O233" s="21">
        <v>1.1000000000000001</v>
      </c>
      <c r="P233" s="21">
        <v>0.5</v>
      </c>
      <c r="Q233" s="21">
        <v>1.9</v>
      </c>
      <c r="R233" s="21">
        <v>2.6</v>
      </c>
      <c r="S233" s="21">
        <v>17</v>
      </c>
      <c r="T233" s="21">
        <v>12</v>
      </c>
      <c r="U233" s="21">
        <v>-1.1000000000000001</v>
      </c>
      <c r="V233" s="21">
        <v>15.2</v>
      </c>
      <c r="W233" s="21">
        <v>6.8000000000000005E-2</v>
      </c>
      <c r="X233" s="4">
        <v>0.4</v>
      </c>
    </row>
    <row r="234" spans="1:24" x14ac:dyDescent="0.35">
      <c r="A234" s="21">
        <v>31</v>
      </c>
      <c r="B234" s="21">
        <v>79</v>
      </c>
      <c r="C234" s="21">
        <v>27</v>
      </c>
      <c r="D234" s="21">
        <v>8.6</v>
      </c>
      <c r="E234" s="21">
        <v>0.41599999999999998</v>
      </c>
      <c r="F234" s="21">
        <v>4.0999999999999996</v>
      </c>
      <c r="G234" s="21">
        <v>0.33400000000000002</v>
      </c>
      <c r="H234" s="21">
        <v>4.5</v>
      </c>
      <c r="I234" s="21">
        <v>0.49199999999999999</v>
      </c>
      <c r="J234" s="21">
        <v>0.496</v>
      </c>
      <c r="K234" s="21">
        <v>3.1</v>
      </c>
      <c r="L234" s="21">
        <v>0.80200000000000005</v>
      </c>
      <c r="M234" s="21">
        <v>2.6</v>
      </c>
      <c r="N234" s="21">
        <v>4.4000000000000004</v>
      </c>
      <c r="O234" s="21">
        <v>0.9</v>
      </c>
      <c r="P234" s="21">
        <v>0.2</v>
      </c>
      <c r="Q234" s="21">
        <v>1.3</v>
      </c>
      <c r="R234" s="21">
        <v>1.5</v>
      </c>
      <c r="S234" s="21">
        <v>11</v>
      </c>
      <c r="T234" s="21">
        <v>10</v>
      </c>
      <c r="U234" s="21">
        <v>-1.6</v>
      </c>
      <c r="V234" s="21">
        <v>13</v>
      </c>
      <c r="W234" s="21">
        <v>8.2000000000000003E-2</v>
      </c>
      <c r="X234" s="4">
        <v>-0.2</v>
      </c>
    </row>
    <row r="235" spans="1:24" x14ac:dyDescent="0.35">
      <c r="A235" s="21">
        <v>23</v>
      </c>
      <c r="B235" s="21">
        <v>4</v>
      </c>
      <c r="C235" s="21">
        <v>12.8</v>
      </c>
      <c r="D235" s="21">
        <v>3.3</v>
      </c>
      <c r="E235" s="21">
        <v>0.76900000000000002</v>
      </c>
      <c r="F235" s="21">
        <v>0</v>
      </c>
      <c r="H235" s="21">
        <v>3.3</v>
      </c>
      <c r="I235" s="21">
        <v>0.76900000000000002</v>
      </c>
      <c r="J235" s="21">
        <v>0.76900000000000002</v>
      </c>
      <c r="K235" s="21">
        <v>1.3</v>
      </c>
      <c r="L235" s="21">
        <v>0.8</v>
      </c>
      <c r="M235" s="21">
        <v>5.3</v>
      </c>
      <c r="N235" s="21">
        <v>0.5</v>
      </c>
      <c r="O235" s="21">
        <v>0.3</v>
      </c>
      <c r="P235" s="21">
        <v>1.3</v>
      </c>
      <c r="Q235" s="21">
        <v>0.5</v>
      </c>
      <c r="R235" s="21">
        <v>2.2999999999999998</v>
      </c>
      <c r="S235" s="21">
        <v>6</v>
      </c>
      <c r="T235" s="21">
        <v>0</v>
      </c>
      <c r="U235" s="21">
        <v>2.4</v>
      </c>
      <c r="V235" s="21">
        <v>24</v>
      </c>
      <c r="W235" s="21">
        <v>0.28299999999999997</v>
      </c>
      <c r="X235" s="4">
        <v>0.2</v>
      </c>
    </row>
    <row r="236" spans="1:24" x14ac:dyDescent="0.35">
      <c r="A236" s="21">
        <v>29</v>
      </c>
      <c r="B236" s="21">
        <v>70</v>
      </c>
      <c r="C236" s="21">
        <v>36.700000000000003</v>
      </c>
      <c r="D236" s="21">
        <v>19.5</v>
      </c>
      <c r="E236" s="21">
        <v>0.57599999999999996</v>
      </c>
      <c r="F236" s="21">
        <v>4.7</v>
      </c>
      <c r="G236" s="21">
        <v>0.41699999999999998</v>
      </c>
      <c r="H236" s="21">
        <v>14.8</v>
      </c>
      <c r="I236" s="21">
        <v>0.627</v>
      </c>
      <c r="J236" s="21">
        <v>0.627</v>
      </c>
      <c r="K236" s="21">
        <v>6.4</v>
      </c>
      <c r="L236" s="21">
        <v>0.8</v>
      </c>
      <c r="M236" s="21">
        <v>12.7</v>
      </c>
      <c r="N236" s="21">
        <v>10.199999999999999</v>
      </c>
      <c r="O236" s="21">
        <v>1.8</v>
      </c>
      <c r="P236" s="21">
        <v>0.6</v>
      </c>
      <c r="Q236" s="21">
        <v>3.3</v>
      </c>
      <c r="R236" s="21">
        <v>2.2999999999999998</v>
      </c>
      <c r="S236" s="21">
        <v>29.6</v>
      </c>
      <c r="T236" s="21">
        <v>9</v>
      </c>
      <c r="U236" s="21">
        <v>13.3</v>
      </c>
      <c r="V236" s="21">
        <v>32</v>
      </c>
      <c r="W236" s="21">
        <v>0.307</v>
      </c>
      <c r="X236" s="4">
        <v>-0.3</v>
      </c>
    </row>
    <row r="237" spans="1:24" x14ac:dyDescent="0.35">
      <c r="A237" s="21">
        <v>22</v>
      </c>
      <c r="B237" s="21">
        <v>56</v>
      </c>
      <c r="C237" s="21">
        <v>14.6</v>
      </c>
      <c r="D237" s="21">
        <v>4.8</v>
      </c>
      <c r="E237" s="21">
        <v>0.48699999999999999</v>
      </c>
      <c r="F237" s="21">
        <v>2.1</v>
      </c>
      <c r="G237" s="21">
        <v>0.40799999999999997</v>
      </c>
      <c r="H237" s="21">
        <v>2.7</v>
      </c>
      <c r="I237" s="21">
        <v>0.55000000000000004</v>
      </c>
      <c r="J237" s="21">
        <v>0.57699999999999996</v>
      </c>
      <c r="K237" s="21">
        <v>0.8</v>
      </c>
      <c r="L237" s="21">
        <v>0.8</v>
      </c>
      <c r="M237" s="21">
        <v>1.9</v>
      </c>
      <c r="N237" s="21">
        <v>1.9</v>
      </c>
      <c r="O237" s="21">
        <v>0.8</v>
      </c>
      <c r="P237" s="21">
        <v>0.3</v>
      </c>
      <c r="Q237" s="21">
        <v>0.9</v>
      </c>
      <c r="R237" s="21">
        <v>1.6</v>
      </c>
      <c r="S237" s="21">
        <v>6.2</v>
      </c>
      <c r="T237" s="21">
        <v>2</v>
      </c>
      <c r="U237" s="21">
        <v>-0.5</v>
      </c>
      <c r="V237" s="21">
        <v>14</v>
      </c>
      <c r="W237" s="21">
        <v>0.10100000000000001</v>
      </c>
      <c r="X237" s="4">
        <v>0</v>
      </c>
    </row>
    <row r="238" spans="1:24" x14ac:dyDescent="0.35">
      <c r="A238" s="21">
        <v>24</v>
      </c>
      <c r="B238" s="21">
        <v>44</v>
      </c>
      <c r="C238" s="21">
        <v>15</v>
      </c>
      <c r="D238" s="21">
        <v>5.6</v>
      </c>
      <c r="E238" s="21">
        <v>0.45600000000000002</v>
      </c>
      <c r="F238" s="21">
        <v>2.9</v>
      </c>
      <c r="G238" s="21">
        <v>0.39500000000000002</v>
      </c>
      <c r="H238" s="21">
        <v>2.7</v>
      </c>
      <c r="I238" s="21">
        <v>0.52100000000000002</v>
      </c>
      <c r="J238" s="21">
        <v>0.55800000000000005</v>
      </c>
      <c r="K238" s="21">
        <v>0.8</v>
      </c>
      <c r="L238" s="21">
        <v>0.8</v>
      </c>
      <c r="M238" s="21">
        <v>1.4</v>
      </c>
      <c r="N238" s="21">
        <v>0.9</v>
      </c>
      <c r="O238" s="21">
        <v>0.5</v>
      </c>
      <c r="P238" s="21">
        <v>0.1</v>
      </c>
      <c r="Q238" s="21">
        <v>0.7</v>
      </c>
      <c r="R238" s="21">
        <v>0.9</v>
      </c>
      <c r="S238" s="21">
        <v>6.9</v>
      </c>
      <c r="T238" s="21">
        <v>0</v>
      </c>
      <c r="U238" s="21">
        <v>-3.2</v>
      </c>
      <c r="V238" s="21">
        <v>11.7</v>
      </c>
      <c r="W238" s="21">
        <v>2.9000000000000001E-2</v>
      </c>
      <c r="X238" s="4">
        <v>0.5</v>
      </c>
    </row>
    <row r="239" spans="1:24" x14ac:dyDescent="0.35">
      <c r="A239" s="21">
        <v>26</v>
      </c>
      <c r="B239" s="21">
        <v>6</v>
      </c>
      <c r="C239" s="21">
        <v>18.7</v>
      </c>
      <c r="D239" s="21">
        <v>4.7</v>
      </c>
      <c r="E239" s="21">
        <v>0.42899999999999999</v>
      </c>
      <c r="F239" s="21">
        <v>2.5</v>
      </c>
      <c r="G239" s="21">
        <v>0.4</v>
      </c>
      <c r="H239" s="21">
        <v>2.2000000000000002</v>
      </c>
      <c r="I239" s="21">
        <v>0.46200000000000002</v>
      </c>
      <c r="J239" s="21">
        <v>0.53600000000000003</v>
      </c>
      <c r="K239" s="21">
        <v>2.5</v>
      </c>
      <c r="L239" s="21">
        <v>0.8</v>
      </c>
      <c r="M239" s="21">
        <v>1</v>
      </c>
      <c r="N239" s="21">
        <v>2</v>
      </c>
      <c r="O239" s="21">
        <v>0.5</v>
      </c>
      <c r="P239" s="21">
        <v>0.2</v>
      </c>
      <c r="Q239" s="21">
        <v>1.3</v>
      </c>
      <c r="R239" s="21">
        <v>1.7</v>
      </c>
      <c r="S239" s="21">
        <v>7</v>
      </c>
      <c r="T239" s="21">
        <v>0</v>
      </c>
      <c r="U239" s="21">
        <v>-4.0999999999999996</v>
      </c>
      <c r="V239" s="21">
        <v>9.8000000000000007</v>
      </c>
      <c r="W239" s="21">
        <v>4.8000000000000001E-2</v>
      </c>
      <c r="X239" s="4">
        <v>-0.3</v>
      </c>
    </row>
    <row r="240" spans="1:24" x14ac:dyDescent="0.35">
      <c r="A240" s="21">
        <v>26</v>
      </c>
      <c r="B240" s="21">
        <v>10</v>
      </c>
      <c r="C240" s="21">
        <v>4.5</v>
      </c>
      <c r="D240" s="21">
        <v>1.8</v>
      </c>
      <c r="E240" s="21">
        <v>0.5</v>
      </c>
      <c r="F240" s="21">
        <v>0.8</v>
      </c>
      <c r="G240" s="21">
        <v>0.125</v>
      </c>
      <c r="H240" s="21">
        <v>1</v>
      </c>
      <c r="I240" s="21">
        <v>0.8</v>
      </c>
      <c r="J240" s="21">
        <v>0.52800000000000002</v>
      </c>
      <c r="K240" s="21">
        <v>0.5</v>
      </c>
      <c r="L240" s="21">
        <v>0.8</v>
      </c>
      <c r="M240" s="21">
        <v>0.9</v>
      </c>
      <c r="N240" s="21">
        <v>1.1000000000000001</v>
      </c>
      <c r="O240" s="21">
        <v>0</v>
      </c>
      <c r="P240" s="21">
        <v>0.1</v>
      </c>
      <c r="Q240" s="21">
        <v>0.1</v>
      </c>
      <c r="R240" s="21">
        <v>0.3</v>
      </c>
      <c r="S240" s="21">
        <v>2.2999999999999998</v>
      </c>
      <c r="T240" s="21">
        <v>3</v>
      </c>
      <c r="U240" s="21">
        <v>2.9</v>
      </c>
      <c r="V240" s="21">
        <v>20.6</v>
      </c>
      <c r="W240" s="21">
        <v>0.19800000000000001</v>
      </c>
      <c r="X240" s="4">
        <v>0.7</v>
      </c>
    </row>
    <row r="241" spans="1:24" x14ac:dyDescent="0.35">
      <c r="A241" s="21">
        <v>26</v>
      </c>
      <c r="B241" s="21">
        <v>20</v>
      </c>
      <c r="C241" s="21">
        <v>23.9</v>
      </c>
      <c r="D241" s="21">
        <v>10.6</v>
      </c>
      <c r="E241" s="21">
        <v>0.42</v>
      </c>
      <c r="F241" s="21">
        <v>6.4</v>
      </c>
      <c r="G241" s="21">
        <v>0.35399999999999998</v>
      </c>
      <c r="H241" s="21">
        <v>4.3</v>
      </c>
      <c r="I241" s="21">
        <v>0.51800000000000002</v>
      </c>
      <c r="J241" s="21">
        <v>0.52600000000000002</v>
      </c>
      <c r="K241" s="21">
        <v>1.5</v>
      </c>
      <c r="L241" s="21">
        <v>0.8</v>
      </c>
      <c r="M241" s="21">
        <v>3.2</v>
      </c>
      <c r="N241" s="21">
        <v>2.5</v>
      </c>
      <c r="O241" s="21">
        <v>0.5</v>
      </c>
      <c r="P241" s="21">
        <v>0.3</v>
      </c>
      <c r="Q241" s="21">
        <v>1.3</v>
      </c>
      <c r="R241" s="21">
        <v>1.4</v>
      </c>
      <c r="S241" s="21">
        <v>12.4</v>
      </c>
      <c r="T241" s="21">
        <v>6</v>
      </c>
      <c r="U241" s="21">
        <v>-2.4</v>
      </c>
      <c r="V241" s="21">
        <v>13.1</v>
      </c>
      <c r="W241" s="21">
        <v>3.3000000000000002E-2</v>
      </c>
      <c r="X241" s="4">
        <v>0.2</v>
      </c>
    </row>
    <row r="242" spans="1:24" x14ac:dyDescent="0.35">
      <c r="A242" s="21">
        <v>27</v>
      </c>
      <c r="B242" s="21">
        <v>38</v>
      </c>
      <c r="C242" s="21">
        <v>20</v>
      </c>
      <c r="D242" s="21">
        <v>7.9</v>
      </c>
      <c r="E242" s="21">
        <v>0.39100000000000001</v>
      </c>
      <c r="F242" s="21">
        <v>5.3</v>
      </c>
      <c r="G242" s="21">
        <v>0.34499999999999997</v>
      </c>
      <c r="H242" s="21">
        <v>2.6</v>
      </c>
      <c r="I242" s="21">
        <v>0.48499999999999999</v>
      </c>
      <c r="J242" s="21">
        <v>0.50700000000000001</v>
      </c>
      <c r="K242" s="21">
        <v>0.9</v>
      </c>
      <c r="L242" s="21">
        <v>0.8</v>
      </c>
      <c r="M242" s="21">
        <v>2.4</v>
      </c>
      <c r="N242" s="21">
        <v>2</v>
      </c>
      <c r="O242" s="21">
        <v>0.5</v>
      </c>
      <c r="P242" s="21">
        <v>0.2</v>
      </c>
      <c r="Q242" s="21">
        <v>1.4</v>
      </c>
      <c r="R242" s="21">
        <v>1.1000000000000001</v>
      </c>
      <c r="S242" s="21">
        <v>8.8000000000000007</v>
      </c>
      <c r="T242" s="21">
        <v>6</v>
      </c>
      <c r="U242" s="21">
        <v>-3.5</v>
      </c>
      <c r="V242" s="21">
        <v>9.8000000000000007</v>
      </c>
      <c r="W242" s="21">
        <v>-8.9999999999999993E-3</v>
      </c>
      <c r="X242" s="4">
        <v>-0.2</v>
      </c>
    </row>
    <row r="243" spans="1:24" x14ac:dyDescent="0.35">
      <c r="A243" s="21">
        <v>27</v>
      </c>
      <c r="B243" s="21">
        <v>47</v>
      </c>
      <c r="C243" s="21">
        <v>22.8</v>
      </c>
      <c r="D243" s="21">
        <v>6.2</v>
      </c>
      <c r="E243" s="21">
        <v>0.40500000000000003</v>
      </c>
      <c r="F243" s="21">
        <v>3.5</v>
      </c>
      <c r="G243" s="21">
        <v>0.33500000000000002</v>
      </c>
      <c r="H243" s="21">
        <v>2.7</v>
      </c>
      <c r="I243" s="21">
        <v>0.496</v>
      </c>
      <c r="J243" s="21">
        <v>0.5</v>
      </c>
      <c r="K243" s="21">
        <v>0.6</v>
      </c>
      <c r="L243" s="21">
        <v>0.8</v>
      </c>
      <c r="M243" s="21">
        <v>2.9</v>
      </c>
      <c r="N243" s="21">
        <v>1.1000000000000001</v>
      </c>
      <c r="O243" s="21">
        <v>0.6</v>
      </c>
      <c r="P243" s="21">
        <v>0.5</v>
      </c>
      <c r="Q243" s="21">
        <v>0.7</v>
      </c>
      <c r="R243" s="21">
        <v>2.1</v>
      </c>
      <c r="S243" s="21">
        <v>6.7</v>
      </c>
      <c r="T243" s="21">
        <v>5</v>
      </c>
      <c r="U243" s="21">
        <v>-4.7</v>
      </c>
      <c r="V243" s="21">
        <v>7.9</v>
      </c>
      <c r="W243" s="21">
        <v>2.7E-2</v>
      </c>
      <c r="X243" s="4">
        <v>0.2</v>
      </c>
    </row>
    <row r="244" spans="1:24" x14ac:dyDescent="0.35">
      <c r="A244" s="21">
        <v>29</v>
      </c>
      <c r="B244" s="21">
        <v>36</v>
      </c>
      <c r="C244" s="21">
        <v>8.9</v>
      </c>
      <c r="D244" s="21">
        <v>4.0999999999999996</v>
      </c>
      <c r="E244" s="21">
        <v>0.377</v>
      </c>
      <c r="F244" s="21">
        <v>2.9</v>
      </c>
      <c r="G244" s="21">
        <v>0.33300000000000002</v>
      </c>
      <c r="H244" s="21">
        <v>1.1000000000000001</v>
      </c>
      <c r="I244" s="21">
        <v>0.48799999999999999</v>
      </c>
      <c r="J244" s="21">
        <v>0.497</v>
      </c>
      <c r="K244" s="21">
        <v>0.3</v>
      </c>
      <c r="L244" s="21">
        <v>0.8</v>
      </c>
      <c r="M244" s="21">
        <v>1.1000000000000001</v>
      </c>
      <c r="N244" s="21">
        <v>1.1000000000000001</v>
      </c>
      <c r="O244" s="21">
        <v>0.4</v>
      </c>
      <c r="P244" s="21">
        <v>0.1</v>
      </c>
      <c r="Q244" s="21">
        <v>0.3</v>
      </c>
      <c r="R244" s="21">
        <v>0.4</v>
      </c>
      <c r="S244" s="21">
        <v>4.3</v>
      </c>
      <c r="T244" s="21">
        <v>6</v>
      </c>
      <c r="U244" s="21">
        <v>-2.1</v>
      </c>
      <c r="V244" s="21">
        <v>12.2</v>
      </c>
      <c r="W244" s="21">
        <v>4.5999999999999999E-2</v>
      </c>
      <c r="X244" s="4">
        <v>1.6</v>
      </c>
    </row>
    <row r="245" spans="1:24" x14ac:dyDescent="0.35">
      <c r="A245" s="21">
        <v>25</v>
      </c>
      <c r="B245" s="21">
        <v>37</v>
      </c>
      <c r="C245" s="21">
        <v>11.4</v>
      </c>
      <c r="D245" s="21">
        <v>3.6</v>
      </c>
      <c r="E245" s="21">
        <v>0.433</v>
      </c>
      <c r="F245" s="21">
        <v>1</v>
      </c>
      <c r="G245" s="21">
        <v>0.21099999999999999</v>
      </c>
      <c r="H245" s="21">
        <v>2.6</v>
      </c>
      <c r="I245" s="21">
        <v>0.52100000000000002</v>
      </c>
      <c r="J245" s="21">
        <v>0.46300000000000002</v>
      </c>
      <c r="K245" s="21">
        <v>0.9</v>
      </c>
      <c r="L245" s="21">
        <v>0.8</v>
      </c>
      <c r="M245" s="21">
        <v>1.6</v>
      </c>
      <c r="N245" s="21">
        <v>0.9</v>
      </c>
      <c r="O245" s="21">
        <v>0.5</v>
      </c>
      <c r="P245" s="21">
        <v>0.1</v>
      </c>
      <c r="Q245" s="21">
        <v>0.7</v>
      </c>
      <c r="R245" s="21">
        <v>0.7</v>
      </c>
      <c r="S245" s="21">
        <v>4.0999999999999996</v>
      </c>
      <c r="T245" s="21">
        <v>1</v>
      </c>
      <c r="U245" s="21">
        <v>-2.8</v>
      </c>
      <c r="V245" s="21">
        <v>10.5</v>
      </c>
      <c r="W245" s="21">
        <v>4.9000000000000002E-2</v>
      </c>
      <c r="X245" s="4">
        <v>0</v>
      </c>
    </row>
    <row r="246" spans="1:24" x14ac:dyDescent="0.35">
      <c r="A246" s="21">
        <v>25</v>
      </c>
      <c r="B246" s="21">
        <v>7</v>
      </c>
      <c r="C246" s="21">
        <v>21.6</v>
      </c>
      <c r="D246" s="21">
        <v>7.4</v>
      </c>
      <c r="E246" s="21">
        <v>0.32700000000000001</v>
      </c>
      <c r="F246" s="21">
        <v>6.3</v>
      </c>
      <c r="G246" s="21">
        <v>0.29499999999999998</v>
      </c>
      <c r="H246" s="21">
        <v>1.1000000000000001</v>
      </c>
      <c r="I246" s="21">
        <v>0.5</v>
      </c>
      <c r="J246" s="21">
        <v>0.45200000000000001</v>
      </c>
      <c r="K246" s="21">
        <v>1.4</v>
      </c>
      <c r="L246" s="21">
        <v>0.8</v>
      </c>
      <c r="M246" s="21">
        <v>1.3</v>
      </c>
      <c r="N246" s="21">
        <v>1.7</v>
      </c>
      <c r="O246" s="21">
        <v>0.4</v>
      </c>
      <c r="P246" s="21">
        <v>0.1</v>
      </c>
      <c r="Q246" s="21">
        <v>1.1000000000000001</v>
      </c>
      <c r="R246" s="21">
        <v>2.4</v>
      </c>
      <c r="S246" s="21">
        <v>7.9</v>
      </c>
      <c r="T246" s="21">
        <v>0</v>
      </c>
      <c r="U246" s="21">
        <v>-8.8000000000000007</v>
      </c>
      <c r="V246" s="21">
        <v>5.6</v>
      </c>
      <c r="W246" s="21">
        <v>-2.1000000000000001E-2</v>
      </c>
      <c r="X246" s="4">
        <v>0.6</v>
      </c>
    </row>
    <row r="247" spans="1:24" x14ac:dyDescent="0.35">
      <c r="A247" s="21">
        <v>23</v>
      </c>
      <c r="B247" s="21">
        <v>10</v>
      </c>
      <c r="C247" s="21">
        <v>25.3</v>
      </c>
      <c r="D247" s="21">
        <v>6.9</v>
      </c>
      <c r="E247" s="21">
        <v>0.39100000000000001</v>
      </c>
      <c r="F247" s="21">
        <v>3.2</v>
      </c>
      <c r="G247" s="21">
        <v>0.156</v>
      </c>
      <c r="H247" s="21">
        <v>3.7</v>
      </c>
      <c r="I247" s="21">
        <v>0.59499999999999997</v>
      </c>
      <c r="J247" s="21">
        <v>0.42799999999999999</v>
      </c>
      <c r="K247" s="21">
        <v>1</v>
      </c>
      <c r="L247" s="21">
        <v>0.8</v>
      </c>
      <c r="M247" s="21">
        <v>7</v>
      </c>
      <c r="N247" s="21">
        <v>1</v>
      </c>
      <c r="O247" s="21">
        <v>0.9</v>
      </c>
      <c r="P247" s="21">
        <v>1.2</v>
      </c>
      <c r="Q247" s="21">
        <v>0.7</v>
      </c>
      <c r="R247" s="21">
        <v>1.6</v>
      </c>
      <c r="S247" s="21">
        <v>6.7</v>
      </c>
      <c r="T247" s="21">
        <v>0</v>
      </c>
      <c r="U247" s="21">
        <v>-4.3</v>
      </c>
      <c r="V247" s="21">
        <v>11.8</v>
      </c>
      <c r="W247" s="21">
        <v>4.4999999999999998E-2</v>
      </c>
      <c r="X247" s="4">
        <v>-0.2</v>
      </c>
    </row>
    <row r="248" spans="1:24" x14ac:dyDescent="0.35">
      <c r="A248" s="21">
        <v>22</v>
      </c>
      <c r="B248" s="21">
        <v>74</v>
      </c>
      <c r="C248" s="21">
        <v>22.3</v>
      </c>
      <c r="D248" s="21">
        <v>7.7</v>
      </c>
      <c r="E248" s="21">
        <v>0.433</v>
      </c>
      <c r="F248" s="21">
        <v>4.5999999999999996</v>
      </c>
      <c r="G248" s="21">
        <v>0.374</v>
      </c>
      <c r="H248" s="21">
        <v>3.1</v>
      </c>
      <c r="I248" s="21">
        <v>0.51900000000000002</v>
      </c>
      <c r="J248" s="21">
        <v>0.54400000000000004</v>
      </c>
      <c r="K248" s="21">
        <v>1.8</v>
      </c>
      <c r="L248" s="21">
        <v>0.79700000000000004</v>
      </c>
      <c r="M248" s="21">
        <v>2.6</v>
      </c>
      <c r="N248" s="21">
        <v>1.3</v>
      </c>
      <c r="O248" s="21">
        <v>0.8</v>
      </c>
      <c r="P248" s="21">
        <v>0.4</v>
      </c>
      <c r="Q248" s="21">
        <v>0.7</v>
      </c>
      <c r="R248" s="21">
        <v>1.6</v>
      </c>
      <c r="S248" s="21">
        <v>9.8000000000000007</v>
      </c>
      <c r="T248" s="21">
        <v>3</v>
      </c>
      <c r="U248" s="21">
        <v>-0.9</v>
      </c>
      <c r="V248" s="21">
        <v>12.4</v>
      </c>
      <c r="W248" s="21">
        <v>0.10199999999999999</v>
      </c>
      <c r="X248" s="4">
        <v>0.6</v>
      </c>
    </row>
    <row r="249" spans="1:24" x14ac:dyDescent="0.35">
      <c r="A249" s="21">
        <v>28</v>
      </c>
      <c r="B249" s="21">
        <v>57</v>
      </c>
      <c r="C249" s="21">
        <v>14.7</v>
      </c>
      <c r="D249" s="21">
        <v>4.5</v>
      </c>
      <c r="E249" s="21">
        <v>0.45300000000000001</v>
      </c>
      <c r="F249" s="21">
        <v>1.9</v>
      </c>
      <c r="G249" s="21">
        <v>0.35799999999999998</v>
      </c>
      <c r="H249" s="21">
        <v>2.6</v>
      </c>
      <c r="I249" s="21">
        <v>0.52</v>
      </c>
      <c r="J249" s="21">
        <v>0.52800000000000002</v>
      </c>
      <c r="K249" s="21">
        <v>1</v>
      </c>
      <c r="L249" s="21">
        <v>0.79700000000000004</v>
      </c>
      <c r="M249" s="21">
        <v>1.8</v>
      </c>
      <c r="N249" s="21">
        <v>1.8</v>
      </c>
      <c r="O249" s="21">
        <v>0.4</v>
      </c>
      <c r="P249" s="21">
        <v>0.1</v>
      </c>
      <c r="Q249" s="21">
        <v>0.7</v>
      </c>
      <c r="R249" s="21">
        <v>1.2</v>
      </c>
      <c r="S249" s="21">
        <v>5.5</v>
      </c>
      <c r="T249" s="21">
        <v>6</v>
      </c>
      <c r="U249" s="21">
        <v>-2.2000000000000002</v>
      </c>
      <c r="V249" s="21">
        <v>11.9</v>
      </c>
      <c r="W249" s="21">
        <v>7.6999999999999999E-2</v>
      </c>
      <c r="X249" s="4">
        <v>0.3</v>
      </c>
    </row>
    <row r="250" spans="1:24" x14ac:dyDescent="0.35">
      <c r="A250" s="21">
        <v>32</v>
      </c>
      <c r="B250" s="21">
        <v>37</v>
      </c>
      <c r="C250" s="21">
        <v>26</v>
      </c>
      <c r="D250" s="21">
        <v>13.3</v>
      </c>
      <c r="E250" s="21">
        <v>0.40799999999999997</v>
      </c>
      <c r="F250" s="21">
        <v>6.3</v>
      </c>
      <c r="G250" s="21">
        <v>0.36199999999999999</v>
      </c>
      <c r="H250" s="21">
        <v>7.1</v>
      </c>
      <c r="I250" s="21">
        <v>0.44800000000000001</v>
      </c>
      <c r="J250" s="21">
        <v>0.49299999999999999</v>
      </c>
      <c r="K250" s="21">
        <v>3.9</v>
      </c>
      <c r="L250" s="21">
        <v>0.79700000000000004</v>
      </c>
      <c r="M250" s="21">
        <v>3.2</v>
      </c>
      <c r="N250" s="21">
        <v>3.7</v>
      </c>
      <c r="O250" s="21">
        <v>0.8</v>
      </c>
      <c r="P250" s="21">
        <v>0.2</v>
      </c>
      <c r="Q250" s="21">
        <v>2.2999999999999998</v>
      </c>
      <c r="R250" s="21">
        <v>1.4</v>
      </c>
      <c r="S250" s="21">
        <v>16.2</v>
      </c>
      <c r="T250" s="21">
        <v>10</v>
      </c>
      <c r="U250" s="21">
        <v>-1.5</v>
      </c>
      <c r="V250" s="21">
        <v>14.5</v>
      </c>
      <c r="W250" s="21">
        <v>2.1000000000000001E-2</v>
      </c>
      <c r="X250" s="4">
        <v>0</v>
      </c>
    </row>
    <row r="251" spans="1:24" x14ac:dyDescent="0.35">
      <c r="A251" s="21">
        <v>20</v>
      </c>
      <c r="B251" s="21">
        <v>52</v>
      </c>
      <c r="C251" s="21">
        <v>21.2</v>
      </c>
      <c r="D251" s="21">
        <v>7.6</v>
      </c>
      <c r="E251" s="21">
        <v>0.40500000000000003</v>
      </c>
      <c r="F251" s="21">
        <v>3.6</v>
      </c>
      <c r="G251" s="21">
        <v>0.34899999999999998</v>
      </c>
      <c r="H251" s="21">
        <v>4</v>
      </c>
      <c r="I251" s="21">
        <v>0.45400000000000001</v>
      </c>
      <c r="J251" s="21">
        <v>0.48699999999999999</v>
      </c>
      <c r="K251" s="21">
        <v>1.6</v>
      </c>
      <c r="L251" s="21">
        <v>0.79500000000000004</v>
      </c>
      <c r="M251" s="21">
        <v>3.1</v>
      </c>
      <c r="N251" s="21">
        <v>1.6</v>
      </c>
      <c r="O251" s="21">
        <v>0.8</v>
      </c>
      <c r="P251" s="21">
        <v>0.2</v>
      </c>
      <c r="Q251" s="21">
        <v>1</v>
      </c>
      <c r="R251" s="21">
        <v>1.8</v>
      </c>
      <c r="S251" s="21">
        <v>8.6</v>
      </c>
      <c r="T251" s="21">
        <v>0</v>
      </c>
      <c r="U251" s="21">
        <v>-3</v>
      </c>
      <c r="V251" s="21">
        <v>10.8</v>
      </c>
      <c r="W251" s="21">
        <v>5.1999999999999998E-2</v>
      </c>
      <c r="X251" s="4">
        <v>-0.2</v>
      </c>
    </row>
    <row r="252" spans="1:24" x14ac:dyDescent="0.35">
      <c r="A252" s="21">
        <v>25</v>
      </c>
      <c r="B252" s="21">
        <v>65</v>
      </c>
      <c r="C252" s="21">
        <v>28.9</v>
      </c>
      <c r="D252" s="21">
        <v>8.3000000000000007</v>
      </c>
      <c r="E252" s="21">
        <v>0.45800000000000002</v>
      </c>
      <c r="F252" s="21">
        <v>2.7</v>
      </c>
      <c r="G252" s="21">
        <v>0.29099999999999998</v>
      </c>
      <c r="H252" s="21">
        <v>5.6</v>
      </c>
      <c r="I252" s="21">
        <v>0.53800000000000003</v>
      </c>
      <c r="J252" s="21">
        <v>0.50600000000000001</v>
      </c>
      <c r="K252" s="21">
        <v>2.1</v>
      </c>
      <c r="L252" s="21">
        <v>0.79400000000000004</v>
      </c>
      <c r="M252" s="21">
        <v>3.3</v>
      </c>
      <c r="N252" s="21">
        <v>5</v>
      </c>
      <c r="O252" s="21">
        <v>1.2</v>
      </c>
      <c r="P252" s="21">
        <v>0.2</v>
      </c>
      <c r="Q252" s="21">
        <v>1.7</v>
      </c>
      <c r="R252" s="21">
        <v>2.2999999999999998</v>
      </c>
      <c r="S252" s="21">
        <v>10</v>
      </c>
      <c r="T252" s="21">
        <v>2</v>
      </c>
      <c r="U252" s="21">
        <v>-2.2999999999999998</v>
      </c>
      <c r="V252" s="21">
        <v>11.7</v>
      </c>
      <c r="W252" s="21">
        <v>7.0999999999999994E-2</v>
      </c>
      <c r="X252" s="4">
        <v>0.3</v>
      </c>
    </row>
    <row r="253" spans="1:24" x14ac:dyDescent="0.35">
      <c r="A253" s="21">
        <v>31</v>
      </c>
      <c r="B253" s="21">
        <v>79</v>
      </c>
      <c r="C253" s="21">
        <v>21.5</v>
      </c>
      <c r="D253" s="21">
        <v>7.8</v>
      </c>
      <c r="E253" s="21">
        <v>0.46100000000000002</v>
      </c>
      <c r="F253" s="21">
        <v>5.2</v>
      </c>
      <c r="G253" s="21">
        <v>0.40600000000000003</v>
      </c>
      <c r="H253" s="21">
        <v>2.7</v>
      </c>
      <c r="I253" s="21">
        <v>0.56899999999999995</v>
      </c>
      <c r="J253" s="21">
        <v>0.59499999999999997</v>
      </c>
      <c r="K253" s="21">
        <v>0.7</v>
      </c>
      <c r="L253" s="21">
        <v>0.79300000000000004</v>
      </c>
      <c r="M253" s="21">
        <v>3.4</v>
      </c>
      <c r="N253" s="21">
        <v>1.4</v>
      </c>
      <c r="O253" s="21">
        <v>0.4</v>
      </c>
      <c r="P253" s="21">
        <v>0.2</v>
      </c>
      <c r="Q253" s="21">
        <v>1</v>
      </c>
      <c r="R253" s="21">
        <v>2.5</v>
      </c>
      <c r="S253" s="21">
        <v>9.9</v>
      </c>
      <c r="T253" s="21">
        <v>8</v>
      </c>
      <c r="U253" s="21">
        <v>-2.2999999999999998</v>
      </c>
      <c r="V253" s="21">
        <v>11.2</v>
      </c>
      <c r="W253" s="21">
        <v>8.1000000000000003E-2</v>
      </c>
      <c r="X253" s="4">
        <v>0.3</v>
      </c>
    </row>
    <row r="254" spans="1:24" x14ac:dyDescent="0.35">
      <c r="A254" s="21">
        <v>25</v>
      </c>
      <c r="B254" s="21">
        <v>60</v>
      </c>
      <c r="C254" s="21">
        <v>21.9</v>
      </c>
      <c r="D254" s="21">
        <v>7.8</v>
      </c>
      <c r="E254" s="21">
        <v>0.40600000000000003</v>
      </c>
      <c r="F254" s="21">
        <v>4.7</v>
      </c>
      <c r="G254" s="21">
        <v>0.35099999999999998</v>
      </c>
      <c r="H254" s="21">
        <v>3.1</v>
      </c>
      <c r="I254" s="21">
        <v>0.49199999999999999</v>
      </c>
      <c r="J254" s="21">
        <v>0.51300000000000001</v>
      </c>
      <c r="K254" s="21">
        <v>1</v>
      </c>
      <c r="L254" s="21">
        <v>0.79300000000000004</v>
      </c>
      <c r="M254" s="21">
        <v>3.7</v>
      </c>
      <c r="N254" s="21">
        <v>2</v>
      </c>
      <c r="O254" s="21">
        <v>0.6</v>
      </c>
      <c r="P254" s="21">
        <v>0.2</v>
      </c>
      <c r="Q254" s="21">
        <v>1.2</v>
      </c>
      <c r="R254" s="21">
        <v>1.3</v>
      </c>
      <c r="S254" s="21">
        <v>8.6999999999999993</v>
      </c>
      <c r="T254" s="21">
        <v>1</v>
      </c>
      <c r="U254" s="21">
        <v>-2.6</v>
      </c>
      <c r="V254" s="21">
        <v>10.9</v>
      </c>
      <c r="W254" s="21">
        <v>3.3000000000000002E-2</v>
      </c>
      <c r="X254" s="4">
        <v>0.1</v>
      </c>
    </row>
    <row r="255" spans="1:24" x14ac:dyDescent="0.35">
      <c r="A255" s="21">
        <v>24</v>
      </c>
      <c r="B255" s="21">
        <v>64</v>
      </c>
      <c r="C255" s="21">
        <v>31</v>
      </c>
      <c r="D255" s="21">
        <v>13.9</v>
      </c>
      <c r="E255" s="21">
        <v>0.443</v>
      </c>
      <c r="F255" s="21">
        <v>6.7</v>
      </c>
      <c r="G255" s="21">
        <v>0.36799999999999999</v>
      </c>
      <c r="H255" s="21">
        <v>7.2</v>
      </c>
      <c r="I255" s="21">
        <v>0.51300000000000001</v>
      </c>
      <c r="J255" s="21">
        <v>0.53200000000000003</v>
      </c>
      <c r="K255" s="21">
        <v>1.9</v>
      </c>
      <c r="L255" s="21">
        <v>0.79200000000000004</v>
      </c>
      <c r="M255" s="21">
        <v>4</v>
      </c>
      <c r="N255" s="21">
        <v>2.9</v>
      </c>
      <c r="O255" s="21">
        <v>1.3</v>
      </c>
      <c r="P255" s="21">
        <v>0.5</v>
      </c>
      <c r="Q255" s="21">
        <v>1.4</v>
      </c>
      <c r="R255" s="21">
        <v>1.7</v>
      </c>
      <c r="S255" s="21">
        <v>16.3</v>
      </c>
      <c r="T255" s="21">
        <v>4</v>
      </c>
      <c r="U255" s="21">
        <v>-1.1000000000000001</v>
      </c>
      <c r="V255" s="21">
        <v>14.2</v>
      </c>
      <c r="W255" s="21">
        <v>5.3999999999999999E-2</v>
      </c>
      <c r="X255" s="4">
        <v>-1</v>
      </c>
    </row>
    <row r="256" spans="1:24" x14ac:dyDescent="0.35">
      <c r="A256" s="21">
        <v>22</v>
      </c>
      <c r="B256" s="21">
        <v>47</v>
      </c>
      <c r="C256" s="21">
        <v>9.6</v>
      </c>
      <c r="D256" s="21">
        <v>3.2</v>
      </c>
      <c r="E256" s="21">
        <v>0.43</v>
      </c>
      <c r="F256" s="21">
        <v>1.2</v>
      </c>
      <c r="G256" s="21">
        <v>0.34499999999999997</v>
      </c>
      <c r="H256" s="21">
        <v>1.9</v>
      </c>
      <c r="I256" s="21">
        <v>0.48399999999999999</v>
      </c>
      <c r="J256" s="21">
        <v>0.497</v>
      </c>
      <c r="K256" s="21">
        <v>0.5</v>
      </c>
      <c r="L256" s="21">
        <v>0.79200000000000004</v>
      </c>
      <c r="M256" s="21">
        <v>2</v>
      </c>
      <c r="N256" s="21">
        <v>0.9</v>
      </c>
      <c r="O256" s="21">
        <v>0.3</v>
      </c>
      <c r="P256" s="21">
        <v>0.1</v>
      </c>
      <c r="Q256" s="21">
        <v>0.6</v>
      </c>
      <c r="R256" s="21">
        <v>1.1000000000000001</v>
      </c>
      <c r="S256" s="21">
        <v>3.6</v>
      </c>
      <c r="T256" s="21">
        <v>0</v>
      </c>
      <c r="U256" s="21">
        <v>-2.7</v>
      </c>
      <c r="V256" s="21">
        <v>11.1</v>
      </c>
      <c r="W256" s="21">
        <v>8.3000000000000004E-2</v>
      </c>
      <c r="X256" s="4">
        <v>0.2</v>
      </c>
    </row>
    <row r="257" spans="1:24" x14ac:dyDescent="0.35">
      <c r="A257" s="21">
        <v>24</v>
      </c>
      <c r="B257" s="21">
        <v>27</v>
      </c>
      <c r="C257" s="21">
        <v>18.5</v>
      </c>
      <c r="D257" s="21">
        <v>6.2</v>
      </c>
      <c r="E257" s="21">
        <v>0.40100000000000002</v>
      </c>
      <c r="F257" s="21">
        <v>3.5</v>
      </c>
      <c r="G257" s="21">
        <v>0.27400000000000002</v>
      </c>
      <c r="H257" s="21">
        <v>2.7</v>
      </c>
      <c r="I257" s="21">
        <v>0.56899999999999995</v>
      </c>
      <c r="J257" s="21">
        <v>0.47899999999999998</v>
      </c>
      <c r="K257" s="21">
        <v>0.9</v>
      </c>
      <c r="L257" s="21">
        <v>0.79200000000000004</v>
      </c>
      <c r="M257" s="21">
        <v>3.6</v>
      </c>
      <c r="N257" s="21">
        <v>2</v>
      </c>
      <c r="O257" s="21">
        <v>0.4</v>
      </c>
      <c r="P257" s="21">
        <v>0.3</v>
      </c>
      <c r="Q257" s="21">
        <v>1.2</v>
      </c>
      <c r="R257" s="21">
        <v>1.7</v>
      </c>
      <c r="S257" s="21">
        <v>6.6</v>
      </c>
      <c r="T257" s="21">
        <v>2</v>
      </c>
      <c r="U257" s="21">
        <v>-2.8</v>
      </c>
      <c r="V257" s="21">
        <v>9.1999999999999993</v>
      </c>
      <c r="W257" s="21">
        <v>0.04</v>
      </c>
      <c r="X257" s="4">
        <v>-0.1</v>
      </c>
    </row>
    <row r="258" spans="1:24" x14ac:dyDescent="0.35">
      <c r="A258" s="21">
        <v>23</v>
      </c>
      <c r="B258" s="21">
        <v>69</v>
      </c>
      <c r="C258" s="21">
        <v>32.4</v>
      </c>
      <c r="D258" s="21">
        <v>16.899999999999999</v>
      </c>
      <c r="E258" s="21">
        <v>0.48399999999999999</v>
      </c>
      <c r="F258" s="21">
        <v>4.9000000000000004</v>
      </c>
      <c r="G258" s="21">
        <v>0.36499999999999999</v>
      </c>
      <c r="H258" s="21">
        <v>12</v>
      </c>
      <c r="I258" s="21">
        <v>0.53300000000000003</v>
      </c>
      <c r="J258" s="21">
        <v>0.53700000000000003</v>
      </c>
      <c r="K258" s="21">
        <v>4.3</v>
      </c>
      <c r="L258" s="21">
        <v>0.78900000000000003</v>
      </c>
      <c r="M258" s="21">
        <v>5.3</v>
      </c>
      <c r="N258" s="21">
        <v>5.0999999999999996</v>
      </c>
      <c r="O258" s="21">
        <v>1.6</v>
      </c>
      <c r="P258" s="21">
        <v>0.7</v>
      </c>
      <c r="Q258" s="21">
        <v>2.2000000000000002</v>
      </c>
      <c r="R258" s="21">
        <v>2.2999999999999998</v>
      </c>
      <c r="S258" s="21">
        <v>21.6</v>
      </c>
      <c r="T258" s="21">
        <v>2</v>
      </c>
      <c r="U258" s="21">
        <v>4</v>
      </c>
      <c r="V258" s="21">
        <v>20.3</v>
      </c>
      <c r="W258" s="21">
        <v>0.16800000000000001</v>
      </c>
      <c r="X258" s="4">
        <v>0.8</v>
      </c>
    </row>
    <row r="259" spans="1:24" x14ac:dyDescent="0.35">
      <c r="A259" s="21">
        <v>21</v>
      </c>
      <c r="B259" s="21">
        <v>79</v>
      </c>
      <c r="C259" s="21">
        <v>14.2</v>
      </c>
      <c r="D259" s="21">
        <v>3.6</v>
      </c>
      <c r="E259" s="21">
        <v>0.44600000000000001</v>
      </c>
      <c r="F259" s="21">
        <v>1.9</v>
      </c>
      <c r="G259" s="21">
        <v>0.32700000000000001</v>
      </c>
      <c r="H259" s="21">
        <v>1.7</v>
      </c>
      <c r="I259" s="21">
        <v>0.58199999999999996</v>
      </c>
      <c r="J259" s="21">
        <v>0.53300000000000003</v>
      </c>
      <c r="K259" s="21">
        <v>1</v>
      </c>
      <c r="L259" s="21">
        <v>0.78900000000000003</v>
      </c>
      <c r="M259" s="21">
        <v>2.1</v>
      </c>
      <c r="N259" s="21">
        <v>0.5</v>
      </c>
      <c r="O259" s="21">
        <v>0.5</v>
      </c>
      <c r="P259" s="21">
        <v>0.3</v>
      </c>
      <c r="Q259" s="21">
        <v>0.3</v>
      </c>
      <c r="R259" s="21">
        <v>1.4</v>
      </c>
      <c r="S259" s="21">
        <v>4.5999999999999996</v>
      </c>
      <c r="T259" s="21">
        <v>1</v>
      </c>
      <c r="U259" s="21">
        <v>-3</v>
      </c>
      <c r="V259" s="21">
        <v>10.199999999999999</v>
      </c>
      <c r="W259" s="21">
        <v>0.08</v>
      </c>
      <c r="X259" s="4">
        <v>0</v>
      </c>
    </row>
    <row r="260" spans="1:24" x14ac:dyDescent="0.35">
      <c r="A260" s="21">
        <v>23</v>
      </c>
      <c r="B260" s="21">
        <v>42</v>
      </c>
      <c r="C260" s="21">
        <v>23.6</v>
      </c>
      <c r="D260" s="21">
        <v>9.1</v>
      </c>
      <c r="E260" s="21">
        <v>0.436</v>
      </c>
      <c r="F260" s="21">
        <v>3.3</v>
      </c>
      <c r="G260" s="21">
        <v>0.35</v>
      </c>
      <c r="H260" s="21">
        <v>5.7</v>
      </c>
      <c r="I260" s="21">
        <v>0.48499999999999999</v>
      </c>
      <c r="J260" s="21">
        <v>0.5</v>
      </c>
      <c r="K260" s="21">
        <v>2</v>
      </c>
      <c r="L260" s="21">
        <v>0.78800000000000003</v>
      </c>
      <c r="M260" s="21">
        <v>3.2</v>
      </c>
      <c r="N260" s="21">
        <v>2.2000000000000002</v>
      </c>
      <c r="O260" s="21">
        <v>1.3</v>
      </c>
      <c r="P260" s="21">
        <v>0.2</v>
      </c>
      <c r="Q260" s="21">
        <v>1.2</v>
      </c>
      <c r="R260" s="21">
        <v>1.7</v>
      </c>
      <c r="S260" s="21">
        <v>10.7</v>
      </c>
      <c r="T260" s="21">
        <v>3</v>
      </c>
      <c r="U260" s="21">
        <v>-2.5</v>
      </c>
      <c r="V260" s="21">
        <v>12.7</v>
      </c>
      <c r="W260" s="21">
        <v>3.3000000000000002E-2</v>
      </c>
      <c r="X260" s="4">
        <v>-1.6</v>
      </c>
    </row>
    <row r="261" spans="1:24" x14ac:dyDescent="0.35">
      <c r="A261" s="21">
        <v>24</v>
      </c>
      <c r="B261" s="21">
        <v>43</v>
      </c>
      <c r="C261" s="21">
        <v>21.2</v>
      </c>
      <c r="D261" s="21">
        <v>4.7</v>
      </c>
      <c r="E261" s="21">
        <v>0.55200000000000005</v>
      </c>
      <c r="F261" s="21">
        <v>1.3</v>
      </c>
      <c r="G261" s="21">
        <v>0.25900000000000001</v>
      </c>
      <c r="H261" s="21">
        <v>3.3</v>
      </c>
      <c r="I261" s="21">
        <v>0.67100000000000004</v>
      </c>
      <c r="J261" s="21">
        <v>0.59</v>
      </c>
      <c r="K261" s="21">
        <v>1.1000000000000001</v>
      </c>
      <c r="L261" s="21">
        <v>0.78700000000000003</v>
      </c>
      <c r="M261" s="21">
        <v>2.9</v>
      </c>
      <c r="N261" s="21">
        <v>1.1000000000000001</v>
      </c>
      <c r="O261" s="21">
        <v>0.4</v>
      </c>
      <c r="P261" s="21">
        <v>0.5</v>
      </c>
      <c r="Q261" s="21">
        <v>0.6</v>
      </c>
      <c r="R261" s="21">
        <v>2.2999999999999998</v>
      </c>
      <c r="S261" s="21">
        <v>6.4</v>
      </c>
      <c r="T261" s="21">
        <v>4</v>
      </c>
      <c r="U261" s="21">
        <v>-3.6</v>
      </c>
      <c r="V261" s="21">
        <v>10.199999999999999</v>
      </c>
      <c r="W261" s="21">
        <v>6.8000000000000005E-2</v>
      </c>
      <c r="X261" s="4">
        <v>-0.5</v>
      </c>
    </row>
    <row r="262" spans="1:24" x14ac:dyDescent="0.35">
      <c r="A262" s="21">
        <v>26</v>
      </c>
      <c r="B262" s="21">
        <v>64</v>
      </c>
      <c r="C262" s="21">
        <v>11.7</v>
      </c>
      <c r="D262" s="21">
        <v>4.8</v>
      </c>
      <c r="E262" s="21">
        <v>0.51500000000000001</v>
      </c>
      <c r="F262" s="21">
        <v>3.1</v>
      </c>
      <c r="G262" s="21">
        <v>0.40500000000000003</v>
      </c>
      <c r="H262" s="21">
        <v>1.6</v>
      </c>
      <c r="I262" s="21">
        <v>0.72399999999999998</v>
      </c>
      <c r="J262" s="21">
        <v>0.64800000000000002</v>
      </c>
      <c r="K262" s="21">
        <v>0.9</v>
      </c>
      <c r="L262" s="21">
        <v>0.78600000000000003</v>
      </c>
      <c r="M262" s="21">
        <v>2</v>
      </c>
      <c r="N262" s="21">
        <v>0.6</v>
      </c>
      <c r="O262" s="21">
        <v>0.3</v>
      </c>
      <c r="P262" s="21">
        <v>0.9</v>
      </c>
      <c r="Q262" s="21">
        <v>0.5</v>
      </c>
      <c r="R262" s="21">
        <v>1.2</v>
      </c>
      <c r="S262" s="21">
        <v>6.9</v>
      </c>
      <c r="T262" s="21">
        <v>3</v>
      </c>
      <c r="U262" s="21">
        <v>3.5</v>
      </c>
      <c r="V262" s="21">
        <v>18.2</v>
      </c>
      <c r="W262" s="21">
        <v>0.16200000000000001</v>
      </c>
      <c r="X262" s="4">
        <v>0.5</v>
      </c>
    </row>
    <row r="263" spans="1:24" x14ac:dyDescent="0.35">
      <c r="A263" s="21">
        <v>20</v>
      </c>
      <c r="B263" s="21">
        <v>27</v>
      </c>
      <c r="C263" s="21">
        <v>6.7</v>
      </c>
      <c r="D263" s="21">
        <v>2.5</v>
      </c>
      <c r="E263" s="21">
        <v>0.313</v>
      </c>
      <c r="F263" s="21">
        <v>1.2</v>
      </c>
      <c r="G263" s="21">
        <v>0.28100000000000003</v>
      </c>
      <c r="H263" s="21">
        <v>1.3</v>
      </c>
      <c r="I263" s="21">
        <v>0.34300000000000003</v>
      </c>
      <c r="J263" s="21">
        <v>0.38100000000000001</v>
      </c>
      <c r="K263" s="21">
        <v>0.5</v>
      </c>
      <c r="L263" s="21">
        <v>0.78600000000000003</v>
      </c>
      <c r="M263" s="21">
        <v>0.7</v>
      </c>
      <c r="N263" s="21">
        <v>0.8</v>
      </c>
      <c r="O263" s="21">
        <v>0.3</v>
      </c>
      <c r="P263" s="21">
        <v>0.1</v>
      </c>
      <c r="Q263" s="21">
        <v>0.5</v>
      </c>
      <c r="R263" s="21">
        <v>0.5</v>
      </c>
      <c r="S263" s="21">
        <v>2.2999999999999998</v>
      </c>
      <c r="T263" s="21">
        <v>0</v>
      </c>
      <c r="U263" s="21">
        <v>-7.2</v>
      </c>
      <c r="V263" s="21">
        <v>7.1</v>
      </c>
      <c r="W263" s="21">
        <v>-4.2999999999999997E-2</v>
      </c>
      <c r="X263" s="4">
        <v>-0.1</v>
      </c>
    </row>
    <row r="264" spans="1:24" x14ac:dyDescent="0.35">
      <c r="A264" s="21">
        <v>25</v>
      </c>
      <c r="B264" s="21">
        <v>46</v>
      </c>
      <c r="C264" s="21">
        <v>30.3</v>
      </c>
      <c r="D264" s="21">
        <v>9.8000000000000007</v>
      </c>
      <c r="E264" s="21">
        <v>0.49199999999999999</v>
      </c>
      <c r="F264" s="21">
        <v>4.0999999999999996</v>
      </c>
      <c r="G264" s="21">
        <v>0.32800000000000001</v>
      </c>
      <c r="H264" s="21">
        <v>5.7</v>
      </c>
      <c r="I264" s="21">
        <v>0.61199999999999999</v>
      </c>
      <c r="J264" s="21">
        <v>0.56100000000000005</v>
      </c>
      <c r="K264" s="21">
        <v>1.7</v>
      </c>
      <c r="L264" s="21">
        <v>0.78500000000000003</v>
      </c>
      <c r="M264" s="21">
        <v>3.5</v>
      </c>
      <c r="N264" s="21">
        <v>4.5</v>
      </c>
      <c r="O264" s="21">
        <v>0.9</v>
      </c>
      <c r="P264" s="21">
        <v>0.4</v>
      </c>
      <c r="Q264" s="21">
        <v>1.5</v>
      </c>
      <c r="R264" s="21">
        <v>2.2999999999999998</v>
      </c>
      <c r="S264" s="21">
        <v>12.3</v>
      </c>
      <c r="T264" s="21">
        <v>3</v>
      </c>
      <c r="U264" s="21">
        <v>-1.6</v>
      </c>
      <c r="V264" s="21">
        <v>12.8</v>
      </c>
      <c r="W264" s="21">
        <v>8.6999999999999994E-2</v>
      </c>
      <c r="X264" s="4">
        <v>-0.5</v>
      </c>
    </row>
    <row r="265" spans="1:24" x14ac:dyDescent="0.35">
      <c r="A265" s="21">
        <v>21</v>
      </c>
      <c r="B265" s="21">
        <v>72</v>
      </c>
      <c r="C265" s="21">
        <v>31.3</v>
      </c>
      <c r="D265" s="21">
        <v>15.3</v>
      </c>
      <c r="E265" s="21">
        <v>0.45200000000000001</v>
      </c>
      <c r="F265" s="21">
        <v>6.6</v>
      </c>
      <c r="G265" s="21">
        <v>0.311</v>
      </c>
      <c r="H265" s="21">
        <v>8.8000000000000007</v>
      </c>
      <c r="I265" s="21">
        <v>0.55700000000000005</v>
      </c>
      <c r="J265" s="21">
        <v>0.51900000000000002</v>
      </c>
      <c r="K265" s="21">
        <v>3.4</v>
      </c>
      <c r="L265" s="21">
        <v>0.78500000000000003</v>
      </c>
      <c r="M265" s="21">
        <v>4.5</v>
      </c>
      <c r="N265" s="21">
        <v>2.8</v>
      </c>
      <c r="O265" s="21">
        <v>0.9</v>
      </c>
      <c r="P265" s="21">
        <v>0.2</v>
      </c>
      <c r="Q265" s="21">
        <v>2.1</v>
      </c>
      <c r="R265" s="21">
        <v>1.7</v>
      </c>
      <c r="S265" s="21">
        <v>18.5</v>
      </c>
      <c r="T265" s="21">
        <v>2</v>
      </c>
      <c r="U265" s="21">
        <v>-1.3</v>
      </c>
      <c r="V265" s="21">
        <v>14.5</v>
      </c>
      <c r="W265" s="21">
        <v>6.4000000000000001E-2</v>
      </c>
      <c r="X265" s="4">
        <v>0.7</v>
      </c>
    </row>
    <row r="266" spans="1:24" x14ac:dyDescent="0.35">
      <c r="A266" s="21">
        <v>23</v>
      </c>
      <c r="B266" s="21">
        <v>40</v>
      </c>
      <c r="C266" s="21">
        <v>13.1</v>
      </c>
      <c r="D266" s="21">
        <v>3</v>
      </c>
      <c r="E266" s="21">
        <v>0.46700000000000003</v>
      </c>
      <c r="F266" s="21">
        <v>1.3</v>
      </c>
      <c r="G266" s="21">
        <v>0.43099999999999999</v>
      </c>
      <c r="H266" s="21">
        <v>1.7</v>
      </c>
      <c r="I266" s="21">
        <v>0.49299999999999999</v>
      </c>
      <c r="J266" s="21">
        <v>0.55800000000000005</v>
      </c>
      <c r="K266" s="21">
        <v>0.9</v>
      </c>
      <c r="L266" s="21">
        <v>0.78400000000000003</v>
      </c>
      <c r="M266" s="21">
        <v>1.3</v>
      </c>
      <c r="N266" s="21">
        <v>0.7</v>
      </c>
      <c r="O266" s="21">
        <v>0.9</v>
      </c>
      <c r="P266" s="21">
        <v>0.1</v>
      </c>
      <c r="Q266" s="21">
        <v>0.2</v>
      </c>
      <c r="R266" s="21">
        <v>1.5</v>
      </c>
      <c r="S266" s="21">
        <v>4.0999999999999996</v>
      </c>
      <c r="T266" s="21">
        <v>1</v>
      </c>
      <c r="U266" s="21">
        <v>-0.2</v>
      </c>
      <c r="V266" s="21">
        <v>12</v>
      </c>
      <c r="W266" s="21">
        <v>0.14699999999999999</v>
      </c>
      <c r="X266" s="4">
        <v>1.2</v>
      </c>
    </row>
    <row r="267" spans="1:24" x14ac:dyDescent="0.35">
      <c r="A267" s="21">
        <v>32</v>
      </c>
      <c r="B267" s="21">
        <v>50</v>
      </c>
      <c r="C267" s="21">
        <v>17.2</v>
      </c>
      <c r="D267" s="21">
        <v>7.4</v>
      </c>
      <c r="E267" s="21">
        <v>0.49199999999999999</v>
      </c>
      <c r="F267" s="21">
        <v>3.9</v>
      </c>
      <c r="G267" s="21">
        <v>0.36299999999999999</v>
      </c>
      <c r="H267" s="21">
        <v>3.5</v>
      </c>
      <c r="I267" s="21">
        <v>0.63300000000000001</v>
      </c>
      <c r="J267" s="21">
        <v>0.58599999999999997</v>
      </c>
      <c r="K267" s="21">
        <v>1.7</v>
      </c>
      <c r="L267" s="21">
        <v>0.78200000000000003</v>
      </c>
      <c r="M267" s="21">
        <v>4.5</v>
      </c>
      <c r="N267" s="21">
        <v>0.7</v>
      </c>
      <c r="O267" s="21">
        <v>0.5</v>
      </c>
      <c r="P267" s="21">
        <v>0.5</v>
      </c>
      <c r="Q267" s="21">
        <v>0.6</v>
      </c>
      <c r="R267" s="21">
        <v>1.4</v>
      </c>
      <c r="S267" s="21">
        <v>10</v>
      </c>
      <c r="T267" s="21">
        <v>7</v>
      </c>
      <c r="U267" s="21">
        <v>2.2999999999999998</v>
      </c>
      <c r="V267" s="21">
        <v>18.7</v>
      </c>
      <c r="W267" s="21">
        <v>0.14799999999999999</v>
      </c>
      <c r="X267" s="4">
        <v>0.3</v>
      </c>
    </row>
    <row r="268" spans="1:24" x14ac:dyDescent="0.35">
      <c r="A268" s="21">
        <v>40</v>
      </c>
      <c r="B268" s="21">
        <v>70</v>
      </c>
      <c r="C268" s="21">
        <v>34.9</v>
      </c>
      <c r="D268" s="21">
        <v>18.100000000000001</v>
      </c>
      <c r="E268" s="21">
        <v>0.51300000000000001</v>
      </c>
      <c r="F268" s="21">
        <v>5.7</v>
      </c>
      <c r="G268" s="21">
        <v>0.376</v>
      </c>
      <c r="H268" s="21">
        <v>12.5</v>
      </c>
      <c r="I268" s="21">
        <v>0.57399999999999995</v>
      </c>
      <c r="J268" s="21">
        <v>0.57099999999999995</v>
      </c>
      <c r="K268" s="21">
        <v>4.7</v>
      </c>
      <c r="L268" s="21">
        <v>0.78200000000000003</v>
      </c>
      <c r="M268" s="21">
        <v>7.8</v>
      </c>
      <c r="N268" s="21">
        <v>8.1999999999999993</v>
      </c>
      <c r="O268" s="21">
        <v>1</v>
      </c>
      <c r="P268" s="21">
        <v>0.6</v>
      </c>
      <c r="Q268" s="21">
        <v>3.7</v>
      </c>
      <c r="R268" s="21">
        <v>1.4</v>
      </c>
      <c r="S268" s="21">
        <v>24.4</v>
      </c>
      <c r="T268" s="21">
        <v>21</v>
      </c>
      <c r="U268" s="21">
        <v>5.6</v>
      </c>
      <c r="V268" s="21">
        <v>22.7</v>
      </c>
      <c r="W268" s="21">
        <v>0.152</v>
      </c>
      <c r="X268" s="4">
        <v>1.9</v>
      </c>
    </row>
    <row r="269" spans="1:24" x14ac:dyDescent="0.35">
      <c r="A269" s="21">
        <v>25</v>
      </c>
      <c r="B269" s="21">
        <v>50</v>
      </c>
      <c r="C269" s="21">
        <v>35.4</v>
      </c>
      <c r="D269" s="21">
        <v>20.5</v>
      </c>
      <c r="E269" s="21">
        <v>0.45</v>
      </c>
      <c r="F269" s="21">
        <v>9.6</v>
      </c>
      <c r="G269" s="21">
        <v>0.36799999999999999</v>
      </c>
      <c r="H269" s="21">
        <v>10.9</v>
      </c>
      <c r="I269" s="21">
        <v>0.52200000000000002</v>
      </c>
      <c r="J269" s="21">
        <v>0.53600000000000003</v>
      </c>
      <c r="K269" s="21">
        <v>7.9</v>
      </c>
      <c r="L269" s="21">
        <v>0.78200000000000003</v>
      </c>
      <c r="M269" s="21">
        <v>8.1999999999999993</v>
      </c>
      <c r="N269" s="21">
        <v>7.7</v>
      </c>
      <c r="O269" s="21">
        <v>1.8</v>
      </c>
      <c r="P269" s="21">
        <v>0.4</v>
      </c>
      <c r="Q269" s="21">
        <v>3.6</v>
      </c>
      <c r="R269" s="21">
        <v>2.5</v>
      </c>
      <c r="S269" s="21">
        <v>28.2</v>
      </c>
      <c r="T269" s="21">
        <v>6</v>
      </c>
      <c r="U269" s="21">
        <v>6.7</v>
      </c>
      <c r="V269" s="21">
        <v>24.1</v>
      </c>
      <c r="W269" s="21">
        <v>0.16</v>
      </c>
      <c r="X269" s="4">
        <v>-0.2</v>
      </c>
    </row>
    <row r="270" spans="1:24" x14ac:dyDescent="0.35">
      <c r="A270" s="21">
        <v>26</v>
      </c>
      <c r="B270" s="21">
        <v>79</v>
      </c>
      <c r="C270" s="21">
        <v>19.600000000000001</v>
      </c>
      <c r="D270" s="21">
        <v>7.6</v>
      </c>
      <c r="E270" s="21">
        <v>0.52900000000000003</v>
      </c>
      <c r="F270" s="21">
        <v>3.8</v>
      </c>
      <c r="G270" s="21">
        <v>0.36499999999999999</v>
      </c>
      <c r="H270" s="21">
        <v>3.8</v>
      </c>
      <c r="I270" s="21">
        <v>0.69499999999999995</v>
      </c>
      <c r="J270" s="21">
        <v>0.621</v>
      </c>
      <c r="K270" s="21">
        <v>1.4</v>
      </c>
      <c r="L270" s="21">
        <v>0.78100000000000003</v>
      </c>
      <c r="M270" s="21">
        <v>4</v>
      </c>
      <c r="N270" s="21">
        <v>1.6</v>
      </c>
      <c r="O270" s="21">
        <v>0.6</v>
      </c>
      <c r="P270" s="21">
        <v>0.4</v>
      </c>
      <c r="Q270" s="21">
        <v>0.9</v>
      </c>
      <c r="R270" s="21">
        <v>1.4</v>
      </c>
      <c r="S270" s="21">
        <v>10.5</v>
      </c>
      <c r="T270" s="21">
        <v>4</v>
      </c>
      <c r="U270" s="21">
        <v>1.7</v>
      </c>
      <c r="V270" s="21">
        <v>17.399999999999999</v>
      </c>
      <c r="W270" s="21">
        <v>0.13500000000000001</v>
      </c>
      <c r="X270" s="4">
        <v>-0.3</v>
      </c>
    </row>
    <row r="271" spans="1:24" x14ac:dyDescent="0.35">
      <c r="A271" s="21">
        <v>25</v>
      </c>
      <c r="B271" s="21">
        <v>74</v>
      </c>
      <c r="C271" s="21">
        <v>29.8</v>
      </c>
      <c r="D271" s="21">
        <v>16.399999999999999</v>
      </c>
      <c r="E271" s="21">
        <v>0.48799999999999999</v>
      </c>
      <c r="F271" s="21">
        <v>5.3</v>
      </c>
      <c r="G271" s="21">
        <v>0.375</v>
      </c>
      <c r="H271" s="21">
        <v>11.1</v>
      </c>
      <c r="I271" s="21">
        <v>0.54100000000000004</v>
      </c>
      <c r="J271" s="21">
        <v>0.54800000000000004</v>
      </c>
      <c r="K271" s="21">
        <v>5.4</v>
      </c>
      <c r="L271" s="21">
        <v>0.78100000000000003</v>
      </c>
      <c r="M271" s="21">
        <v>5.6</v>
      </c>
      <c r="N271" s="21">
        <v>2</v>
      </c>
      <c r="O271" s="21">
        <v>1.2</v>
      </c>
      <c r="P271" s="21">
        <v>1.5</v>
      </c>
      <c r="Q271" s="21">
        <v>2.1</v>
      </c>
      <c r="R271" s="21">
        <v>3.5</v>
      </c>
      <c r="S271" s="21">
        <v>22.2</v>
      </c>
      <c r="T271" s="21">
        <v>6</v>
      </c>
      <c r="U271" s="21">
        <v>2.2999999999999998</v>
      </c>
      <c r="V271" s="21">
        <v>19.600000000000001</v>
      </c>
      <c r="W271" s="21">
        <v>0.13900000000000001</v>
      </c>
      <c r="X271" s="4">
        <v>-0.2</v>
      </c>
    </row>
    <row r="272" spans="1:24" x14ac:dyDescent="0.35">
      <c r="A272" s="21">
        <v>22</v>
      </c>
      <c r="B272" s="21">
        <v>70</v>
      </c>
      <c r="C272" s="21">
        <v>30.2</v>
      </c>
      <c r="D272" s="21">
        <v>11.4</v>
      </c>
      <c r="E272" s="21">
        <v>0.46500000000000002</v>
      </c>
      <c r="F272" s="21">
        <v>4</v>
      </c>
      <c r="G272" s="21">
        <v>0.378</v>
      </c>
      <c r="H272" s="21">
        <v>7.4</v>
      </c>
      <c r="I272" s="21">
        <v>0.51200000000000001</v>
      </c>
      <c r="J272" s="21">
        <v>0.53100000000000003</v>
      </c>
      <c r="K272" s="21">
        <v>3.2</v>
      </c>
      <c r="L272" s="21">
        <v>0.78100000000000003</v>
      </c>
      <c r="M272" s="21">
        <v>8.1</v>
      </c>
      <c r="N272" s="21">
        <v>7.2</v>
      </c>
      <c r="O272" s="21">
        <v>1.2</v>
      </c>
      <c r="P272" s="21">
        <v>0.6</v>
      </c>
      <c r="Q272" s="21">
        <v>2.9</v>
      </c>
      <c r="R272" s="21">
        <v>1.7</v>
      </c>
      <c r="S272" s="21">
        <v>14.6</v>
      </c>
      <c r="T272" s="21">
        <v>3</v>
      </c>
      <c r="U272" s="21">
        <v>3</v>
      </c>
      <c r="V272" s="21">
        <v>18.100000000000001</v>
      </c>
      <c r="W272" s="21">
        <v>0.121</v>
      </c>
      <c r="X272" s="4">
        <v>-0.1</v>
      </c>
    </row>
    <row r="273" spans="1:24" x14ac:dyDescent="0.35">
      <c r="A273" s="21">
        <v>26</v>
      </c>
      <c r="B273" s="21">
        <v>82</v>
      </c>
      <c r="C273" s="21">
        <v>25.3</v>
      </c>
      <c r="D273" s="21">
        <v>7.5</v>
      </c>
      <c r="E273" s="21">
        <v>0.438</v>
      </c>
      <c r="F273" s="21">
        <v>4.5</v>
      </c>
      <c r="G273" s="21">
        <v>0.38100000000000001</v>
      </c>
      <c r="H273" s="21">
        <v>3</v>
      </c>
      <c r="I273" s="21">
        <v>0.52400000000000002</v>
      </c>
      <c r="J273" s="21">
        <v>0.55300000000000005</v>
      </c>
      <c r="K273" s="21">
        <v>1.4</v>
      </c>
      <c r="L273" s="21">
        <v>0.78</v>
      </c>
      <c r="M273" s="21">
        <v>3.2</v>
      </c>
      <c r="N273" s="21">
        <v>2.7</v>
      </c>
      <c r="O273" s="21">
        <v>0.6</v>
      </c>
      <c r="P273" s="21">
        <v>0.4</v>
      </c>
      <c r="Q273" s="21">
        <v>1.2</v>
      </c>
      <c r="R273" s="21">
        <v>1.7</v>
      </c>
      <c r="S273" s="21">
        <v>9.4</v>
      </c>
      <c r="T273" s="21">
        <v>5</v>
      </c>
      <c r="U273" s="21">
        <v>-0.4</v>
      </c>
      <c r="V273" s="21">
        <v>11.6</v>
      </c>
      <c r="W273" s="21">
        <v>9.9000000000000005E-2</v>
      </c>
      <c r="X273" s="4">
        <v>-0.4</v>
      </c>
    </row>
    <row r="274" spans="1:24" x14ac:dyDescent="0.35">
      <c r="A274" s="21">
        <v>24</v>
      </c>
      <c r="B274" s="21">
        <v>72</v>
      </c>
      <c r="C274" s="21">
        <v>30</v>
      </c>
      <c r="D274" s="21">
        <v>11.7</v>
      </c>
      <c r="E274" s="21">
        <v>0.47599999999999998</v>
      </c>
      <c r="F274" s="21">
        <v>4.8</v>
      </c>
      <c r="G274" s="21">
        <v>0.36499999999999999</v>
      </c>
      <c r="H274" s="21">
        <v>7</v>
      </c>
      <c r="I274" s="21">
        <v>0.55200000000000005</v>
      </c>
      <c r="J274" s="21">
        <v>0.55000000000000004</v>
      </c>
      <c r="K274" s="21">
        <v>5.2</v>
      </c>
      <c r="L274" s="21">
        <v>0.78</v>
      </c>
      <c r="M274" s="21">
        <v>7.3</v>
      </c>
      <c r="N274" s="21">
        <v>3.9</v>
      </c>
      <c r="O274" s="21">
        <v>1</v>
      </c>
      <c r="P274" s="21">
        <v>0.5</v>
      </c>
      <c r="Q274" s="21">
        <v>2.7</v>
      </c>
      <c r="R274" s="21">
        <v>2.4</v>
      </c>
      <c r="S274" s="21">
        <v>16.899999999999999</v>
      </c>
      <c r="T274" s="21">
        <v>4</v>
      </c>
      <c r="U274" s="21">
        <v>2.1</v>
      </c>
      <c r="V274" s="21">
        <v>17.7</v>
      </c>
      <c r="W274" s="21">
        <v>0.124</v>
      </c>
      <c r="X274" s="4">
        <v>0.4</v>
      </c>
    </row>
    <row r="275" spans="1:24" x14ac:dyDescent="0.35">
      <c r="A275" s="21">
        <v>24</v>
      </c>
      <c r="B275" s="21">
        <v>42</v>
      </c>
      <c r="C275" s="21">
        <v>16.3</v>
      </c>
      <c r="D275" s="21">
        <v>6.5</v>
      </c>
      <c r="E275" s="21">
        <v>0.44900000000000001</v>
      </c>
      <c r="F275" s="21">
        <v>4.3</v>
      </c>
      <c r="G275" s="21">
        <v>0.40799999999999997</v>
      </c>
      <c r="H275" s="21">
        <v>2.2999999999999998</v>
      </c>
      <c r="I275" s="21">
        <v>0.52600000000000002</v>
      </c>
      <c r="J275" s="21">
        <v>0.58199999999999996</v>
      </c>
      <c r="K275" s="21">
        <v>0.6</v>
      </c>
      <c r="L275" s="21">
        <v>0.77800000000000002</v>
      </c>
      <c r="M275" s="21">
        <v>3.5</v>
      </c>
      <c r="N275" s="21">
        <v>1.3</v>
      </c>
      <c r="O275" s="21">
        <v>0.4</v>
      </c>
      <c r="P275" s="21">
        <v>0.4</v>
      </c>
      <c r="Q275" s="21">
        <v>0.8</v>
      </c>
      <c r="R275" s="21">
        <v>2</v>
      </c>
      <c r="S275" s="21">
        <v>8.1</v>
      </c>
      <c r="T275" s="21">
        <v>0</v>
      </c>
      <c r="U275" s="21">
        <v>0.1</v>
      </c>
      <c r="V275" s="21">
        <v>14.2</v>
      </c>
      <c r="W275" s="21">
        <v>0.11600000000000001</v>
      </c>
      <c r="X275" s="4">
        <v>0.2</v>
      </c>
    </row>
    <row r="276" spans="1:24" x14ac:dyDescent="0.35">
      <c r="A276" s="21">
        <v>25</v>
      </c>
      <c r="B276" s="21">
        <v>25</v>
      </c>
      <c r="C276" s="21">
        <v>7.4</v>
      </c>
      <c r="D276" s="21">
        <v>1.6</v>
      </c>
      <c r="E276" s="21">
        <v>0.41499999999999998</v>
      </c>
      <c r="F276" s="21">
        <v>1.3</v>
      </c>
      <c r="G276" s="21">
        <v>0.39400000000000002</v>
      </c>
      <c r="H276" s="21">
        <v>0.3</v>
      </c>
      <c r="I276" s="21">
        <v>0.5</v>
      </c>
      <c r="J276" s="21">
        <v>0.57299999999999995</v>
      </c>
      <c r="K276" s="21">
        <v>0.4</v>
      </c>
      <c r="L276" s="21">
        <v>0.77800000000000002</v>
      </c>
      <c r="M276" s="21">
        <v>1.6</v>
      </c>
      <c r="N276" s="21">
        <v>0.5</v>
      </c>
      <c r="O276" s="21">
        <v>0.2</v>
      </c>
      <c r="P276" s="21">
        <v>0.1</v>
      </c>
      <c r="Q276" s="21">
        <v>0.3</v>
      </c>
      <c r="R276" s="21">
        <v>0.7</v>
      </c>
      <c r="S276" s="21">
        <v>2.2000000000000002</v>
      </c>
      <c r="T276" s="21">
        <v>1</v>
      </c>
      <c r="U276" s="21">
        <v>-0.8</v>
      </c>
      <c r="V276" s="21">
        <v>10.5</v>
      </c>
      <c r="W276" s="21">
        <v>0.115</v>
      </c>
      <c r="X276" s="4">
        <v>-1.1000000000000001</v>
      </c>
    </row>
    <row r="277" spans="1:24" x14ac:dyDescent="0.35">
      <c r="A277" s="21">
        <v>28</v>
      </c>
      <c r="B277" s="21">
        <v>62</v>
      </c>
      <c r="C277" s="21">
        <v>25.9</v>
      </c>
      <c r="D277" s="21">
        <v>9.6</v>
      </c>
      <c r="E277" s="21">
        <v>0.42199999999999999</v>
      </c>
      <c r="F277" s="21">
        <v>7.1</v>
      </c>
      <c r="G277" s="21">
        <v>0.39700000000000002</v>
      </c>
      <c r="H277" s="21">
        <v>2.5</v>
      </c>
      <c r="I277" s="21">
        <v>0.49</v>
      </c>
      <c r="J277" s="21">
        <v>0.56799999999999995</v>
      </c>
      <c r="K277" s="21">
        <v>1</v>
      </c>
      <c r="L277" s="21">
        <v>0.77800000000000002</v>
      </c>
      <c r="M277" s="21">
        <v>3.7</v>
      </c>
      <c r="N277" s="21">
        <v>3.6</v>
      </c>
      <c r="O277" s="21">
        <v>1.2</v>
      </c>
      <c r="P277" s="21">
        <v>0.3</v>
      </c>
      <c r="Q277" s="21">
        <v>1.6</v>
      </c>
      <c r="R277" s="21">
        <v>1.8</v>
      </c>
      <c r="S277" s="21">
        <v>11.7</v>
      </c>
      <c r="T277" s="21">
        <v>6</v>
      </c>
      <c r="U277" s="21">
        <v>1.9</v>
      </c>
      <c r="V277" s="21">
        <v>14.1</v>
      </c>
      <c r="W277" s="21">
        <v>0.115</v>
      </c>
      <c r="X277" s="4">
        <v>1.6</v>
      </c>
    </row>
    <row r="278" spans="1:24" x14ac:dyDescent="0.35">
      <c r="A278" s="21">
        <v>25</v>
      </c>
      <c r="B278" s="21">
        <v>32</v>
      </c>
      <c r="C278" s="21">
        <v>7.7</v>
      </c>
      <c r="D278" s="21">
        <v>3</v>
      </c>
      <c r="E278" s="21">
        <v>0.443</v>
      </c>
      <c r="F278" s="21">
        <v>2.1</v>
      </c>
      <c r="G278" s="21">
        <v>0.33300000000000002</v>
      </c>
      <c r="H278" s="21">
        <v>1</v>
      </c>
      <c r="I278" s="21">
        <v>0.67700000000000005</v>
      </c>
      <c r="J278" s="21">
        <v>0.55700000000000005</v>
      </c>
      <c r="K278" s="21">
        <v>0.6</v>
      </c>
      <c r="L278" s="21">
        <v>0.77800000000000002</v>
      </c>
      <c r="M278" s="21">
        <v>1.7</v>
      </c>
      <c r="N278" s="21">
        <v>0.4</v>
      </c>
      <c r="O278" s="21">
        <v>0.2</v>
      </c>
      <c r="P278" s="21">
        <v>0.7</v>
      </c>
      <c r="Q278" s="21">
        <v>0.2</v>
      </c>
      <c r="R278" s="21">
        <v>0.7</v>
      </c>
      <c r="S278" s="21">
        <v>3.8</v>
      </c>
      <c r="T278" s="21">
        <v>0</v>
      </c>
      <c r="U278" s="21">
        <v>1.3</v>
      </c>
      <c r="V278" s="21">
        <v>17.600000000000001</v>
      </c>
      <c r="W278" s="21">
        <v>0.17699999999999999</v>
      </c>
      <c r="X278" s="4">
        <v>0.1</v>
      </c>
    </row>
    <row r="279" spans="1:24" x14ac:dyDescent="0.35">
      <c r="A279" s="21">
        <v>33</v>
      </c>
      <c r="B279" s="21">
        <v>50</v>
      </c>
      <c r="C279" s="21">
        <v>12.2</v>
      </c>
      <c r="D279" s="21">
        <v>3.1</v>
      </c>
      <c r="E279" s="21">
        <v>0.40300000000000002</v>
      </c>
      <c r="F279" s="21">
        <v>2.1</v>
      </c>
      <c r="G279" s="21">
        <v>0.36399999999999999</v>
      </c>
      <c r="H279" s="21">
        <v>0.9</v>
      </c>
      <c r="I279" s="21">
        <v>0.48899999999999999</v>
      </c>
      <c r="J279" s="21">
        <v>0.52900000000000003</v>
      </c>
      <c r="K279" s="21">
        <v>0.4</v>
      </c>
      <c r="L279" s="21">
        <v>0.77800000000000002</v>
      </c>
      <c r="M279" s="21">
        <v>1.5</v>
      </c>
      <c r="N279" s="21">
        <v>1.4</v>
      </c>
      <c r="O279" s="21">
        <v>0.5</v>
      </c>
      <c r="P279" s="21">
        <v>0.1</v>
      </c>
      <c r="Q279" s="21">
        <v>0.4</v>
      </c>
      <c r="R279" s="21">
        <v>1</v>
      </c>
      <c r="S279" s="21">
        <v>3.5</v>
      </c>
      <c r="T279" s="21">
        <v>13</v>
      </c>
      <c r="U279" s="21">
        <v>-0.8</v>
      </c>
      <c r="V279" s="21">
        <v>10.9</v>
      </c>
      <c r="W279" s="21">
        <v>0.114</v>
      </c>
      <c r="X279" s="4">
        <v>0.1</v>
      </c>
    </row>
    <row r="280" spans="1:24" x14ac:dyDescent="0.35">
      <c r="A280" s="21">
        <v>34</v>
      </c>
      <c r="B280" s="21">
        <v>31</v>
      </c>
      <c r="C280" s="21">
        <v>12.4</v>
      </c>
      <c r="D280" s="21">
        <v>4.3</v>
      </c>
      <c r="E280" s="21">
        <v>0.39100000000000001</v>
      </c>
      <c r="F280" s="21">
        <v>2.4</v>
      </c>
      <c r="G280" s="21">
        <v>0.33800000000000002</v>
      </c>
      <c r="H280" s="21">
        <v>1.9</v>
      </c>
      <c r="I280" s="21">
        <v>0.45800000000000002</v>
      </c>
      <c r="J280" s="21">
        <v>0.48499999999999999</v>
      </c>
      <c r="K280" s="21">
        <v>0.3</v>
      </c>
      <c r="L280" s="21">
        <v>0.77800000000000002</v>
      </c>
      <c r="M280" s="21">
        <v>1.4</v>
      </c>
      <c r="N280" s="21">
        <v>1.5</v>
      </c>
      <c r="O280" s="21">
        <v>0.5</v>
      </c>
      <c r="P280" s="21">
        <v>0.1</v>
      </c>
      <c r="Q280" s="21">
        <v>0.5</v>
      </c>
      <c r="R280" s="21">
        <v>1.1000000000000001</v>
      </c>
      <c r="S280" s="21">
        <v>4.4000000000000004</v>
      </c>
      <c r="T280" s="21">
        <v>13</v>
      </c>
      <c r="U280" s="21">
        <v>-4</v>
      </c>
      <c r="V280" s="21">
        <v>9.8000000000000007</v>
      </c>
      <c r="W280" s="21">
        <v>1.4999999999999999E-2</v>
      </c>
      <c r="X280" s="4">
        <v>3.2</v>
      </c>
    </row>
    <row r="281" spans="1:24" x14ac:dyDescent="0.35">
      <c r="A281" s="21">
        <v>23</v>
      </c>
      <c r="B281" s="21">
        <v>22</v>
      </c>
      <c r="C281" s="21">
        <v>4.2</v>
      </c>
      <c r="D281" s="21">
        <v>1.4</v>
      </c>
      <c r="E281" s="21">
        <v>0.36699999999999999</v>
      </c>
      <c r="F281" s="21">
        <v>1</v>
      </c>
      <c r="G281" s="21">
        <v>0.30399999999999999</v>
      </c>
      <c r="H281" s="21">
        <v>0.3</v>
      </c>
      <c r="I281" s="21">
        <v>0.57099999999999995</v>
      </c>
      <c r="J281" s="21">
        <v>0.48299999999999998</v>
      </c>
      <c r="K281" s="21">
        <v>0.4</v>
      </c>
      <c r="L281" s="21">
        <v>0.77800000000000002</v>
      </c>
      <c r="M281" s="21">
        <v>0.5</v>
      </c>
      <c r="N281" s="21">
        <v>0.9</v>
      </c>
      <c r="O281" s="21">
        <v>0.1</v>
      </c>
      <c r="P281" s="21">
        <v>0</v>
      </c>
      <c r="Q281" s="21">
        <v>0.2</v>
      </c>
      <c r="R281" s="21">
        <v>0.4</v>
      </c>
      <c r="S281" s="21">
        <v>1.6</v>
      </c>
      <c r="T281" s="21">
        <v>0</v>
      </c>
      <c r="U281" s="21">
        <v>-2.8</v>
      </c>
      <c r="V281" s="21">
        <v>11</v>
      </c>
      <c r="W281" s="21">
        <v>9.5000000000000001E-2</v>
      </c>
      <c r="X281" s="4">
        <v>0.4</v>
      </c>
    </row>
    <row r="282" spans="1:24" x14ac:dyDescent="0.35">
      <c r="A282" s="21">
        <v>33</v>
      </c>
      <c r="B282" s="21">
        <v>49</v>
      </c>
      <c r="C282" s="21">
        <v>17.600000000000001</v>
      </c>
      <c r="D282" s="21">
        <v>5.5</v>
      </c>
      <c r="E282" s="21">
        <v>0.42399999999999999</v>
      </c>
      <c r="F282" s="21">
        <v>4.2</v>
      </c>
      <c r="G282" s="21">
        <v>0.42499999999999999</v>
      </c>
      <c r="H282" s="21">
        <v>1.3</v>
      </c>
      <c r="I282" s="21">
        <v>0.42199999999999999</v>
      </c>
      <c r="J282" s="21">
        <v>0.58699999999999997</v>
      </c>
      <c r="K282" s="21">
        <v>1</v>
      </c>
      <c r="L282" s="21">
        <v>0.77600000000000002</v>
      </c>
      <c r="M282" s="21">
        <v>2.5</v>
      </c>
      <c r="N282" s="21">
        <v>1.1000000000000001</v>
      </c>
      <c r="O282" s="21">
        <v>0.6</v>
      </c>
      <c r="P282" s="21">
        <v>0.1</v>
      </c>
      <c r="Q282" s="21">
        <v>0.6</v>
      </c>
      <c r="R282" s="21">
        <v>0.8</v>
      </c>
      <c r="S282" s="21">
        <v>7.3</v>
      </c>
      <c r="T282" s="21">
        <v>13</v>
      </c>
      <c r="U282" s="21">
        <v>0.3</v>
      </c>
      <c r="V282" s="21">
        <v>12.8</v>
      </c>
      <c r="W282" s="21">
        <v>0.1</v>
      </c>
      <c r="X282" s="4">
        <v>-0.4</v>
      </c>
    </row>
    <row r="283" spans="1:24" x14ac:dyDescent="0.35">
      <c r="A283" s="21">
        <v>29</v>
      </c>
      <c r="B283" s="21">
        <v>77</v>
      </c>
      <c r="C283" s="21">
        <v>37.6</v>
      </c>
      <c r="D283" s="21">
        <v>10</v>
      </c>
      <c r="E283" s="21">
        <v>0.52500000000000002</v>
      </c>
      <c r="F283" s="21">
        <v>3.3</v>
      </c>
      <c r="G283" s="21">
        <v>0.33300000000000002</v>
      </c>
      <c r="H283" s="21">
        <v>6.7</v>
      </c>
      <c r="I283" s="21">
        <v>0.61799999999999999</v>
      </c>
      <c r="J283" s="21">
        <v>0.57899999999999996</v>
      </c>
      <c r="K283" s="21">
        <v>2.7</v>
      </c>
      <c r="L283" s="21">
        <v>0.77600000000000002</v>
      </c>
      <c r="M283" s="21">
        <v>9.6</v>
      </c>
      <c r="N283" s="21">
        <v>5.9</v>
      </c>
      <c r="O283" s="21">
        <v>1.5</v>
      </c>
      <c r="P283" s="21">
        <v>0.4</v>
      </c>
      <c r="Q283" s="21">
        <v>2.1</v>
      </c>
      <c r="R283" s="21">
        <v>2.6</v>
      </c>
      <c r="S283" s="21">
        <v>13.6</v>
      </c>
      <c r="T283" s="21">
        <v>7</v>
      </c>
      <c r="U283" s="21">
        <v>2.8</v>
      </c>
      <c r="V283" s="21">
        <v>16.5</v>
      </c>
      <c r="W283" s="21">
        <v>0.153</v>
      </c>
      <c r="X283" s="4">
        <v>-0.3</v>
      </c>
    </row>
    <row r="284" spans="1:24" x14ac:dyDescent="0.35">
      <c r="A284" s="21">
        <v>21</v>
      </c>
      <c r="B284" s="21">
        <v>35</v>
      </c>
      <c r="C284" s="21">
        <v>14.7</v>
      </c>
      <c r="D284" s="21">
        <v>6.9</v>
      </c>
      <c r="E284" s="21">
        <v>0.496</v>
      </c>
      <c r="F284" s="21">
        <v>2.9</v>
      </c>
      <c r="G284" s="21">
        <v>0.373</v>
      </c>
      <c r="H284" s="21">
        <v>4</v>
      </c>
      <c r="I284" s="21">
        <v>0.58599999999999997</v>
      </c>
      <c r="J284" s="21">
        <v>0.57399999999999995</v>
      </c>
      <c r="K284" s="21">
        <v>1.9</v>
      </c>
      <c r="L284" s="21">
        <v>0.77600000000000002</v>
      </c>
      <c r="M284" s="21">
        <v>3.7</v>
      </c>
      <c r="N284" s="21">
        <v>1.1000000000000001</v>
      </c>
      <c r="O284" s="21">
        <v>0.3</v>
      </c>
      <c r="P284" s="21">
        <v>0.7</v>
      </c>
      <c r="Q284" s="21">
        <v>1.2</v>
      </c>
      <c r="R284" s="21">
        <v>1.6</v>
      </c>
      <c r="S284" s="21">
        <v>9.4</v>
      </c>
      <c r="T284" s="21">
        <v>1</v>
      </c>
      <c r="U284" s="21">
        <v>-0.5</v>
      </c>
      <c r="V284" s="21">
        <v>17.8</v>
      </c>
      <c r="W284" s="21">
        <v>6.9000000000000006E-2</v>
      </c>
      <c r="X284" s="4">
        <v>0.9</v>
      </c>
    </row>
    <row r="285" spans="1:24" x14ac:dyDescent="0.35">
      <c r="A285" s="21">
        <v>25</v>
      </c>
      <c r="B285" s="21">
        <v>80</v>
      </c>
      <c r="C285" s="21">
        <v>27.5</v>
      </c>
      <c r="D285" s="21">
        <v>11.5</v>
      </c>
      <c r="E285" s="21">
        <v>0.46200000000000002</v>
      </c>
      <c r="F285" s="21">
        <v>5.8</v>
      </c>
      <c r="G285" s="21">
        <v>0.379</v>
      </c>
      <c r="H285" s="21">
        <v>5.8</v>
      </c>
      <c r="I285" s="21">
        <v>0.54400000000000004</v>
      </c>
      <c r="J285" s="21">
        <v>0.55600000000000005</v>
      </c>
      <c r="K285" s="21">
        <v>1.8</v>
      </c>
      <c r="L285" s="21">
        <v>0.77600000000000002</v>
      </c>
      <c r="M285" s="21">
        <v>6</v>
      </c>
      <c r="N285" s="21">
        <v>2.2999999999999998</v>
      </c>
      <c r="O285" s="21">
        <v>0.7</v>
      </c>
      <c r="P285" s="21">
        <v>0.9</v>
      </c>
      <c r="Q285" s="21">
        <v>1.4</v>
      </c>
      <c r="R285" s="21">
        <v>2.4</v>
      </c>
      <c r="S285" s="21">
        <v>14.2</v>
      </c>
      <c r="T285" s="21">
        <v>5</v>
      </c>
      <c r="U285" s="21">
        <v>1.6</v>
      </c>
      <c r="V285" s="21">
        <v>15.8</v>
      </c>
      <c r="W285" s="21">
        <v>0.125</v>
      </c>
      <c r="X285" s="4">
        <v>0.3</v>
      </c>
    </row>
    <row r="286" spans="1:24" x14ac:dyDescent="0.35">
      <c r="A286" s="21">
        <v>26</v>
      </c>
      <c r="B286" s="21">
        <v>28</v>
      </c>
      <c r="C286" s="21">
        <v>13.6</v>
      </c>
      <c r="D286" s="21">
        <v>4.4000000000000004</v>
      </c>
      <c r="E286" s="21">
        <v>0.47499999999999998</v>
      </c>
      <c r="F286" s="21">
        <v>1.4</v>
      </c>
      <c r="G286" s="21">
        <v>0.375</v>
      </c>
      <c r="H286" s="21">
        <v>2.9</v>
      </c>
      <c r="I286" s="21">
        <v>0.52400000000000002</v>
      </c>
      <c r="J286" s="21">
        <v>0.53700000000000003</v>
      </c>
      <c r="K286" s="21">
        <v>1.4</v>
      </c>
      <c r="L286" s="21">
        <v>0.77500000000000002</v>
      </c>
      <c r="M286" s="21">
        <v>1.6</v>
      </c>
      <c r="N286" s="21">
        <v>1.9</v>
      </c>
      <c r="O286" s="21">
        <v>0.8</v>
      </c>
      <c r="P286" s="21">
        <v>0.2</v>
      </c>
      <c r="Q286" s="21">
        <v>0.6</v>
      </c>
      <c r="R286" s="21">
        <v>1.5</v>
      </c>
      <c r="S286" s="21">
        <v>5.8</v>
      </c>
      <c r="T286" s="21">
        <v>2</v>
      </c>
      <c r="U286" s="21">
        <v>-0.3</v>
      </c>
      <c r="V286" s="21">
        <v>14.7</v>
      </c>
      <c r="W286" s="21">
        <v>0.126</v>
      </c>
      <c r="X286" s="4">
        <v>0</v>
      </c>
    </row>
    <row r="287" spans="1:24" x14ac:dyDescent="0.35">
      <c r="A287" s="21">
        <v>31</v>
      </c>
      <c r="B287" s="21">
        <v>51</v>
      </c>
      <c r="C287" s="21">
        <v>33.5</v>
      </c>
      <c r="D287" s="21">
        <v>17.8</v>
      </c>
      <c r="E287" s="21">
        <v>0.51600000000000001</v>
      </c>
      <c r="F287" s="21">
        <v>2.4</v>
      </c>
      <c r="G287" s="21">
        <v>0.28199999999999997</v>
      </c>
      <c r="H287" s="21">
        <v>15.4</v>
      </c>
      <c r="I287" s="21">
        <v>0.55300000000000005</v>
      </c>
      <c r="J287" s="21">
        <v>0.53600000000000003</v>
      </c>
      <c r="K287" s="21">
        <v>7.2</v>
      </c>
      <c r="L287" s="21">
        <v>0.77500000000000002</v>
      </c>
      <c r="M287" s="21">
        <v>11.6</v>
      </c>
      <c r="N287" s="21">
        <v>3.5</v>
      </c>
      <c r="O287" s="21">
        <v>1.2</v>
      </c>
      <c r="P287" s="21">
        <v>2.2000000000000002</v>
      </c>
      <c r="Q287" s="21">
        <v>2.2000000000000002</v>
      </c>
      <c r="R287" s="21">
        <v>1.9</v>
      </c>
      <c r="S287" s="21">
        <v>24.7</v>
      </c>
      <c r="T287" s="21">
        <v>12</v>
      </c>
      <c r="U287" s="21">
        <v>5.4</v>
      </c>
      <c r="V287" s="21">
        <v>26.3</v>
      </c>
      <c r="W287" s="21">
        <v>0.188</v>
      </c>
      <c r="X287" s="4">
        <v>0.1</v>
      </c>
    </row>
    <row r="288" spans="1:24" x14ac:dyDescent="0.35">
      <c r="A288" s="21">
        <v>32</v>
      </c>
      <c r="B288" s="21">
        <v>41</v>
      </c>
      <c r="C288" s="21">
        <v>14.7</v>
      </c>
      <c r="D288" s="21">
        <v>4.3</v>
      </c>
      <c r="E288" s="21">
        <v>0.46899999999999997</v>
      </c>
      <c r="F288" s="21">
        <v>2</v>
      </c>
      <c r="G288" s="21">
        <v>0.32100000000000001</v>
      </c>
      <c r="H288" s="21">
        <v>2.2999999999999998</v>
      </c>
      <c r="I288" s="21">
        <v>0.59399999999999997</v>
      </c>
      <c r="J288" s="21">
        <v>0.54200000000000004</v>
      </c>
      <c r="K288" s="21">
        <v>0.8</v>
      </c>
      <c r="L288" s="21">
        <v>0.77400000000000002</v>
      </c>
      <c r="M288" s="21">
        <v>2.7</v>
      </c>
      <c r="N288" s="21">
        <v>1.7</v>
      </c>
      <c r="O288" s="21">
        <v>0.2</v>
      </c>
      <c r="P288" s="21">
        <v>0.3</v>
      </c>
      <c r="Q288" s="21">
        <v>0.6</v>
      </c>
      <c r="R288" s="21">
        <v>1.1000000000000001</v>
      </c>
      <c r="S288" s="21">
        <v>5.3</v>
      </c>
      <c r="T288" s="21">
        <v>9</v>
      </c>
      <c r="U288" s="21">
        <v>-2.2999999999999998</v>
      </c>
      <c r="V288" s="21">
        <v>12.1</v>
      </c>
      <c r="W288" s="21">
        <v>9.2999999999999999E-2</v>
      </c>
      <c r="X288" s="4">
        <v>-0.1</v>
      </c>
    </row>
    <row r="289" spans="1:24" x14ac:dyDescent="0.35">
      <c r="A289" s="21">
        <v>23</v>
      </c>
      <c r="B289" s="21">
        <v>42</v>
      </c>
      <c r="C289" s="21">
        <v>18.8</v>
      </c>
      <c r="D289" s="21">
        <v>5.6</v>
      </c>
      <c r="E289" s="21">
        <v>0.57399999999999995</v>
      </c>
      <c r="F289" s="21">
        <v>1.6</v>
      </c>
      <c r="G289" s="21">
        <v>0.318</v>
      </c>
      <c r="H289" s="21">
        <v>4</v>
      </c>
      <c r="I289" s="21">
        <v>0.67500000000000004</v>
      </c>
      <c r="J289" s="21">
        <v>0.61899999999999999</v>
      </c>
      <c r="K289" s="21">
        <v>1</v>
      </c>
      <c r="L289" s="21">
        <v>0.77300000000000002</v>
      </c>
      <c r="M289" s="21">
        <v>5</v>
      </c>
      <c r="N289" s="21">
        <v>1.1000000000000001</v>
      </c>
      <c r="O289" s="21">
        <v>0.5</v>
      </c>
      <c r="P289" s="21">
        <v>1</v>
      </c>
      <c r="Q289" s="21">
        <v>1</v>
      </c>
      <c r="R289" s="21">
        <v>2.5</v>
      </c>
      <c r="S289" s="21">
        <v>7.7</v>
      </c>
      <c r="T289" s="21">
        <v>0</v>
      </c>
      <c r="U289" s="21">
        <v>-2</v>
      </c>
      <c r="V289" s="21">
        <v>15.6</v>
      </c>
      <c r="W289" s="21">
        <v>9.6000000000000002E-2</v>
      </c>
      <c r="X289" s="4">
        <v>0.4</v>
      </c>
    </row>
    <row r="290" spans="1:24" x14ac:dyDescent="0.35">
      <c r="A290" s="21">
        <v>28</v>
      </c>
      <c r="B290" s="21">
        <v>72</v>
      </c>
      <c r="C290" s="21">
        <v>30.2</v>
      </c>
      <c r="D290" s="21">
        <v>11.3</v>
      </c>
      <c r="E290" s="21">
        <v>0.48099999999999998</v>
      </c>
      <c r="F290" s="21">
        <v>5.5</v>
      </c>
      <c r="G290" s="21">
        <v>0.39600000000000002</v>
      </c>
      <c r="H290" s="21">
        <v>5.8</v>
      </c>
      <c r="I290" s="21">
        <v>0.56100000000000005</v>
      </c>
      <c r="J290" s="21">
        <v>0.57699999999999996</v>
      </c>
      <c r="K290" s="21">
        <v>3.3</v>
      </c>
      <c r="L290" s="21">
        <v>0.77300000000000002</v>
      </c>
      <c r="M290" s="21">
        <v>6.5</v>
      </c>
      <c r="N290" s="21">
        <v>1.5</v>
      </c>
      <c r="O290" s="21">
        <v>0.8</v>
      </c>
      <c r="P290" s="21">
        <v>2</v>
      </c>
      <c r="Q290" s="21">
        <v>1.7</v>
      </c>
      <c r="R290" s="21">
        <v>2.5</v>
      </c>
      <c r="S290" s="21">
        <v>15.6</v>
      </c>
      <c r="T290" s="21">
        <v>9</v>
      </c>
      <c r="U290" s="21">
        <v>0.4</v>
      </c>
      <c r="V290" s="21">
        <v>16.100000000000001</v>
      </c>
      <c r="W290" s="21">
        <v>0.104</v>
      </c>
      <c r="X290" s="4">
        <v>0.2</v>
      </c>
    </row>
    <row r="291" spans="1:24" x14ac:dyDescent="0.35">
      <c r="A291" s="21">
        <v>28</v>
      </c>
      <c r="B291" s="21">
        <v>46</v>
      </c>
      <c r="C291" s="21">
        <v>6.8</v>
      </c>
      <c r="D291" s="21">
        <v>1.6</v>
      </c>
      <c r="E291" s="21">
        <v>0.43099999999999999</v>
      </c>
      <c r="F291" s="21">
        <v>1</v>
      </c>
      <c r="G291" s="21">
        <v>0.41299999999999998</v>
      </c>
      <c r="H291" s="21">
        <v>0.6</v>
      </c>
      <c r="I291" s="21">
        <v>0.46200000000000002</v>
      </c>
      <c r="J291" s="21">
        <v>0.56299999999999994</v>
      </c>
      <c r="K291" s="21">
        <v>0.5</v>
      </c>
      <c r="L291" s="21">
        <v>0.77300000000000002</v>
      </c>
      <c r="M291" s="21">
        <v>0.7</v>
      </c>
      <c r="N291" s="21">
        <v>1.1000000000000001</v>
      </c>
      <c r="O291" s="21">
        <v>0.3</v>
      </c>
      <c r="P291" s="21">
        <v>0</v>
      </c>
      <c r="Q291" s="21">
        <v>0.3</v>
      </c>
      <c r="R291" s="21">
        <v>0.4</v>
      </c>
      <c r="S291" s="21">
        <v>2.1</v>
      </c>
      <c r="T291" s="21">
        <v>5</v>
      </c>
      <c r="U291" s="21">
        <v>-1.6</v>
      </c>
      <c r="V291" s="21">
        <v>12.3</v>
      </c>
      <c r="W291" s="21">
        <v>9.8000000000000004E-2</v>
      </c>
      <c r="X291" s="4">
        <v>0.3</v>
      </c>
    </row>
    <row r="292" spans="1:24" x14ac:dyDescent="0.35">
      <c r="A292" s="21">
        <v>25</v>
      </c>
      <c r="B292" s="21">
        <v>77</v>
      </c>
      <c r="C292" s="21">
        <v>23.9</v>
      </c>
      <c r="D292" s="21">
        <v>10</v>
      </c>
      <c r="E292" s="21">
        <v>0.48199999999999998</v>
      </c>
      <c r="F292" s="21">
        <v>3.6</v>
      </c>
      <c r="G292" s="21">
        <v>0.318</v>
      </c>
      <c r="H292" s="21">
        <v>6.4</v>
      </c>
      <c r="I292" s="21">
        <v>0.57299999999999995</v>
      </c>
      <c r="J292" s="21">
        <v>0.53800000000000003</v>
      </c>
      <c r="K292" s="21">
        <v>2.5</v>
      </c>
      <c r="L292" s="21">
        <v>0.77300000000000002</v>
      </c>
      <c r="M292" s="21">
        <v>4.8</v>
      </c>
      <c r="N292" s="21">
        <v>1.6</v>
      </c>
      <c r="O292" s="21">
        <v>0.6</v>
      </c>
      <c r="P292" s="21">
        <v>0.3</v>
      </c>
      <c r="Q292" s="21">
        <v>1</v>
      </c>
      <c r="R292" s="21">
        <v>1.5</v>
      </c>
      <c r="S292" s="21">
        <v>12.7</v>
      </c>
      <c r="T292" s="21">
        <v>5</v>
      </c>
      <c r="U292" s="21">
        <v>-1.6</v>
      </c>
      <c r="V292" s="21">
        <v>15.6</v>
      </c>
      <c r="W292" s="21">
        <v>8.3000000000000004E-2</v>
      </c>
      <c r="X292" s="4">
        <v>0.2</v>
      </c>
    </row>
    <row r="293" spans="1:24" x14ac:dyDescent="0.35">
      <c r="A293" s="21">
        <v>24</v>
      </c>
      <c r="B293" s="21">
        <v>44</v>
      </c>
      <c r="C293" s="21">
        <v>17.5</v>
      </c>
      <c r="D293" s="21">
        <v>5.9</v>
      </c>
      <c r="E293" s="21">
        <v>0.44400000000000001</v>
      </c>
      <c r="F293" s="21">
        <v>1.2</v>
      </c>
      <c r="G293" s="21">
        <v>0.32700000000000001</v>
      </c>
      <c r="H293" s="21">
        <v>4.8</v>
      </c>
      <c r="I293" s="21">
        <v>0.47399999999999998</v>
      </c>
      <c r="J293" s="21">
        <v>0.47699999999999998</v>
      </c>
      <c r="K293" s="21">
        <v>1.6</v>
      </c>
      <c r="L293" s="21">
        <v>0.77100000000000002</v>
      </c>
      <c r="M293" s="21">
        <v>5</v>
      </c>
      <c r="N293" s="21">
        <v>1.8</v>
      </c>
      <c r="O293" s="21">
        <v>0.4</v>
      </c>
      <c r="P293" s="21">
        <v>0.4</v>
      </c>
      <c r="Q293" s="21">
        <v>1.1000000000000001</v>
      </c>
      <c r="R293" s="21">
        <v>2.2999999999999998</v>
      </c>
      <c r="S293" s="21">
        <v>6.9</v>
      </c>
      <c r="T293" s="21">
        <v>2</v>
      </c>
      <c r="U293" s="21">
        <v>-3.4</v>
      </c>
      <c r="V293" s="21">
        <v>12.9</v>
      </c>
      <c r="W293" s="21">
        <v>7.1999999999999995E-2</v>
      </c>
      <c r="X293" s="4">
        <v>0.3</v>
      </c>
    </row>
    <row r="294" spans="1:24" x14ac:dyDescent="0.35">
      <c r="A294" s="21">
        <v>26</v>
      </c>
      <c r="B294" s="21">
        <v>59</v>
      </c>
      <c r="C294" s="21">
        <v>31.7</v>
      </c>
      <c r="D294" s="21">
        <v>9.8000000000000007</v>
      </c>
      <c r="E294" s="21">
        <v>0.50900000000000001</v>
      </c>
      <c r="F294" s="21">
        <v>4.2</v>
      </c>
      <c r="G294" s="21">
        <v>0.41299999999999998</v>
      </c>
      <c r="H294" s="21">
        <v>5.6</v>
      </c>
      <c r="I294" s="21">
        <v>0.58099999999999996</v>
      </c>
      <c r="J294" s="21">
        <v>0.59699999999999998</v>
      </c>
      <c r="K294" s="21">
        <v>1.9</v>
      </c>
      <c r="L294" s="21">
        <v>0.77</v>
      </c>
      <c r="M294" s="21">
        <v>5</v>
      </c>
      <c r="N294" s="21">
        <v>1.4</v>
      </c>
      <c r="O294" s="21">
        <v>0.8</v>
      </c>
      <c r="P294" s="21">
        <v>0.4</v>
      </c>
      <c r="Q294" s="21">
        <v>0.8</v>
      </c>
      <c r="R294" s="21">
        <v>1.8</v>
      </c>
      <c r="S294" s="21">
        <v>13.1</v>
      </c>
      <c r="T294" s="21">
        <v>5</v>
      </c>
      <c r="U294" s="21">
        <v>-0.7</v>
      </c>
      <c r="V294" s="21">
        <v>13.6</v>
      </c>
      <c r="W294" s="21">
        <v>0.11</v>
      </c>
      <c r="X294" s="4">
        <v>0.5</v>
      </c>
    </row>
    <row r="295" spans="1:24" x14ac:dyDescent="0.35">
      <c r="A295" s="21">
        <v>22</v>
      </c>
      <c r="B295" s="21">
        <v>79</v>
      </c>
      <c r="C295" s="21">
        <v>24.4</v>
      </c>
      <c r="D295" s="21">
        <v>9.9</v>
      </c>
      <c r="E295" s="21">
        <v>0.38900000000000001</v>
      </c>
      <c r="F295" s="21">
        <v>5.0999999999999996</v>
      </c>
      <c r="G295" s="21">
        <v>0.314</v>
      </c>
      <c r="H295" s="21">
        <v>4.8</v>
      </c>
      <c r="I295" s="21">
        <v>0.46800000000000003</v>
      </c>
      <c r="J295" s="21">
        <v>0.47</v>
      </c>
      <c r="K295" s="21">
        <v>1.8</v>
      </c>
      <c r="L295" s="21">
        <v>0.77</v>
      </c>
      <c r="M295" s="21">
        <v>3.8</v>
      </c>
      <c r="N295" s="21">
        <v>2.2000000000000002</v>
      </c>
      <c r="O295" s="21">
        <v>1</v>
      </c>
      <c r="P295" s="21">
        <v>0.4</v>
      </c>
      <c r="Q295" s="21">
        <v>1.5</v>
      </c>
      <c r="R295" s="21">
        <v>2.6</v>
      </c>
      <c r="S295" s="21">
        <v>10.6</v>
      </c>
      <c r="T295" s="21">
        <v>3</v>
      </c>
      <c r="U295" s="21">
        <v>-3.3</v>
      </c>
      <c r="V295" s="21">
        <v>10.4</v>
      </c>
      <c r="W295" s="21">
        <v>1.4E-2</v>
      </c>
      <c r="X295" s="4">
        <v>0.1</v>
      </c>
    </row>
    <row r="296" spans="1:24" x14ac:dyDescent="0.35">
      <c r="A296" s="21">
        <v>25</v>
      </c>
      <c r="B296" s="21">
        <v>36</v>
      </c>
      <c r="C296" s="21">
        <v>12.4</v>
      </c>
      <c r="D296" s="21">
        <v>5.0999999999999996</v>
      </c>
      <c r="E296" s="21">
        <v>0.52500000000000002</v>
      </c>
      <c r="F296" s="21">
        <v>2.6</v>
      </c>
      <c r="G296" s="21">
        <v>0.34399999999999997</v>
      </c>
      <c r="H296" s="21">
        <v>2.5</v>
      </c>
      <c r="I296" s="21">
        <v>0.71099999999999997</v>
      </c>
      <c r="J296" s="21">
        <v>0.61199999999999999</v>
      </c>
      <c r="K296" s="21">
        <v>0.7</v>
      </c>
      <c r="L296" s="21">
        <v>0.76900000000000002</v>
      </c>
      <c r="M296" s="21">
        <v>2.9</v>
      </c>
      <c r="N296" s="21">
        <v>0.6</v>
      </c>
      <c r="O296" s="21">
        <v>0.3</v>
      </c>
      <c r="P296" s="21">
        <v>0.7</v>
      </c>
      <c r="Q296" s="21">
        <v>0.6</v>
      </c>
      <c r="R296" s="21">
        <v>0.6</v>
      </c>
      <c r="S296" s="21">
        <v>6.8</v>
      </c>
      <c r="T296" s="21">
        <v>5</v>
      </c>
      <c r="U296" s="21">
        <v>0.8</v>
      </c>
      <c r="V296" s="21">
        <v>18.399999999999999</v>
      </c>
      <c r="W296" s="21">
        <v>9.7000000000000003E-2</v>
      </c>
      <c r="X296" s="4">
        <v>0.5</v>
      </c>
    </row>
    <row r="297" spans="1:24" x14ac:dyDescent="0.35">
      <c r="A297" s="21">
        <v>33</v>
      </c>
      <c r="B297" s="21">
        <v>44</v>
      </c>
      <c r="C297" s="21">
        <v>20.3</v>
      </c>
      <c r="D297" s="21">
        <v>6.1</v>
      </c>
      <c r="E297" s="21">
        <v>0.5</v>
      </c>
      <c r="F297" s="21">
        <v>1.8</v>
      </c>
      <c r="G297" s="21">
        <v>0.41799999999999998</v>
      </c>
      <c r="H297" s="21">
        <v>4.3</v>
      </c>
      <c r="I297" s="21">
        <v>0.53400000000000003</v>
      </c>
      <c r="J297" s="21">
        <v>0.56200000000000006</v>
      </c>
      <c r="K297" s="21">
        <v>2.5</v>
      </c>
      <c r="L297" s="21">
        <v>0.76900000000000002</v>
      </c>
      <c r="M297" s="21">
        <v>4.7</v>
      </c>
      <c r="N297" s="21">
        <v>2.9</v>
      </c>
      <c r="O297" s="21">
        <v>0.8</v>
      </c>
      <c r="P297" s="21">
        <v>0.4</v>
      </c>
      <c r="Q297" s="21">
        <v>1.7</v>
      </c>
      <c r="R297" s="21">
        <v>2.8</v>
      </c>
      <c r="S297" s="21">
        <v>8.6999999999999993</v>
      </c>
      <c r="T297" s="21">
        <v>11</v>
      </c>
      <c r="U297" s="21">
        <v>-0.7</v>
      </c>
      <c r="V297" s="21">
        <v>14.9</v>
      </c>
      <c r="W297" s="21">
        <v>9.1999999999999998E-2</v>
      </c>
      <c r="X297" s="4">
        <v>0.9</v>
      </c>
    </row>
    <row r="298" spans="1:24" x14ac:dyDescent="0.35">
      <c r="A298" s="21">
        <v>23</v>
      </c>
      <c r="B298" s="21">
        <v>33</v>
      </c>
      <c r="C298" s="21">
        <v>12.4</v>
      </c>
      <c r="D298" s="21">
        <v>3.8</v>
      </c>
      <c r="E298" s="21">
        <v>0.45600000000000002</v>
      </c>
      <c r="F298" s="21">
        <v>1.8</v>
      </c>
      <c r="G298" s="21">
        <v>0.311</v>
      </c>
      <c r="H298" s="21">
        <v>1.9</v>
      </c>
      <c r="I298" s="21">
        <v>0.59399999999999997</v>
      </c>
      <c r="J298" s="21">
        <v>0.53200000000000003</v>
      </c>
      <c r="K298" s="21">
        <v>0.8</v>
      </c>
      <c r="L298" s="21">
        <v>0.76900000000000002</v>
      </c>
      <c r="M298" s="21">
        <v>2.5</v>
      </c>
      <c r="N298" s="21">
        <v>1.1000000000000001</v>
      </c>
      <c r="O298" s="21">
        <v>0.4</v>
      </c>
      <c r="P298" s="21">
        <v>0.3</v>
      </c>
      <c r="Q298" s="21">
        <v>0.7</v>
      </c>
      <c r="R298" s="21">
        <v>0.6</v>
      </c>
      <c r="S298" s="21">
        <v>4.5999999999999996</v>
      </c>
      <c r="T298" s="21">
        <v>2</v>
      </c>
      <c r="U298" s="21">
        <v>-1.5</v>
      </c>
      <c r="V298" s="21">
        <v>11.9</v>
      </c>
      <c r="W298" s="21">
        <v>6.2E-2</v>
      </c>
      <c r="X298" s="4">
        <v>0</v>
      </c>
    </row>
    <row r="299" spans="1:24" x14ac:dyDescent="0.35">
      <c r="A299" s="21">
        <v>24</v>
      </c>
      <c r="B299" s="21">
        <v>75</v>
      </c>
      <c r="C299" s="21">
        <v>19.8</v>
      </c>
      <c r="D299" s="21">
        <v>8.6999999999999993</v>
      </c>
      <c r="E299" s="21">
        <v>0.44900000000000001</v>
      </c>
      <c r="F299" s="21">
        <v>2.4</v>
      </c>
      <c r="G299" s="21">
        <v>0.311</v>
      </c>
      <c r="H299" s="21">
        <v>6.3</v>
      </c>
      <c r="I299" s="21">
        <v>0.501</v>
      </c>
      <c r="J299" s="21">
        <v>0.49199999999999999</v>
      </c>
      <c r="K299" s="21">
        <v>2.2999999999999998</v>
      </c>
      <c r="L299" s="21">
        <v>0.76900000000000002</v>
      </c>
      <c r="M299" s="21">
        <v>3.7</v>
      </c>
      <c r="N299" s="21">
        <v>3.4</v>
      </c>
      <c r="O299" s="21">
        <v>1.1000000000000001</v>
      </c>
      <c r="P299" s="21">
        <v>0.2</v>
      </c>
      <c r="Q299" s="21">
        <v>1.8</v>
      </c>
      <c r="R299" s="21">
        <v>1.6</v>
      </c>
      <c r="S299" s="21">
        <v>10.3</v>
      </c>
      <c r="T299" s="21">
        <v>4</v>
      </c>
      <c r="U299" s="21">
        <v>-0.6</v>
      </c>
      <c r="V299" s="21">
        <v>15.4</v>
      </c>
      <c r="W299" s="21">
        <v>7.1999999999999995E-2</v>
      </c>
      <c r="X299" s="4">
        <v>1.3</v>
      </c>
    </row>
    <row r="300" spans="1:24" x14ac:dyDescent="0.35">
      <c r="A300" s="21">
        <v>26</v>
      </c>
      <c r="B300" s="21">
        <v>77</v>
      </c>
      <c r="C300" s="21">
        <v>33.700000000000003</v>
      </c>
      <c r="D300" s="21">
        <v>13.6</v>
      </c>
      <c r="E300" s="21">
        <v>0.504</v>
      </c>
      <c r="F300" s="21">
        <v>6.4</v>
      </c>
      <c r="G300" s="21">
        <v>0.39500000000000002</v>
      </c>
      <c r="H300" s="21">
        <v>7.3</v>
      </c>
      <c r="I300" s="21">
        <v>0.59899999999999998</v>
      </c>
      <c r="J300" s="21">
        <v>0.59599999999999997</v>
      </c>
      <c r="K300" s="21">
        <v>2.5</v>
      </c>
      <c r="L300" s="21">
        <v>0.76800000000000002</v>
      </c>
      <c r="M300" s="21">
        <v>7</v>
      </c>
      <c r="N300" s="21">
        <v>2.1</v>
      </c>
      <c r="O300" s="21">
        <v>0.6</v>
      </c>
      <c r="P300" s="21">
        <v>0.5</v>
      </c>
      <c r="Q300" s="21">
        <v>1.4</v>
      </c>
      <c r="R300" s="21">
        <v>2</v>
      </c>
      <c r="S300" s="21">
        <v>18.2</v>
      </c>
      <c r="T300" s="21">
        <v>6</v>
      </c>
      <c r="U300" s="21">
        <v>-0.1</v>
      </c>
      <c r="V300" s="21">
        <v>16.2</v>
      </c>
      <c r="W300" s="21">
        <v>0.11799999999999999</v>
      </c>
      <c r="X300" s="4">
        <v>0</v>
      </c>
    </row>
    <row r="301" spans="1:24" x14ac:dyDescent="0.35">
      <c r="A301" s="21">
        <v>22</v>
      </c>
      <c r="B301" s="21">
        <v>75</v>
      </c>
      <c r="C301" s="21">
        <v>19.600000000000001</v>
      </c>
      <c r="D301" s="21">
        <v>6.7</v>
      </c>
      <c r="E301" s="21">
        <v>0.40500000000000003</v>
      </c>
      <c r="F301" s="21">
        <v>3</v>
      </c>
      <c r="G301" s="21">
        <v>0.32300000000000001</v>
      </c>
      <c r="H301" s="21">
        <v>3.7</v>
      </c>
      <c r="I301" s="21">
        <v>0.47</v>
      </c>
      <c r="J301" s="21">
        <v>0.47599999999999998</v>
      </c>
      <c r="K301" s="21">
        <v>0.9</v>
      </c>
      <c r="L301" s="21">
        <v>0.76800000000000002</v>
      </c>
      <c r="M301" s="21">
        <v>1.5</v>
      </c>
      <c r="N301" s="21">
        <v>4.2</v>
      </c>
      <c r="O301" s="21">
        <v>0.8</v>
      </c>
      <c r="P301" s="21">
        <v>0.1</v>
      </c>
      <c r="Q301" s="21">
        <v>1.6</v>
      </c>
      <c r="R301" s="21">
        <v>2.1</v>
      </c>
      <c r="S301" s="21">
        <v>7.1</v>
      </c>
      <c r="T301" s="21">
        <v>0</v>
      </c>
      <c r="U301" s="21">
        <v>-4.0999999999999996</v>
      </c>
      <c r="V301" s="21">
        <v>9.9</v>
      </c>
      <c r="W301" s="21">
        <v>2.7E-2</v>
      </c>
      <c r="X301" s="4">
        <v>1.4</v>
      </c>
    </row>
    <row r="302" spans="1:24" x14ac:dyDescent="0.35">
      <c r="A302" s="21">
        <v>22</v>
      </c>
      <c r="B302" s="21">
        <v>47</v>
      </c>
      <c r="C302" s="21">
        <v>16.7</v>
      </c>
      <c r="D302" s="21">
        <v>4.7</v>
      </c>
      <c r="E302" s="21">
        <v>0.439</v>
      </c>
      <c r="F302" s="21">
        <v>3.3</v>
      </c>
      <c r="G302" s="21">
        <v>0.39900000000000002</v>
      </c>
      <c r="H302" s="21">
        <v>1.4</v>
      </c>
      <c r="I302" s="21">
        <v>0.52900000000000003</v>
      </c>
      <c r="J302" s="21">
        <v>0.57699999999999996</v>
      </c>
      <c r="K302" s="21">
        <v>0.6</v>
      </c>
      <c r="L302" s="21">
        <v>0.76700000000000002</v>
      </c>
      <c r="M302" s="21">
        <v>5.6</v>
      </c>
      <c r="N302" s="21">
        <v>2.6</v>
      </c>
      <c r="O302" s="21">
        <v>0.5</v>
      </c>
      <c r="P302" s="21">
        <v>0.6</v>
      </c>
      <c r="Q302" s="21">
        <v>0.7</v>
      </c>
      <c r="R302" s="21">
        <v>1.7</v>
      </c>
      <c r="S302" s="21">
        <v>5.9</v>
      </c>
      <c r="T302" s="21">
        <v>2</v>
      </c>
      <c r="U302" s="21">
        <v>4.3</v>
      </c>
      <c r="V302" s="21">
        <v>16.399999999999999</v>
      </c>
      <c r="W302" s="21">
        <v>0.19900000000000001</v>
      </c>
      <c r="X302" s="4">
        <v>0</v>
      </c>
    </row>
    <row r="303" spans="1:24" x14ac:dyDescent="0.35">
      <c r="A303" s="21">
        <v>20</v>
      </c>
      <c r="B303" s="21">
        <v>66</v>
      </c>
      <c r="C303" s="21">
        <v>26.7</v>
      </c>
      <c r="D303" s="21">
        <v>10.4</v>
      </c>
      <c r="E303" s="21">
        <v>0.41899999999999998</v>
      </c>
      <c r="F303" s="21">
        <v>4.5</v>
      </c>
      <c r="G303" s="21">
        <v>0.35399999999999998</v>
      </c>
      <c r="H303" s="21">
        <v>5.9</v>
      </c>
      <c r="I303" s="21">
        <v>0.46899999999999997</v>
      </c>
      <c r="J303" s="21">
        <v>0.496</v>
      </c>
      <c r="K303" s="21">
        <v>3.1</v>
      </c>
      <c r="L303" s="21">
        <v>0.76700000000000002</v>
      </c>
      <c r="M303" s="21">
        <v>3</v>
      </c>
      <c r="N303" s="21">
        <v>5.0999999999999996</v>
      </c>
      <c r="O303" s="21">
        <v>1</v>
      </c>
      <c r="P303" s="21">
        <v>0.2</v>
      </c>
      <c r="Q303" s="21">
        <v>2.7</v>
      </c>
      <c r="R303" s="21">
        <v>2.7</v>
      </c>
      <c r="S303" s="21">
        <v>12.7</v>
      </c>
      <c r="T303" s="21">
        <v>1</v>
      </c>
      <c r="U303" s="21">
        <v>-2.2000000000000002</v>
      </c>
      <c r="V303" s="21">
        <v>12.5</v>
      </c>
      <c r="W303" s="21">
        <v>4.9000000000000002E-2</v>
      </c>
      <c r="X303" s="4">
        <v>1.4</v>
      </c>
    </row>
    <row r="304" spans="1:24" x14ac:dyDescent="0.35">
      <c r="A304" s="21">
        <v>20</v>
      </c>
      <c r="B304" s="21">
        <v>52</v>
      </c>
      <c r="C304" s="21">
        <v>8.8000000000000007</v>
      </c>
      <c r="D304" s="21">
        <v>2.7</v>
      </c>
      <c r="E304" s="21">
        <v>0.40799999999999997</v>
      </c>
      <c r="F304" s="21">
        <v>1.1000000000000001</v>
      </c>
      <c r="G304" s="21">
        <v>0.27100000000000002</v>
      </c>
      <c r="H304" s="21">
        <v>1.6</v>
      </c>
      <c r="I304" s="21">
        <v>0.50600000000000001</v>
      </c>
      <c r="J304" s="21">
        <v>0.46500000000000002</v>
      </c>
      <c r="K304" s="21">
        <v>0.6</v>
      </c>
      <c r="L304" s="21">
        <v>0.76700000000000002</v>
      </c>
      <c r="M304" s="21">
        <v>1.3</v>
      </c>
      <c r="N304" s="21">
        <v>0.5</v>
      </c>
      <c r="O304" s="21">
        <v>0.3</v>
      </c>
      <c r="P304" s="21">
        <v>0.1</v>
      </c>
      <c r="Q304" s="21">
        <v>0.6</v>
      </c>
      <c r="R304" s="21">
        <v>0.7</v>
      </c>
      <c r="S304" s="21">
        <v>3</v>
      </c>
      <c r="T304" s="21">
        <v>1</v>
      </c>
      <c r="U304" s="21">
        <v>-4.7</v>
      </c>
      <c r="V304" s="21">
        <v>8.1</v>
      </c>
      <c r="W304" s="21">
        <v>7.0000000000000001E-3</v>
      </c>
      <c r="X304" s="4">
        <v>0.2</v>
      </c>
    </row>
    <row r="305" spans="1:24" x14ac:dyDescent="0.35">
      <c r="A305" s="21">
        <v>27</v>
      </c>
      <c r="B305" s="21">
        <v>78</v>
      </c>
      <c r="C305" s="21">
        <v>34.299999999999997</v>
      </c>
      <c r="D305" s="21">
        <v>14.3</v>
      </c>
      <c r="E305" s="21">
        <v>0.48499999999999999</v>
      </c>
      <c r="F305" s="21">
        <v>2.8</v>
      </c>
      <c r="G305" s="21">
        <v>0.35699999999999998</v>
      </c>
      <c r="H305" s="21">
        <v>11.4</v>
      </c>
      <c r="I305" s="21">
        <v>0.51700000000000002</v>
      </c>
      <c r="J305" s="21">
        <v>0.52100000000000002</v>
      </c>
      <c r="K305" s="21">
        <v>4.2</v>
      </c>
      <c r="L305" s="21">
        <v>0.76500000000000001</v>
      </c>
      <c r="M305" s="21">
        <v>9.6</v>
      </c>
      <c r="N305" s="21">
        <v>4.3</v>
      </c>
      <c r="O305" s="21">
        <v>1.3</v>
      </c>
      <c r="P305" s="21">
        <v>0.7</v>
      </c>
      <c r="Q305" s="21">
        <v>2.1</v>
      </c>
      <c r="R305" s="21">
        <v>2.1</v>
      </c>
      <c r="S305" s="21">
        <v>18.100000000000001</v>
      </c>
      <c r="T305" s="21">
        <v>7</v>
      </c>
      <c r="U305" s="21">
        <v>2</v>
      </c>
      <c r="V305" s="21">
        <v>18.899999999999999</v>
      </c>
      <c r="W305" s="21">
        <v>0.13500000000000001</v>
      </c>
      <c r="X305" s="4">
        <v>0</v>
      </c>
    </row>
    <row r="306" spans="1:24" x14ac:dyDescent="0.35">
      <c r="A306" s="21">
        <v>23</v>
      </c>
      <c r="B306" s="21">
        <v>41</v>
      </c>
      <c r="C306" s="21">
        <v>7.2</v>
      </c>
      <c r="D306" s="21">
        <v>2</v>
      </c>
      <c r="E306" s="21">
        <v>0.32900000000000001</v>
      </c>
      <c r="F306" s="21">
        <v>1.1000000000000001</v>
      </c>
      <c r="G306" s="21">
        <v>0.29799999999999999</v>
      </c>
      <c r="H306" s="21">
        <v>0.9</v>
      </c>
      <c r="I306" s="21">
        <v>0.371</v>
      </c>
      <c r="J306" s="21">
        <v>0.41499999999999998</v>
      </c>
      <c r="K306" s="21">
        <v>0.4</v>
      </c>
      <c r="L306" s="21">
        <v>0.76500000000000001</v>
      </c>
      <c r="M306" s="21">
        <v>0.7</v>
      </c>
      <c r="N306" s="21">
        <v>1.7</v>
      </c>
      <c r="O306" s="21">
        <v>0.3</v>
      </c>
      <c r="P306" s="21">
        <v>0.1</v>
      </c>
      <c r="Q306" s="21">
        <v>0.4</v>
      </c>
      <c r="R306" s="21">
        <v>0.6</v>
      </c>
      <c r="S306" s="21">
        <v>2</v>
      </c>
      <c r="T306" s="21">
        <v>0</v>
      </c>
      <c r="U306" s="21">
        <v>-2.8</v>
      </c>
      <c r="V306" s="21">
        <v>10.3</v>
      </c>
      <c r="W306" s="21">
        <v>5.8000000000000003E-2</v>
      </c>
      <c r="X306" s="4">
        <v>0.1</v>
      </c>
    </row>
    <row r="307" spans="1:24" x14ac:dyDescent="0.35">
      <c r="A307" s="21">
        <v>28</v>
      </c>
      <c r="B307" s="21">
        <v>63</v>
      </c>
      <c r="C307" s="21">
        <v>34.299999999999997</v>
      </c>
      <c r="D307" s="21">
        <v>17.7</v>
      </c>
      <c r="E307" s="21">
        <v>0.46300000000000002</v>
      </c>
      <c r="F307" s="21">
        <v>5.7</v>
      </c>
      <c r="G307" s="21">
        <v>0.32400000000000001</v>
      </c>
      <c r="H307" s="21">
        <v>12.1</v>
      </c>
      <c r="I307" s="21">
        <v>0.52900000000000003</v>
      </c>
      <c r="J307" s="21">
        <v>0.51500000000000001</v>
      </c>
      <c r="K307" s="21">
        <v>5.0999999999999996</v>
      </c>
      <c r="L307" s="21">
        <v>0.76400000000000001</v>
      </c>
      <c r="M307" s="21">
        <v>5.8</v>
      </c>
      <c r="N307" s="21">
        <v>4.5</v>
      </c>
      <c r="O307" s="21">
        <v>1.2</v>
      </c>
      <c r="P307" s="21">
        <v>0.3</v>
      </c>
      <c r="Q307" s="21">
        <v>2.6</v>
      </c>
      <c r="R307" s="21">
        <v>2.4</v>
      </c>
      <c r="S307" s="21">
        <v>22.2</v>
      </c>
      <c r="T307" s="21">
        <v>8</v>
      </c>
      <c r="U307" s="21">
        <v>0</v>
      </c>
      <c r="V307" s="21">
        <v>17.8</v>
      </c>
      <c r="W307" s="21">
        <v>0.115</v>
      </c>
      <c r="X307" s="4">
        <v>0.7</v>
      </c>
    </row>
    <row r="308" spans="1:24" x14ac:dyDescent="0.35">
      <c r="A308" s="21">
        <v>29</v>
      </c>
      <c r="B308" s="21">
        <v>60</v>
      </c>
      <c r="C308" s="21">
        <v>30.7</v>
      </c>
      <c r="D308" s="21">
        <v>14</v>
      </c>
      <c r="E308" s="21">
        <v>0.44800000000000001</v>
      </c>
      <c r="F308" s="21">
        <v>5.8</v>
      </c>
      <c r="G308" s="21">
        <v>0.374</v>
      </c>
      <c r="H308" s="21">
        <v>8.1999999999999993</v>
      </c>
      <c r="I308" s="21">
        <v>0.501</v>
      </c>
      <c r="J308" s="21">
        <v>0.52600000000000002</v>
      </c>
      <c r="K308" s="21">
        <v>4.3</v>
      </c>
      <c r="L308" s="21">
        <v>0.76300000000000001</v>
      </c>
      <c r="M308" s="21">
        <v>4.5</v>
      </c>
      <c r="N308" s="21">
        <v>2.6</v>
      </c>
      <c r="O308" s="21">
        <v>1</v>
      </c>
      <c r="P308" s="21">
        <v>0.8</v>
      </c>
      <c r="Q308" s="21">
        <v>1.7</v>
      </c>
      <c r="R308" s="21">
        <v>1.7</v>
      </c>
      <c r="S308" s="21">
        <v>18</v>
      </c>
      <c r="T308" s="21">
        <v>10</v>
      </c>
      <c r="U308" s="21">
        <v>0.9</v>
      </c>
      <c r="V308" s="21">
        <v>16.399999999999999</v>
      </c>
      <c r="W308" s="21">
        <v>0.104</v>
      </c>
      <c r="X308" s="4">
        <v>1.8</v>
      </c>
    </row>
    <row r="309" spans="1:24" x14ac:dyDescent="0.35">
      <c r="A309" s="21">
        <v>24</v>
      </c>
      <c r="B309" s="21">
        <v>26</v>
      </c>
      <c r="C309" s="21">
        <v>16.600000000000001</v>
      </c>
      <c r="D309" s="21">
        <v>3.8</v>
      </c>
      <c r="E309" s="21">
        <v>0.46899999999999997</v>
      </c>
      <c r="F309" s="21">
        <v>0.6</v>
      </c>
      <c r="G309" s="21">
        <v>0.125</v>
      </c>
      <c r="H309" s="21">
        <v>3.2</v>
      </c>
      <c r="I309" s="21">
        <v>0.53700000000000003</v>
      </c>
      <c r="J309" s="21">
        <v>0.48</v>
      </c>
      <c r="K309" s="21">
        <v>1.5</v>
      </c>
      <c r="L309" s="21">
        <v>0.76300000000000001</v>
      </c>
      <c r="M309" s="21">
        <v>4.7</v>
      </c>
      <c r="N309" s="21">
        <v>1.1000000000000001</v>
      </c>
      <c r="O309" s="21">
        <v>0.3</v>
      </c>
      <c r="P309" s="21">
        <v>0.4</v>
      </c>
      <c r="Q309" s="21">
        <v>0.9</v>
      </c>
      <c r="R309" s="21">
        <v>2</v>
      </c>
      <c r="S309" s="21">
        <v>4.7</v>
      </c>
      <c r="T309" s="21">
        <v>1</v>
      </c>
      <c r="U309" s="21">
        <v>-5</v>
      </c>
      <c r="V309" s="21">
        <v>11.3</v>
      </c>
      <c r="W309" s="21">
        <v>7.4999999999999997E-2</v>
      </c>
      <c r="X309" s="4">
        <v>0.2</v>
      </c>
    </row>
    <row r="310" spans="1:24" x14ac:dyDescent="0.35">
      <c r="A310" s="21">
        <v>23</v>
      </c>
      <c r="B310" s="21">
        <v>78</v>
      </c>
      <c r="C310" s="21">
        <v>19.2</v>
      </c>
      <c r="D310" s="21">
        <v>7.1</v>
      </c>
      <c r="E310" s="21">
        <v>0.46100000000000002</v>
      </c>
      <c r="F310" s="21">
        <v>4.4000000000000004</v>
      </c>
      <c r="G310" s="21">
        <v>0.376</v>
      </c>
      <c r="H310" s="21">
        <v>2.8</v>
      </c>
      <c r="I310" s="21">
        <v>0.59399999999999997</v>
      </c>
      <c r="J310" s="21">
        <v>0.57599999999999996</v>
      </c>
      <c r="K310" s="21">
        <v>1.1000000000000001</v>
      </c>
      <c r="L310" s="21">
        <v>0.76200000000000001</v>
      </c>
      <c r="M310" s="21">
        <v>2.8</v>
      </c>
      <c r="N310" s="21">
        <v>0.8</v>
      </c>
      <c r="O310" s="21">
        <v>0.3</v>
      </c>
      <c r="P310" s="21">
        <v>0.1</v>
      </c>
      <c r="Q310" s="21">
        <v>0.5</v>
      </c>
      <c r="R310" s="21">
        <v>1.2</v>
      </c>
      <c r="S310" s="21">
        <v>9.1</v>
      </c>
      <c r="T310" s="21">
        <v>0</v>
      </c>
      <c r="U310" s="21">
        <v>-1.8</v>
      </c>
      <c r="V310" s="21">
        <v>12.7</v>
      </c>
      <c r="W310" s="21">
        <v>8.5999999999999993E-2</v>
      </c>
      <c r="X310" s="4">
        <v>-0.7</v>
      </c>
    </row>
    <row r="311" spans="1:24" x14ac:dyDescent="0.35">
      <c r="A311" s="21">
        <v>25</v>
      </c>
      <c r="B311" s="21">
        <v>45</v>
      </c>
      <c r="C311" s="21">
        <v>9.6999999999999993</v>
      </c>
      <c r="D311" s="21">
        <v>3.2</v>
      </c>
      <c r="E311" s="21">
        <v>0.50700000000000001</v>
      </c>
      <c r="F311" s="21">
        <v>0.6</v>
      </c>
      <c r="G311" s="21">
        <v>0.28599999999999998</v>
      </c>
      <c r="H311" s="21">
        <v>2.5</v>
      </c>
      <c r="I311" s="21">
        <v>0.56100000000000005</v>
      </c>
      <c r="J311" s="21">
        <v>0.53500000000000003</v>
      </c>
      <c r="K311" s="21">
        <v>0.9</v>
      </c>
      <c r="L311" s="21">
        <v>0.76200000000000001</v>
      </c>
      <c r="M311" s="21">
        <v>2.7</v>
      </c>
      <c r="N311" s="21">
        <v>1</v>
      </c>
      <c r="O311" s="21">
        <v>0.9</v>
      </c>
      <c r="P311" s="21">
        <v>0.6</v>
      </c>
      <c r="Q311" s="21">
        <v>0.6</v>
      </c>
      <c r="R311" s="21">
        <v>1.7</v>
      </c>
      <c r="S311" s="21">
        <v>4.0999999999999996</v>
      </c>
      <c r="T311" s="21">
        <v>4</v>
      </c>
      <c r="U311" s="21">
        <v>2.9</v>
      </c>
      <c r="V311" s="21">
        <v>18.600000000000001</v>
      </c>
      <c r="W311" s="21">
        <v>0.17299999999999999</v>
      </c>
      <c r="X311" s="4">
        <v>-1</v>
      </c>
    </row>
    <row r="312" spans="1:24" x14ac:dyDescent="0.35">
      <c r="A312" s="21">
        <v>24</v>
      </c>
      <c r="B312" s="21">
        <v>44</v>
      </c>
      <c r="C312" s="21">
        <v>20.8</v>
      </c>
      <c r="D312" s="21">
        <v>8</v>
      </c>
      <c r="E312" s="21">
        <v>0.46899999999999997</v>
      </c>
      <c r="F312" s="21">
        <v>2</v>
      </c>
      <c r="G312" s="21">
        <v>0.33</v>
      </c>
      <c r="H312" s="21">
        <v>6</v>
      </c>
      <c r="I312" s="21">
        <v>0.51500000000000001</v>
      </c>
      <c r="J312" s="21">
        <v>0.51</v>
      </c>
      <c r="K312" s="21">
        <v>2.8</v>
      </c>
      <c r="L312" s="21">
        <v>0.76200000000000001</v>
      </c>
      <c r="M312" s="21">
        <v>3.6</v>
      </c>
      <c r="N312" s="21">
        <v>2.6</v>
      </c>
      <c r="O312" s="21">
        <v>0.6</v>
      </c>
      <c r="P312" s="21">
        <v>0.3</v>
      </c>
      <c r="Q312" s="21">
        <v>1.9</v>
      </c>
      <c r="R312" s="21">
        <v>2.2000000000000002</v>
      </c>
      <c r="S312" s="21">
        <v>10.199999999999999</v>
      </c>
      <c r="T312" s="21">
        <v>3</v>
      </c>
      <c r="U312" s="21">
        <v>-3.1</v>
      </c>
      <c r="V312" s="21">
        <v>13</v>
      </c>
      <c r="W312" s="21">
        <v>3.7999999999999999E-2</v>
      </c>
      <c r="X312" s="4">
        <v>0</v>
      </c>
    </row>
    <row r="313" spans="1:24" x14ac:dyDescent="0.35">
      <c r="A313" s="21">
        <v>22</v>
      </c>
      <c r="B313" s="21">
        <v>33</v>
      </c>
      <c r="C313" s="21">
        <v>16.2</v>
      </c>
      <c r="D313" s="21">
        <v>5.2</v>
      </c>
      <c r="E313" s="21">
        <v>0.42099999999999999</v>
      </c>
      <c r="F313" s="21">
        <v>2.5</v>
      </c>
      <c r="G313" s="21">
        <v>0.25900000000000001</v>
      </c>
      <c r="H313" s="21">
        <v>2.7</v>
      </c>
      <c r="I313" s="21">
        <v>0.56699999999999995</v>
      </c>
      <c r="J313" s="21">
        <v>0.48199999999999998</v>
      </c>
      <c r="K313" s="21">
        <v>1.3</v>
      </c>
      <c r="L313" s="21">
        <v>0.76200000000000001</v>
      </c>
      <c r="M313" s="21">
        <v>4.2</v>
      </c>
      <c r="N313" s="21">
        <v>0.8</v>
      </c>
      <c r="O313" s="21">
        <v>0.8</v>
      </c>
      <c r="P313" s="21">
        <v>1</v>
      </c>
      <c r="Q313" s="21">
        <v>0.5</v>
      </c>
      <c r="R313" s="21">
        <v>1.7</v>
      </c>
      <c r="S313" s="21">
        <v>6</v>
      </c>
      <c r="T313" s="21">
        <v>1</v>
      </c>
      <c r="U313" s="21">
        <v>-0.6</v>
      </c>
      <c r="V313" s="21">
        <v>14.4</v>
      </c>
      <c r="W313" s="21">
        <v>0.106</v>
      </c>
      <c r="X313" s="4">
        <v>-0.3</v>
      </c>
    </row>
    <row r="314" spans="1:24" x14ac:dyDescent="0.35">
      <c r="A314" s="21">
        <v>33</v>
      </c>
      <c r="B314" s="21">
        <v>34</v>
      </c>
      <c r="C314" s="21">
        <v>18.7</v>
      </c>
      <c r="D314" s="21">
        <v>2.8</v>
      </c>
      <c r="E314" s="21">
        <v>0.38500000000000001</v>
      </c>
      <c r="F314" s="21">
        <v>1.4</v>
      </c>
      <c r="G314" s="21">
        <v>0.26500000000000001</v>
      </c>
      <c r="H314" s="21">
        <v>1.4</v>
      </c>
      <c r="I314" s="21">
        <v>0.51100000000000001</v>
      </c>
      <c r="J314" s="21">
        <v>0.45300000000000001</v>
      </c>
      <c r="K314" s="21">
        <v>0.6</v>
      </c>
      <c r="L314" s="21">
        <v>0.76200000000000001</v>
      </c>
      <c r="M314" s="21">
        <v>2.8</v>
      </c>
      <c r="N314" s="21">
        <v>1.3</v>
      </c>
      <c r="O314" s="21">
        <v>0.3</v>
      </c>
      <c r="P314" s="21">
        <v>0.5</v>
      </c>
      <c r="Q314" s="21">
        <v>0.7</v>
      </c>
      <c r="R314" s="21">
        <v>1.9</v>
      </c>
      <c r="S314" s="21">
        <v>3</v>
      </c>
      <c r="T314" s="21">
        <v>7</v>
      </c>
      <c r="U314" s="21">
        <v>-3.8</v>
      </c>
      <c r="V314" s="21">
        <v>5.6</v>
      </c>
      <c r="W314" s="21">
        <v>2.3E-2</v>
      </c>
      <c r="X314" s="4">
        <v>-0.2</v>
      </c>
    </row>
    <row r="315" spans="1:24" x14ac:dyDescent="0.35">
      <c r="A315" s="21">
        <v>23</v>
      </c>
      <c r="B315" s="21">
        <v>36</v>
      </c>
      <c r="C315" s="21">
        <v>13</v>
      </c>
      <c r="D315" s="21">
        <v>3</v>
      </c>
      <c r="E315" s="21">
        <v>0.32700000000000001</v>
      </c>
      <c r="F315" s="21">
        <v>1.1000000000000001</v>
      </c>
      <c r="G315" s="21">
        <v>0.17499999999999999</v>
      </c>
      <c r="H315" s="21">
        <v>1.9</v>
      </c>
      <c r="I315" s="21">
        <v>0.41799999999999998</v>
      </c>
      <c r="J315" s="21">
        <v>0.36</v>
      </c>
      <c r="K315" s="21">
        <v>0.6</v>
      </c>
      <c r="L315" s="21">
        <v>0.76200000000000001</v>
      </c>
      <c r="M315" s="21">
        <v>1.1000000000000001</v>
      </c>
      <c r="N315" s="21">
        <v>1.8</v>
      </c>
      <c r="O315" s="21">
        <v>0.9</v>
      </c>
      <c r="P315" s="21">
        <v>0.1</v>
      </c>
      <c r="Q315" s="21">
        <v>0.6</v>
      </c>
      <c r="R315" s="21">
        <v>1</v>
      </c>
      <c r="S315" s="21">
        <v>2.6</v>
      </c>
      <c r="T315" s="21">
        <v>0</v>
      </c>
      <c r="U315" s="21">
        <v>-5.4</v>
      </c>
      <c r="V315" s="21">
        <v>7.5</v>
      </c>
      <c r="W315" s="21">
        <v>0.01</v>
      </c>
      <c r="X315" s="4">
        <v>-0.9</v>
      </c>
    </row>
    <row r="316" spans="1:24" x14ac:dyDescent="0.35">
      <c r="A316" s="21">
        <v>30</v>
      </c>
      <c r="B316" s="21">
        <v>34</v>
      </c>
      <c r="C316" s="21">
        <v>20</v>
      </c>
      <c r="D316" s="21">
        <v>7.6</v>
      </c>
      <c r="E316" s="21">
        <v>0.39300000000000002</v>
      </c>
      <c r="F316" s="21">
        <v>4.0999999999999996</v>
      </c>
      <c r="G316" s="21">
        <v>0.34799999999999998</v>
      </c>
      <c r="H316" s="21">
        <v>3.4</v>
      </c>
      <c r="I316" s="21">
        <v>0.44800000000000001</v>
      </c>
      <c r="J316" s="21">
        <v>0.48799999999999999</v>
      </c>
      <c r="K316" s="21">
        <v>2.1</v>
      </c>
      <c r="L316" s="21">
        <v>0.76100000000000001</v>
      </c>
      <c r="M316" s="21">
        <v>2.1</v>
      </c>
      <c r="N316" s="21">
        <v>3.2</v>
      </c>
      <c r="O316" s="21">
        <v>1.1000000000000001</v>
      </c>
      <c r="P316" s="21">
        <v>0.3</v>
      </c>
      <c r="Q316" s="21">
        <v>1.6</v>
      </c>
      <c r="R316" s="21">
        <v>1.6</v>
      </c>
      <c r="S316" s="21">
        <v>9</v>
      </c>
      <c r="T316" s="21">
        <v>10</v>
      </c>
      <c r="U316" s="21">
        <v>-1.5</v>
      </c>
      <c r="V316" s="21">
        <v>12.4</v>
      </c>
      <c r="W316" s="21">
        <v>5.0999999999999997E-2</v>
      </c>
      <c r="X316" s="4">
        <v>0.2</v>
      </c>
    </row>
    <row r="317" spans="1:24" x14ac:dyDescent="0.35">
      <c r="A317" s="21">
        <v>21</v>
      </c>
      <c r="B317" s="21">
        <v>78</v>
      </c>
      <c r="C317" s="21">
        <v>24.2</v>
      </c>
      <c r="D317" s="21">
        <v>7.9</v>
      </c>
      <c r="E317" s="21">
        <v>0.42299999999999999</v>
      </c>
      <c r="F317" s="21">
        <v>2.5</v>
      </c>
      <c r="G317" s="21">
        <v>0.318</v>
      </c>
      <c r="H317" s="21">
        <v>5.4</v>
      </c>
      <c r="I317" s="21">
        <v>0.47099999999999997</v>
      </c>
      <c r="J317" s="21">
        <v>0.47299999999999998</v>
      </c>
      <c r="K317" s="21">
        <v>2.5</v>
      </c>
      <c r="L317" s="21">
        <v>0.76100000000000001</v>
      </c>
      <c r="M317" s="21">
        <v>2.9</v>
      </c>
      <c r="N317" s="21">
        <v>3.1</v>
      </c>
      <c r="O317" s="21">
        <v>1.1000000000000001</v>
      </c>
      <c r="P317" s="21">
        <v>0.6</v>
      </c>
      <c r="Q317" s="21">
        <v>1.8</v>
      </c>
      <c r="R317" s="21">
        <v>2.1</v>
      </c>
      <c r="S317" s="21">
        <v>9.4</v>
      </c>
      <c r="T317" s="21">
        <v>1</v>
      </c>
      <c r="U317" s="21">
        <v>-1.9</v>
      </c>
      <c r="V317" s="21">
        <v>11.6</v>
      </c>
      <c r="W317" s="21">
        <v>6.0999999999999999E-2</v>
      </c>
      <c r="X317" s="4">
        <v>0.7</v>
      </c>
    </row>
    <row r="318" spans="1:24" x14ac:dyDescent="0.35">
      <c r="A318" s="21">
        <v>23</v>
      </c>
      <c r="B318" s="21">
        <v>57</v>
      </c>
      <c r="C318" s="21">
        <v>24.9</v>
      </c>
      <c r="D318" s="21">
        <v>9.8000000000000007</v>
      </c>
      <c r="E318" s="21">
        <v>0.48699999999999999</v>
      </c>
      <c r="F318" s="21">
        <v>3.2</v>
      </c>
      <c r="G318" s="21">
        <v>0.34200000000000003</v>
      </c>
      <c r="H318" s="21">
        <v>6.6</v>
      </c>
      <c r="I318" s="21">
        <v>0.55700000000000005</v>
      </c>
      <c r="J318" s="21">
        <v>0.54300000000000004</v>
      </c>
      <c r="K318" s="21">
        <v>1.8</v>
      </c>
      <c r="L318" s="21">
        <v>0.76</v>
      </c>
      <c r="M318" s="21">
        <v>6.4</v>
      </c>
      <c r="N318" s="21">
        <v>1.5</v>
      </c>
      <c r="O318" s="21">
        <v>1.7</v>
      </c>
      <c r="P318" s="21">
        <v>0.9</v>
      </c>
      <c r="Q318" s="21">
        <v>1.1000000000000001</v>
      </c>
      <c r="R318" s="21">
        <v>2.4</v>
      </c>
      <c r="S318" s="21">
        <v>12</v>
      </c>
      <c r="T318" s="21">
        <v>2</v>
      </c>
      <c r="U318" s="21">
        <v>3.6</v>
      </c>
      <c r="V318" s="21">
        <v>18.5</v>
      </c>
      <c r="W318" s="21">
        <v>0.16900000000000001</v>
      </c>
      <c r="X318" s="4">
        <v>0.8</v>
      </c>
    </row>
    <row r="319" spans="1:24" x14ac:dyDescent="0.35">
      <c r="A319" s="21">
        <v>24</v>
      </c>
      <c r="B319" s="21">
        <v>74</v>
      </c>
      <c r="C319" s="21">
        <v>27.9</v>
      </c>
      <c r="D319" s="21">
        <v>9.1999999999999993</v>
      </c>
      <c r="E319" s="21">
        <v>0.56699999999999995</v>
      </c>
      <c r="F319" s="21">
        <v>2</v>
      </c>
      <c r="G319" s="21">
        <v>0.32400000000000001</v>
      </c>
      <c r="H319" s="21">
        <v>7.2</v>
      </c>
      <c r="I319" s="21">
        <v>0.63400000000000001</v>
      </c>
      <c r="J319" s="21">
        <v>0.60199999999999998</v>
      </c>
      <c r="K319" s="21">
        <v>2.9</v>
      </c>
      <c r="L319" s="21">
        <v>0.75900000000000001</v>
      </c>
      <c r="M319" s="21">
        <v>8.9</v>
      </c>
      <c r="N319" s="21">
        <v>2.2999999999999998</v>
      </c>
      <c r="O319" s="21">
        <v>0.9</v>
      </c>
      <c r="P319" s="21">
        <v>0.9</v>
      </c>
      <c r="Q319" s="21">
        <v>1.2</v>
      </c>
      <c r="R319" s="21">
        <v>2.6</v>
      </c>
      <c r="S319" s="21">
        <v>13.4</v>
      </c>
      <c r="T319" s="21">
        <v>4</v>
      </c>
      <c r="U319" s="21">
        <v>1.3</v>
      </c>
      <c r="V319" s="21">
        <v>19</v>
      </c>
      <c r="W319" s="21">
        <v>0.16800000000000001</v>
      </c>
      <c r="X319" s="4">
        <v>-0.9</v>
      </c>
    </row>
    <row r="320" spans="1:24" x14ac:dyDescent="0.35">
      <c r="A320" s="21">
        <v>23</v>
      </c>
      <c r="B320" s="21">
        <v>72</v>
      </c>
      <c r="C320" s="21">
        <v>19.899999999999999</v>
      </c>
      <c r="D320" s="21">
        <v>4.4000000000000004</v>
      </c>
      <c r="E320" s="21">
        <v>0.55900000000000005</v>
      </c>
      <c r="F320" s="21">
        <v>0.7</v>
      </c>
      <c r="G320" s="21">
        <v>0.32100000000000001</v>
      </c>
      <c r="H320" s="21">
        <v>3.6</v>
      </c>
      <c r="I320" s="21">
        <v>0.60699999999999998</v>
      </c>
      <c r="J320" s="21">
        <v>0.58599999999999997</v>
      </c>
      <c r="K320" s="21">
        <v>1.2</v>
      </c>
      <c r="L320" s="21">
        <v>0.75900000000000001</v>
      </c>
      <c r="M320" s="21">
        <v>5.5</v>
      </c>
      <c r="N320" s="21">
        <v>1.7</v>
      </c>
      <c r="O320" s="21">
        <v>0.4</v>
      </c>
      <c r="P320" s="21">
        <v>1.4</v>
      </c>
      <c r="Q320" s="21">
        <v>0.9</v>
      </c>
      <c r="R320" s="21">
        <v>2.5</v>
      </c>
      <c r="S320" s="21">
        <v>6</v>
      </c>
      <c r="T320" s="21">
        <v>4</v>
      </c>
      <c r="U320" s="21">
        <v>0.6</v>
      </c>
      <c r="V320" s="21">
        <v>14.6</v>
      </c>
      <c r="W320" s="21">
        <v>0.14399999999999999</v>
      </c>
      <c r="X320" s="4">
        <v>-0.4</v>
      </c>
    </row>
    <row r="321" spans="1:24" x14ac:dyDescent="0.35">
      <c r="A321" s="21">
        <v>21</v>
      </c>
      <c r="B321" s="21">
        <v>64</v>
      </c>
      <c r="C321" s="21">
        <v>26.8</v>
      </c>
      <c r="D321" s="21">
        <v>9.8000000000000007</v>
      </c>
      <c r="E321" s="21">
        <v>0.44500000000000001</v>
      </c>
      <c r="F321" s="21">
        <v>4.8</v>
      </c>
      <c r="G321" s="21">
        <v>0.372</v>
      </c>
      <c r="H321" s="21">
        <v>5</v>
      </c>
      <c r="I321" s="21">
        <v>0.51600000000000001</v>
      </c>
      <c r="J321" s="21">
        <v>0.53700000000000003</v>
      </c>
      <c r="K321" s="21">
        <v>1.5</v>
      </c>
      <c r="L321" s="21">
        <v>0.75800000000000001</v>
      </c>
      <c r="M321" s="21">
        <v>5.0999999999999996</v>
      </c>
      <c r="N321" s="21">
        <v>3.4</v>
      </c>
      <c r="O321" s="21">
        <v>1.1000000000000001</v>
      </c>
      <c r="P321" s="21">
        <v>0.2</v>
      </c>
      <c r="Q321" s="21">
        <v>1.2</v>
      </c>
      <c r="R321" s="21">
        <v>1.5</v>
      </c>
      <c r="S321" s="21">
        <v>11.7</v>
      </c>
      <c r="T321" s="21">
        <v>1</v>
      </c>
      <c r="U321" s="21">
        <v>0.7</v>
      </c>
      <c r="V321" s="21">
        <v>14.4</v>
      </c>
      <c r="W321" s="21">
        <v>0.11700000000000001</v>
      </c>
      <c r="X321" s="4">
        <v>-0.2</v>
      </c>
    </row>
    <row r="322" spans="1:24" x14ac:dyDescent="0.35">
      <c r="A322" s="21">
        <v>24</v>
      </c>
      <c r="B322" s="21">
        <v>75</v>
      </c>
      <c r="C322" s="21">
        <v>26.8</v>
      </c>
      <c r="D322" s="21">
        <v>11</v>
      </c>
      <c r="E322" s="21">
        <v>0.46700000000000003</v>
      </c>
      <c r="F322" s="21">
        <v>5.6</v>
      </c>
      <c r="G322" s="21">
        <v>0.38500000000000001</v>
      </c>
      <c r="H322" s="21">
        <v>5.4</v>
      </c>
      <c r="I322" s="21">
        <v>0.55200000000000005</v>
      </c>
      <c r="J322" s="21">
        <v>0.56499999999999995</v>
      </c>
      <c r="K322" s="21">
        <v>2.9</v>
      </c>
      <c r="L322" s="21">
        <v>0.75700000000000001</v>
      </c>
      <c r="M322" s="21">
        <v>4.3</v>
      </c>
      <c r="N322" s="21">
        <v>3</v>
      </c>
      <c r="O322" s="21">
        <v>1</v>
      </c>
      <c r="P322" s="21">
        <v>0.3</v>
      </c>
      <c r="Q322" s="21">
        <v>1.9</v>
      </c>
      <c r="R322" s="21">
        <v>1.8</v>
      </c>
      <c r="S322" s="21">
        <v>14.6</v>
      </c>
      <c r="T322" s="21">
        <v>3</v>
      </c>
      <c r="U322" s="21">
        <v>0.4</v>
      </c>
      <c r="V322" s="21">
        <v>15.9</v>
      </c>
      <c r="W322" s="21">
        <v>8.1000000000000003E-2</v>
      </c>
      <c r="X322" s="4">
        <v>-0.4</v>
      </c>
    </row>
    <row r="323" spans="1:24" x14ac:dyDescent="0.35">
      <c r="A323" s="21">
        <v>23</v>
      </c>
      <c r="B323" s="21">
        <v>50</v>
      </c>
      <c r="C323" s="21">
        <v>18.2</v>
      </c>
      <c r="D323" s="21">
        <v>6.3</v>
      </c>
      <c r="E323" s="21">
        <v>0.52100000000000002</v>
      </c>
      <c r="F323" s="21">
        <v>0.9</v>
      </c>
      <c r="G323" s="21">
        <v>0.24399999999999999</v>
      </c>
      <c r="H323" s="21">
        <v>5.4</v>
      </c>
      <c r="I323" s="21">
        <v>0.56599999999999995</v>
      </c>
      <c r="J323" s="21">
        <v>0.53800000000000003</v>
      </c>
      <c r="K323" s="21">
        <v>1.5</v>
      </c>
      <c r="L323" s="21">
        <v>0.75700000000000001</v>
      </c>
      <c r="M323" s="21">
        <v>6.6</v>
      </c>
      <c r="N323" s="21">
        <v>1.8</v>
      </c>
      <c r="O323" s="21">
        <v>0.8</v>
      </c>
      <c r="P323" s="21">
        <v>0.8</v>
      </c>
      <c r="Q323" s="21">
        <v>1.3</v>
      </c>
      <c r="R323" s="21">
        <v>2.2999999999999998</v>
      </c>
      <c r="S323" s="21">
        <v>7.9</v>
      </c>
      <c r="T323" s="21">
        <v>3</v>
      </c>
      <c r="U323" s="21">
        <v>0.9</v>
      </c>
      <c r="V323" s="21">
        <v>19.7</v>
      </c>
      <c r="W323" s="21">
        <v>0.14099999999999999</v>
      </c>
      <c r="X323" s="4">
        <v>1.4</v>
      </c>
    </row>
    <row r="324" spans="1:24" x14ac:dyDescent="0.35">
      <c r="A324" s="21">
        <v>23</v>
      </c>
      <c r="B324" s="21">
        <v>65</v>
      </c>
      <c r="C324" s="21">
        <v>32.799999999999997</v>
      </c>
      <c r="D324" s="21">
        <v>16.399999999999999</v>
      </c>
      <c r="E324" s="21">
        <v>0.44600000000000001</v>
      </c>
      <c r="F324" s="21">
        <v>4.3</v>
      </c>
      <c r="G324" s="21">
        <v>0.27100000000000002</v>
      </c>
      <c r="H324" s="21">
        <v>12</v>
      </c>
      <c r="I324" s="21">
        <v>0.50800000000000001</v>
      </c>
      <c r="J324" s="21">
        <v>0.48199999999999998</v>
      </c>
      <c r="K324" s="21">
        <v>4.5999999999999996</v>
      </c>
      <c r="L324" s="21">
        <v>0.755</v>
      </c>
      <c r="M324" s="21">
        <v>7.7</v>
      </c>
      <c r="N324" s="21">
        <v>5.8</v>
      </c>
      <c r="O324" s="21">
        <v>1.4</v>
      </c>
      <c r="P324" s="21">
        <v>1</v>
      </c>
      <c r="Q324" s="21">
        <v>2.8</v>
      </c>
      <c r="R324" s="21">
        <v>1.7</v>
      </c>
      <c r="S324" s="21">
        <v>19.3</v>
      </c>
      <c r="T324" s="21">
        <v>3</v>
      </c>
      <c r="U324" s="21">
        <v>2.4</v>
      </c>
      <c r="V324" s="21">
        <v>17.8</v>
      </c>
      <c r="W324" s="21">
        <v>7.8E-2</v>
      </c>
      <c r="X324" s="4">
        <v>-0.7</v>
      </c>
    </row>
    <row r="325" spans="1:24" x14ac:dyDescent="0.35">
      <c r="A325" s="21">
        <v>25</v>
      </c>
      <c r="B325" s="21">
        <v>62</v>
      </c>
      <c r="C325" s="21">
        <v>13.9</v>
      </c>
      <c r="D325" s="21">
        <v>3.3</v>
      </c>
      <c r="E325" s="21">
        <v>0.65</v>
      </c>
      <c r="F325" s="21">
        <v>0</v>
      </c>
      <c r="G325" s="21">
        <v>0</v>
      </c>
      <c r="H325" s="21">
        <v>3.2</v>
      </c>
      <c r="I325" s="21">
        <v>0.66</v>
      </c>
      <c r="J325" s="21">
        <v>0.65</v>
      </c>
      <c r="K325" s="21">
        <v>1</v>
      </c>
      <c r="L325" s="21">
        <v>0.754</v>
      </c>
      <c r="M325" s="21">
        <v>3.8</v>
      </c>
      <c r="N325" s="21">
        <v>0.7</v>
      </c>
      <c r="O325" s="21">
        <v>0.3</v>
      </c>
      <c r="P325" s="21">
        <v>0.7</v>
      </c>
      <c r="Q325" s="21">
        <v>0.6</v>
      </c>
      <c r="R325" s="21">
        <v>1.7</v>
      </c>
      <c r="S325" s="21">
        <v>5</v>
      </c>
      <c r="T325" s="21">
        <v>3</v>
      </c>
      <c r="U325" s="21">
        <v>-0.7</v>
      </c>
      <c r="V325" s="21">
        <v>16.3</v>
      </c>
      <c r="W325" s="21">
        <v>0.17899999999999999</v>
      </c>
      <c r="X325" s="4">
        <v>0.5</v>
      </c>
    </row>
    <row r="326" spans="1:24" x14ac:dyDescent="0.35">
      <c r="A326" s="21">
        <v>28</v>
      </c>
      <c r="B326" s="21">
        <v>70</v>
      </c>
      <c r="C326" s="21">
        <v>34.700000000000003</v>
      </c>
      <c r="D326" s="21">
        <v>12.8</v>
      </c>
      <c r="E326" s="21">
        <v>0.59</v>
      </c>
      <c r="F326" s="21">
        <v>2.2000000000000002</v>
      </c>
      <c r="G326" s="21">
        <v>0.41699999999999998</v>
      </c>
      <c r="H326" s="21">
        <v>10.5</v>
      </c>
      <c r="I326" s="21">
        <v>0.627</v>
      </c>
      <c r="J326" s="21">
        <v>0.627</v>
      </c>
      <c r="K326" s="21">
        <v>4.0999999999999996</v>
      </c>
      <c r="L326" s="21">
        <v>0.754</v>
      </c>
      <c r="M326" s="21">
        <v>13.9</v>
      </c>
      <c r="N326" s="21">
        <v>6</v>
      </c>
      <c r="O326" s="21">
        <v>0.7</v>
      </c>
      <c r="P326" s="21">
        <v>0.4</v>
      </c>
      <c r="Q326" s="21">
        <v>2.9</v>
      </c>
      <c r="R326" s="21">
        <v>3.3</v>
      </c>
      <c r="S326" s="21">
        <v>19.100000000000001</v>
      </c>
      <c r="T326" s="21">
        <v>8</v>
      </c>
      <c r="U326" s="21">
        <v>5.2</v>
      </c>
      <c r="V326" s="21">
        <v>22.9</v>
      </c>
      <c r="W326" s="21">
        <v>0.19900000000000001</v>
      </c>
      <c r="X326" s="4">
        <v>-0.7</v>
      </c>
    </row>
    <row r="327" spans="1:24" x14ac:dyDescent="0.35">
      <c r="A327" s="21">
        <v>22</v>
      </c>
      <c r="B327" s="21">
        <v>32</v>
      </c>
      <c r="C327" s="21">
        <v>27.4</v>
      </c>
      <c r="D327" s="21">
        <v>10.7</v>
      </c>
      <c r="E327" s="21">
        <v>0.49</v>
      </c>
      <c r="F327" s="21">
        <v>3.6</v>
      </c>
      <c r="G327" s="21">
        <v>0.379</v>
      </c>
      <c r="H327" s="21">
        <v>7</v>
      </c>
      <c r="I327" s="21">
        <v>0.54700000000000004</v>
      </c>
      <c r="J327" s="21">
        <v>0.55400000000000005</v>
      </c>
      <c r="K327" s="21">
        <v>4.2</v>
      </c>
      <c r="L327" s="21">
        <v>0.754</v>
      </c>
      <c r="M327" s="21">
        <v>8</v>
      </c>
      <c r="N327" s="21">
        <v>2</v>
      </c>
      <c r="O327" s="21">
        <v>0.7</v>
      </c>
      <c r="P327" s="21">
        <v>2.2000000000000002</v>
      </c>
      <c r="Q327" s="21">
        <v>1.8</v>
      </c>
      <c r="R327" s="21">
        <v>2.2999999999999998</v>
      </c>
      <c r="S327" s="21">
        <v>15</v>
      </c>
      <c r="T327" s="21">
        <v>2</v>
      </c>
      <c r="U327" s="21">
        <v>2.4</v>
      </c>
      <c r="V327" s="21">
        <v>19.2</v>
      </c>
      <c r="W327" s="21">
        <v>0.17299999999999999</v>
      </c>
      <c r="X327" s="4">
        <v>2.2000000000000002</v>
      </c>
    </row>
    <row r="328" spans="1:24" x14ac:dyDescent="0.35">
      <c r="A328" s="21">
        <v>19</v>
      </c>
      <c r="B328" s="21">
        <v>81</v>
      </c>
      <c r="C328" s="21">
        <v>15.6</v>
      </c>
      <c r="D328" s="21">
        <v>5.0999999999999996</v>
      </c>
      <c r="E328" s="21">
        <v>0.47399999999999998</v>
      </c>
      <c r="F328" s="21">
        <v>1.9</v>
      </c>
      <c r="G328" s="21">
        <v>0.23799999999999999</v>
      </c>
      <c r="H328" s="21">
        <v>3.3</v>
      </c>
      <c r="I328" s="21">
        <v>0.60799999999999998</v>
      </c>
      <c r="J328" s="21">
        <v>0.51700000000000002</v>
      </c>
      <c r="K328" s="21">
        <v>1.5</v>
      </c>
      <c r="L328" s="21">
        <v>0.754</v>
      </c>
      <c r="M328" s="21">
        <v>2.7</v>
      </c>
      <c r="N328" s="21">
        <v>1</v>
      </c>
      <c r="O328" s="21">
        <v>0.6</v>
      </c>
      <c r="P328" s="21">
        <v>0.2</v>
      </c>
      <c r="Q328" s="21">
        <v>0.9</v>
      </c>
      <c r="R328" s="21">
        <v>1.7</v>
      </c>
      <c r="S328" s="21">
        <v>6.4</v>
      </c>
      <c r="T328" s="21">
        <v>0</v>
      </c>
      <c r="U328" s="21">
        <v>-3</v>
      </c>
      <c r="V328" s="21">
        <v>11.1</v>
      </c>
      <c r="W328" s="21">
        <v>6.7000000000000004E-2</v>
      </c>
      <c r="X328" s="4">
        <v>0.9</v>
      </c>
    </row>
    <row r="329" spans="1:24" x14ac:dyDescent="0.35">
      <c r="A329" s="21">
        <v>23</v>
      </c>
      <c r="B329" s="21">
        <v>66</v>
      </c>
      <c r="C329" s="21">
        <v>20.7</v>
      </c>
      <c r="D329" s="21">
        <v>7</v>
      </c>
      <c r="E329" s="21">
        <v>0.46100000000000002</v>
      </c>
      <c r="F329" s="21">
        <v>1.8</v>
      </c>
      <c r="G329" s="21">
        <v>0.311</v>
      </c>
      <c r="H329" s="21">
        <v>5.2</v>
      </c>
      <c r="I329" s="21">
        <v>0.51300000000000001</v>
      </c>
      <c r="J329" s="21">
        <v>0.501</v>
      </c>
      <c r="K329" s="21">
        <v>2.2000000000000002</v>
      </c>
      <c r="L329" s="21">
        <v>0.754</v>
      </c>
      <c r="M329" s="21">
        <v>4.4000000000000004</v>
      </c>
      <c r="N329" s="21">
        <v>2.5</v>
      </c>
      <c r="O329" s="21">
        <v>0.9</v>
      </c>
      <c r="P329" s="21">
        <v>0.2</v>
      </c>
      <c r="Q329" s="21">
        <v>1.5</v>
      </c>
      <c r="R329" s="21">
        <v>1.2</v>
      </c>
      <c r="S329" s="21">
        <v>8.6</v>
      </c>
      <c r="T329" s="21">
        <v>1</v>
      </c>
      <c r="U329" s="21">
        <v>-0.9</v>
      </c>
      <c r="V329" s="21">
        <v>14.3</v>
      </c>
      <c r="W329" s="21">
        <v>8.1000000000000003E-2</v>
      </c>
      <c r="X329" s="4">
        <v>-0.2</v>
      </c>
    </row>
    <row r="330" spans="1:24" x14ac:dyDescent="0.35">
      <c r="A330" s="21">
        <v>23</v>
      </c>
      <c r="B330" s="21">
        <v>28</v>
      </c>
      <c r="C330" s="21">
        <v>23.8</v>
      </c>
      <c r="D330" s="21">
        <v>7.9</v>
      </c>
      <c r="E330" s="21">
        <v>0.42699999999999999</v>
      </c>
      <c r="F330" s="21">
        <v>2.8</v>
      </c>
      <c r="G330" s="21">
        <v>0.312</v>
      </c>
      <c r="H330" s="21">
        <v>5.0999999999999996</v>
      </c>
      <c r="I330" s="21">
        <v>0.49</v>
      </c>
      <c r="J330" s="21">
        <v>0.48199999999999998</v>
      </c>
      <c r="K330" s="21">
        <v>2.6</v>
      </c>
      <c r="L330" s="21">
        <v>0.753</v>
      </c>
      <c r="M330" s="21">
        <v>4.3</v>
      </c>
      <c r="N330" s="21">
        <v>2</v>
      </c>
      <c r="O330" s="21">
        <v>0.9</v>
      </c>
      <c r="P330" s="21">
        <v>0.4</v>
      </c>
      <c r="Q330" s="21">
        <v>1.4</v>
      </c>
      <c r="R330" s="21">
        <v>2</v>
      </c>
      <c r="S330" s="21">
        <v>9.5</v>
      </c>
      <c r="T330" s="21">
        <v>1</v>
      </c>
      <c r="U330" s="21">
        <v>-3.2</v>
      </c>
      <c r="V330" s="21">
        <v>11.6</v>
      </c>
      <c r="W330" s="21">
        <v>4.3999999999999997E-2</v>
      </c>
      <c r="X330" s="4">
        <v>1.2</v>
      </c>
    </row>
    <row r="331" spans="1:24" x14ac:dyDescent="0.35">
      <c r="A331" s="21">
        <v>21</v>
      </c>
      <c r="B331" s="21">
        <v>68</v>
      </c>
      <c r="C331" s="21">
        <v>26.5</v>
      </c>
      <c r="D331" s="21">
        <v>8</v>
      </c>
      <c r="E331" s="21">
        <v>0.372</v>
      </c>
      <c r="F331" s="21">
        <v>5.2</v>
      </c>
      <c r="G331" s="21">
        <v>0.32200000000000001</v>
      </c>
      <c r="H331" s="21">
        <v>2.8</v>
      </c>
      <c r="I331" s="21">
        <v>0.46400000000000002</v>
      </c>
      <c r="J331" s="21">
        <v>0.47599999999999998</v>
      </c>
      <c r="K331" s="21">
        <v>1.4</v>
      </c>
      <c r="L331" s="21">
        <v>0.753</v>
      </c>
      <c r="M331" s="21">
        <v>4.2</v>
      </c>
      <c r="N331" s="21">
        <v>2.5</v>
      </c>
      <c r="O331" s="21">
        <v>1</v>
      </c>
      <c r="P331" s="21">
        <v>0.7</v>
      </c>
      <c r="Q331" s="21">
        <v>1.4</v>
      </c>
      <c r="R331" s="21">
        <v>3</v>
      </c>
      <c r="S331" s="21">
        <v>8.6999999999999993</v>
      </c>
      <c r="T331" s="21">
        <v>0</v>
      </c>
      <c r="U331" s="21">
        <v>-4.0999999999999996</v>
      </c>
      <c r="V331" s="21">
        <v>8.8000000000000007</v>
      </c>
      <c r="W331" s="21">
        <v>3.0000000000000001E-3</v>
      </c>
      <c r="X331" s="4">
        <v>0</v>
      </c>
    </row>
    <row r="332" spans="1:24" x14ac:dyDescent="0.35">
      <c r="A332" s="21">
        <v>29</v>
      </c>
      <c r="B332" s="21">
        <v>60</v>
      </c>
      <c r="C332" s="21">
        <v>34.6</v>
      </c>
      <c r="D332" s="21">
        <v>12.4</v>
      </c>
      <c r="E332" s="21">
        <v>0.47</v>
      </c>
      <c r="F332" s="21">
        <v>4</v>
      </c>
      <c r="G332" s="21">
        <v>0.29299999999999998</v>
      </c>
      <c r="H332" s="21">
        <v>8.3000000000000007</v>
      </c>
      <c r="I332" s="21">
        <v>0.55500000000000005</v>
      </c>
      <c r="J332" s="21">
        <v>0.51800000000000002</v>
      </c>
      <c r="K332" s="21">
        <v>3.1</v>
      </c>
      <c r="L332" s="21">
        <v>0.751</v>
      </c>
      <c r="M332" s="21">
        <v>6.1</v>
      </c>
      <c r="N332" s="21">
        <v>1.8</v>
      </c>
      <c r="O332" s="21">
        <v>1.5</v>
      </c>
      <c r="P332" s="21">
        <v>0.5</v>
      </c>
      <c r="Q332" s="21">
        <v>1.3</v>
      </c>
      <c r="R332" s="21">
        <v>3</v>
      </c>
      <c r="S332" s="21">
        <v>15.1</v>
      </c>
      <c r="T332" s="21">
        <v>9</v>
      </c>
      <c r="U332" s="21">
        <v>-2.2999999999999998</v>
      </c>
      <c r="V332" s="21">
        <v>13.5</v>
      </c>
      <c r="W332" s="21">
        <v>6.0999999999999999E-2</v>
      </c>
      <c r="X332" s="4">
        <v>0</v>
      </c>
    </row>
    <row r="333" spans="1:24" x14ac:dyDescent="0.35">
      <c r="A333" s="21">
        <v>27</v>
      </c>
      <c r="B333" s="21">
        <v>14</v>
      </c>
      <c r="C333" s="21">
        <v>19.100000000000001</v>
      </c>
      <c r="D333" s="21">
        <v>4.4000000000000004</v>
      </c>
      <c r="E333" s="21">
        <v>0.50800000000000001</v>
      </c>
      <c r="F333" s="21">
        <v>2.1</v>
      </c>
      <c r="G333" s="21">
        <v>0.53300000000000003</v>
      </c>
      <c r="H333" s="21">
        <v>2.2000000000000002</v>
      </c>
      <c r="I333" s="21">
        <v>0.48399999999999999</v>
      </c>
      <c r="J333" s="21">
        <v>0.63900000000000001</v>
      </c>
      <c r="K333" s="21">
        <v>0.9</v>
      </c>
      <c r="L333" s="21">
        <v>0.75</v>
      </c>
      <c r="M333" s="21">
        <v>2.6</v>
      </c>
      <c r="N333" s="21">
        <v>1.6</v>
      </c>
      <c r="O333" s="21">
        <v>1.5</v>
      </c>
      <c r="P333" s="21">
        <v>0.4</v>
      </c>
      <c r="Q333" s="21">
        <v>1.2</v>
      </c>
      <c r="R333" s="21">
        <v>2.1</v>
      </c>
      <c r="S333" s="21">
        <v>6.2</v>
      </c>
      <c r="T333" s="21">
        <v>2</v>
      </c>
      <c r="U333" s="21">
        <v>2.1</v>
      </c>
      <c r="V333" s="21">
        <v>13.3</v>
      </c>
      <c r="W333" s="21">
        <v>0.11799999999999999</v>
      </c>
      <c r="X333" s="4">
        <v>0.7</v>
      </c>
    </row>
    <row r="334" spans="1:24" x14ac:dyDescent="0.35">
      <c r="A334" s="21">
        <v>22</v>
      </c>
      <c r="B334" s="21">
        <v>19</v>
      </c>
      <c r="C334" s="21">
        <v>3.5</v>
      </c>
      <c r="D334" s="21">
        <v>1.3</v>
      </c>
      <c r="E334" s="21">
        <v>0.58299999999999996</v>
      </c>
      <c r="F334" s="21">
        <v>0.4</v>
      </c>
      <c r="G334" s="21">
        <v>0.25</v>
      </c>
      <c r="H334" s="21">
        <v>0.8</v>
      </c>
      <c r="I334" s="21">
        <v>0.75</v>
      </c>
      <c r="J334" s="21">
        <v>0.625</v>
      </c>
      <c r="K334" s="21">
        <v>0.2</v>
      </c>
      <c r="L334" s="21">
        <v>0.75</v>
      </c>
      <c r="M334" s="21">
        <v>1.2</v>
      </c>
      <c r="N334" s="21">
        <v>0.2</v>
      </c>
      <c r="O334" s="21">
        <v>0</v>
      </c>
      <c r="P334" s="21">
        <v>0.2</v>
      </c>
      <c r="Q334" s="21">
        <v>0.1</v>
      </c>
      <c r="R334" s="21">
        <v>0.6</v>
      </c>
      <c r="S334" s="21">
        <v>1.7</v>
      </c>
      <c r="T334" s="21">
        <v>0</v>
      </c>
      <c r="U334" s="21">
        <v>-1.3</v>
      </c>
      <c r="V334" s="21">
        <v>18.3</v>
      </c>
      <c r="W334" s="21">
        <v>0.16800000000000001</v>
      </c>
      <c r="X334" s="4">
        <v>-0.3</v>
      </c>
    </row>
    <row r="335" spans="1:24" x14ac:dyDescent="0.35">
      <c r="A335" s="21">
        <v>25</v>
      </c>
      <c r="B335" s="21">
        <v>15</v>
      </c>
      <c r="C335" s="21">
        <v>14.4</v>
      </c>
      <c r="D335" s="21">
        <v>3.6</v>
      </c>
      <c r="E335" s="21">
        <v>0.48099999999999998</v>
      </c>
      <c r="F335" s="21">
        <v>2.7</v>
      </c>
      <c r="G335" s="21">
        <v>0.36599999999999999</v>
      </c>
      <c r="H335" s="21">
        <v>0.9</v>
      </c>
      <c r="I335" s="21">
        <v>0.84599999999999997</v>
      </c>
      <c r="J335" s="21">
        <v>0.62</v>
      </c>
      <c r="K335" s="21">
        <v>0.8</v>
      </c>
      <c r="L335" s="21">
        <v>0.75</v>
      </c>
      <c r="M335" s="21">
        <v>3.1</v>
      </c>
      <c r="N335" s="21">
        <v>0.3</v>
      </c>
      <c r="O335" s="21">
        <v>0.7</v>
      </c>
      <c r="P335" s="21">
        <v>0.7</v>
      </c>
      <c r="Q335" s="21">
        <v>0.4</v>
      </c>
      <c r="R335" s="21">
        <v>1.4</v>
      </c>
      <c r="S335" s="21">
        <v>5.0999999999999996</v>
      </c>
      <c r="T335" s="21">
        <v>0</v>
      </c>
      <c r="U335" s="21">
        <v>-1.2</v>
      </c>
      <c r="V335" s="21">
        <v>14</v>
      </c>
      <c r="W335" s="21">
        <v>0.109</v>
      </c>
      <c r="X335" s="4">
        <v>-0.3</v>
      </c>
    </row>
    <row r="336" spans="1:24" x14ac:dyDescent="0.35">
      <c r="A336" s="21">
        <v>20</v>
      </c>
      <c r="B336" s="21">
        <v>23</v>
      </c>
      <c r="C336" s="21">
        <v>5.3</v>
      </c>
      <c r="D336" s="21">
        <v>2.2000000000000002</v>
      </c>
      <c r="E336" s="21">
        <v>0.48</v>
      </c>
      <c r="F336" s="21">
        <v>1.3</v>
      </c>
      <c r="G336" s="21">
        <v>0.433</v>
      </c>
      <c r="H336" s="21">
        <v>0.9</v>
      </c>
      <c r="I336" s="21">
        <v>0.55000000000000004</v>
      </c>
      <c r="J336" s="21">
        <v>0.61</v>
      </c>
      <c r="K336" s="21">
        <v>0.3</v>
      </c>
      <c r="L336" s="21">
        <v>0.75</v>
      </c>
      <c r="M336" s="21">
        <v>1.1000000000000001</v>
      </c>
      <c r="N336" s="21">
        <v>0.2</v>
      </c>
      <c r="O336" s="21">
        <v>0.1</v>
      </c>
      <c r="P336" s="21">
        <v>0.2</v>
      </c>
      <c r="Q336" s="21">
        <v>0.3</v>
      </c>
      <c r="R336" s="21">
        <v>0.5</v>
      </c>
      <c r="S336" s="21">
        <v>2.9</v>
      </c>
      <c r="T336" s="21">
        <v>0</v>
      </c>
      <c r="U336" s="21">
        <v>-0.9</v>
      </c>
      <c r="V336" s="21">
        <v>15.2</v>
      </c>
      <c r="W336" s="21">
        <v>8.3000000000000004E-2</v>
      </c>
      <c r="X336" s="4">
        <v>-0.6</v>
      </c>
    </row>
    <row r="337" spans="1:24" x14ac:dyDescent="0.35">
      <c r="A337" s="21">
        <v>27</v>
      </c>
      <c r="B337" s="21">
        <v>17</v>
      </c>
      <c r="C337" s="21">
        <v>4.4000000000000004</v>
      </c>
      <c r="D337" s="21">
        <v>1.5</v>
      </c>
      <c r="E337" s="21">
        <v>0.46200000000000002</v>
      </c>
      <c r="F337" s="21">
        <v>0.9</v>
      </c>
      <c r="G337" s="21">
        <v>0.4</v>
      </c>
      <c r="H337" s="21">
        <v>0.6</v>
      </c>
      <c r="I337" s="21">
        <v>0.54500000000000004</v>
      </c>
      <c r="J337" s="21">
        <v>0.57699999999999996</v>
      </c>
      <c r="K337" s="21">
        <v>0.5</v>
      </c>
      <c r="L337" s="21">
        <v>0.75</v>
      </c>
      <c r="M337" s="21">
        <v>1.2</v>
      </c>
      <c r="N337" s="21">
        <v>0.5</v>
      </c>
      <c r="O337" s="21">
        <v>0</v>
      </c>
      <c r="P337" s="21">
        <v>0</v>
      </c>
      <c r="Q337" s="21">
        <v>0.1</v>
      </c>
      <c r="R337" s="21">
        <v>0.4</v>
      </c>
      <c r="S337" s="21">
        <v>2.1</v>
      </c>
      <c r="T337" s="21">
        <v>3</v>
      </c>
      <c r="U337" s="21">
        <v>1.2</v>
      </c>
      <c r="V337" s="21">
        <v>16.5</v>
      </c>
      <c r="W337" s="21">
        <v>0.17100000000000001</v>
      </c>
      <c r="X337" s="4">
        <v>0.8</v>
      </c>
    </row>
    <row r="338" spans="1:24" x14ac:dyDescent="0.35">
      <c r="A338" s="21">
        <v>36</v>
      </c>
      <c r="B338" s="21">
        <v>39</v>
      </c>
      <c r="C338" s="21">
        <v>19.7</v>
      </c>
      <c r="D338" s="21">
        <v>5.2</v>
      </c>
      <c r="E338" s="21">
        <v>0.42599999999999999</v>
      </c>
      <c r="F338" s="21">
        <v>3.5</v>
      </c>
      <c r="G338" s="21">
        <v>0.40899999999999997</v>
      </c>
      <c r="H338" s="21">
        <v>1.7</v>
      </c>
      <c r="I338" s="21">
        <v>0.46300000000000002</v>
      </c>
      <c r="J338" s="21">
        <v>0.56399999999999995</v>
      </c>
      <c r="K338" s="21">
        <v>1.2</v>
      </c>
      <c r="L338" s="21">
        <v>0.75</v>
      </c>
      <c r="M338" s="21">
        <v>1.2</v>
      </c>
      <c r="N338" s="21">
        <v>1.7</v>
      </c>
      <c r="O338" s="21">
        <v>0.7</v>
      </c>
      <c r="P338" s="21">
        <v>0.3</v>
      </c>
      <c r="Q338" s="21">
        <v>0.7</v>
      </c>
      <c r="R338" s="21">
        <v>0.8</v>
      </c>
      <c r="S338" s="21">
        <v>6.8</v>
      </c>
      <c r="T338" s="21">
        <v>16</v>
      </c>
      <c r="U338" s="21">
        <v>-1.6</v>
      </c>
      <c r="V338" s="21">
        <v>10.8</v>
      </c>
      <c r="W338" s="21">
        <v>5.2999999999999999E-2</v>
      </c>
      <c r="X338" s="4">
        <v>0</v>
      </c>
    </row>
    <row r="339" spans="1:24" x14ac:dyDescent="0.35">
      <c r="A339" s="21">
        <v>25</v>
      </c>
      <c r="B339" s="21">
        <v>14</v>
      </c>
      <c r="C339" s="21">
        <v>6</v>
      </c>
      <c r="D339" s="21">
        <v>2.6</v>
      </c>
      <c r="E339" s="21">
        <v>0.5</v>
      </c>
      <c r="F339" s="21">
        <v>1.1000000000000001</v>
      </c>
      <c r="G339" s="21">
        <v>0.26700000000000002</v>
      </c>
      <c r="H339" s="21">
        <v>1.5</v>
      </c>
      <c r="I339" s="21">
        <v>0.66700000000000004</v>
      </c>
      <c r="J339" s="21">
        <v>0.55600000000000005</v>
      </c>
      <c r="K339" s="21">
        <v>0.6</v>
      </c>
      <c r="L339" s="21">
        <v>0.75</v>
      </c>
      <c r="M339" s="21">
        <v>1.2</v>
      </c>
      <c r="N339" s="21">
        <v>0.4</v>
      </c>
      <c r="O339" s="21">
        <v>0.1</v>
      </c>
      <c r="P339" s="21">
        <v>0.3</v>
      </c>
      <c r="Q339" s="21">
        <v>0.3</v>
      </c>
      <c r="R339" s="21">
        <v>0.4</v>
      </c>
      <c r="S339" s="21">
        <v>3.3</v>
      </c>
      <c r="T339" s="21">
        <v>6</v>
      </c>
      <c r="U339" s="21">
        <v>-1.3</v>
      </c>
      <c r="V339" s="21">
        <v>17.100000000000001</v>
      </c>
      <c r="W339" s="21">
        <v>0.121</v>
      </c>
      <c r="X339" s="4">
        <v>0.3</v>
      </c>
    </row>
    <row r="340" spans="1:24" x14ac:dyDescent="0.35">
      <c r="A340" s="21">
        <v>25</v>
      </c>
      <c r="B340" s="21">
        <v>49</v>
      </c>
      <c r="C340" s="21">
        <v>13.6</v>
      </c>
      <c r="D340" s="21">
        <v>3.7</v>
      </c>
      <c r="E340" s="21">
        <v>0.42799999999999999</v>
      </c>
      <c r="F340" s="21">
        <v>2.1</v>
      </c>
      <c r="G340" s="21">
        <v>0.39600000000000002</v>
      </c>
      <c r="H340" s="21">
        <v>1.6</v>
      </c>
      <c r="I340" s="21">
        <v>0.46800000000000003</v>
      </c>
      <c r="J340" s="21">
        <v>0.53900000000000003</v>
      </c>
      <c r="K340" s="21">
        <v>0.2</v>
      </c>
      <c r="L340" s="21">
        <v>0.75</v>
      </c>
      <c r="M340" s="21">
        <v>1.4</v>
      </c>
      <c r="N340" s="21">
        <v>2.2000000000000002</v>
      </c>
      <c r="O340" s="21">
        <v>0.4</v>
      </c>
      <c r="P340" s="21">
        <v>0.1</v>
      </c>
      <c r="Q340" s="21">
        <v>0.5</v>
      </c>
      <c r="R340" s="21">
        <v>0.8</v>
      </c>
      <c r="S340" s="21">
        <v>4.0999999999999996</v>
      </c>
      <c r="T340" s="21">
        <v>1</v>
      </c>
      <c r="U340" s="21">
        <v>-1.5</v>
      </c>
      <c r="V340" s="21">
        <v>10.9</v>
      </c>
      <c r="W340" s="21">
        <v>7.8E-2</v>
      </c>
      <c r="X340" s="4">
        <v>0.8</v>
      </c>
    </row>
    <row r="341" spans="1:24" x14ac:dyDescent="0.35">
      <c r="A341" s="21">
        <v>26</v>
      </c>
      <c r="B341" s="21">
        <v>17</v>
      </c>
      <c r="C341" s="21">
        <v>8.6</v>
      </c>
      <c r="D341" s="21">
        <v>2.9</v>
      </c>
      <c r="E341" s="21">
        <v>0.53100000000000003</v>
      </c>
      <c r="F341" s="21">
        <v>0</v>
      </c>
      <c r="H341" s="21">
        <v>2.9</v>
      </c>
      <c r="I341" s="21">
        <v>0.53100000000000003</v>
      </c>
      <c r="J341" s="21">
        <v>0.53100000000000003</v>
      </c>
      <c r="K341" s="21">
        <v>0.5</v>
      </c>
      <c r="L341" s="21">
        <v>0.75</v>
      </c>
      <c r="M341" s="21">
        <v>3</v>
      </c>
      <c r="N341" s="21">
        <v>1.1000000000000001</v>
      </c>
      <c r="O341" s="21">
        <v>0.2</v>
      </c>
      <c r="P341" s="21">
        <v>0.5</v>
      </c>
      <c r="Q341" s="21">
        <v>0.8</v>
      </c>
      <c r="R341" s="21">
        <v>1.6</v>
      </c>
      <c r="S341" s="21">
        <v>3.4</v>
      </c>
      <c r="T341" s="21">
        <v>5</v>
      </c>
      <c r="U341" s="21">
        <v>-0.7</v>
      </c>
      <c r="V341" s="21">
        <v>15.3</v>
      </c>
      <c r="W341" s="21">
        <v>8.5000000000000006E-2</v>
      </c>
      <c r="X341" s="4">
        <v>1.2</v>
      </c>
    </row>
    <row r="342" spans="1:24" x14ac:dyDescent="0.35">
      <c r="A342" s="21">
        <v>20</v>
      </c>
      <c r="B342" s="21">
        <v>51</v>
      </c>
      <c r="C342" s="21">
        <v>16.2</v>
      </c>
      <c r="D342" s="21">
        <v>7.9</v>
      </c>
      <c r="E342" s="21">
        <v>0.44400000000000001</v>
      </c>
      <c r="F342" s="21">
        <v>3.6</v>
      </c>
      <c r="G342" s="21">
        <v>0.35499999999999998</v>
      </c>
      <c r="H342" s="21">
        <v>4.3</v>
      </c>
      <c r="I342" s="21">
        <v>0.51800000000000002</v>
      </c>
      <c r="J342" s="21">
        <v>0.52500000000000002</v>
      </c>
      <c r="K342" s="21">
        <v>1.4</v>
      </c>
      <c r="L342" s="21">
        <v>0.75</v>
      </c>
      <c r="M342" s="21">
        <v>3</v>
      </c>
      <c r="N342" s="21">
        <v>1</v>
      </c>
      <c r="O342" s="21">
        <v>0.6</v>
      </c>
      <c r="P342" s="21">
        <v>0.3</v>
      </c>
      <c r="Q342" s="21">
        <v>0.9</v>
      </c>
      <c r="R342" s="21">
        <v>0.9</v>
      </c>
      <c r="S342" s="21">
        <v>9.4</v>
      </c>
      <c r="T342" s="21">
        <v>1</v>
      </c>
      <c r="U342" s="21">
        <v>0.3</v>
      </c>
      <c r="V342" s="21">
        <v>15.5</v>
      </c>
      <c r="W342" s="21">
        <v>0.106</v>
      </c>
      <c r="X342" s="4">
        <v>0.7</v>
      </c>
    </row>
    <row r="343" spans="1:24" x14ac:dyDescent="0.35">
      <c r="A343" s="21">
        <v>24</v>
      </c>
      <c r="B343" s="21">
        <v>35</v>
      </c>
      <c r="C343" s="21">
        <v>4.5</v>
      </c>
      <c r="D343" s="21">
        <v>1.9</v>
      </c>
      <c r="E343" s="21">
        <v>0.41499999999999998</v>
      </c>
      <c r="F343" s="21">
        <v>0.8</v>
      </c>
      <c r="G343" s="21">
        <v>0.34499999999999997</v>
      </c>
      <c r="H343" s="21">
        <v>1</v>
      </c>
      <c r="I343" s="21">
        <v>0.47199999999999998</v>
      </c>
      <c r="J343" s="21">
        <v>0.49199999999999999</v>
      </c>
      <c r="K343" s="21">
        <v>0.6</v>
      </c>
      <c r="L343" s="21">
        <v>0.75</v>
      </c>
      <c r="M343" s="21">
        <v>1.3</v>
      </c>
      <c r="N343" s="21">
        <v>0.3</v>
      </c>
      <c r="O343" s="21">
        <v>0.1</v>
      </c>
      <c r="P343" s="21">
        <v>0</v>
      </c>
      <c r="Q343" s="21">
        <v>0.4</v>
      </c>
      <c r="R343" s="21">
        <v>0.4</v>
      </c>
      <c r="S343" s="21">
        <v>2.2999999999999998</v>
      </c>
      <c r="T343" s="21">
        <v>2</v>
      </c>
      <c r="U343" s="21">
        <v>-4.3</v>
      </c>
      <c r="V343" s="21">
        <v>12.3</v>
      </c>
      <c r="W343" s="21">
        <v>0.02</v>
      </c>
      <c r="X343" s="4">
        <v>0.7</v>
      </c>
    </row>
    <row r="344" spans="1:24" x14ac:dyDescent="0.35">
      <c r="A344" s="21">
        <v>24</v>
      </c>
      <c r="B344" s="21">
        <v>31</v>
      </c>
      <c r="C344" s="21">
        <v>12.4</v>
      </c>
      <c r="D344" s="21">
        <v>3.5</v>
      </c>
      <c r="E344" s="21">
        <v>0.35499999999999998</v>
      </c>
      <c r="F344" s="21">
        <v>2.6</v>
      </c>
      <c r="G344" s="21">
        <v>0.317</v>
      </c>
      <c r="H344" s="21">
        <v>0.9</v>
      </c>
      <c r="I344" s="21">
        <v>0.46400000000000002</v>
      </c>
      <c r="J344" s="21">
        <v>0.47299999999999998</v>
      </c>
      <c r="K344" s="21">
        <v>0.4</v>
      </c>
      <c r="L344" s="21">
        <v>0.75</v>
      </c>
      <c r="M344" s="21">
        <v>2.1</v>
      </c>
      <c r="N344" s="21">
        <v>1.1000000000000001</v>
      </c>
      <c r="O344" s="21">
        <v>0.5</v>
      </c>
      <c r="P344" s="21">
        <v>0.1</v>
      </c>
      <c r="Q344" s="21">
        <v>0.4</v>
      </c>
      <c r="R344" s="21">
        <v>0.7</v>
      </c>
      <c r="S344" s="21">
        <v>3.6</v>
      </c>
      <c r="T344" s="21">
        <v>0</v>
      </c>
      <c r="U344" s="21">
        <v>-1.7</v>
      </c>
      <c r="V344" s="21">
        <v>10.3</v>
      </c>
      <c r="W344" s="21">
        <v>8.8999999999999996E-2</v>
      </c>
      <c r="X344" s="4">
        <v>0.4</v>
      </c>
    </row>
    <row r="345" spans="1:24" x14ac:dyDescent="0.35">
      <c r="A345" s="21">
        <v>24</v>
      </c>
      <c r="B345" s="21">
        <v>51</v>
      </c>
      <c r="C345" s="21">
        <v>7.8</v>
      </c>
      <c r="D345" s="21">
        <v>2.4</v>
      </c>
      <c r="E345" s="21">
        <v>0.375</v>
      </c>
      <c r="F345" s="21">
        <v>1.5</v>
      </c>
      <c r="G345" s="21">
        <v>0.311</v>
      </c>
      <c r="H345" s="21">
        <v>0.9</v>
      </c>
      <c r="I345" s="21">
        <v>0.47799999999999998</v>
      </c>
      <c r="J345" s="21">
        <v>0.47099999999999997</v>
      </c>
      <c r="K345" s="21">
        <v>0.5</v>
      </c>
      <c r="L345" s="21">
        <v>0.75</v>
      </c>
      <c r="M345" s="21">
        <v>1.5</v>
      </c>
      <c r="N345" s="21">
        <v>0.4</v>
      </c>
      <c r="O345" s="21">
        <v>0.2</v>
      </c>
      <c r="P345" s="21">
        <v>0.1</v>
      </c>
      <c r="Q345" s="21">
        <v>0.3</v>
      </c>
      <c r="R345" s="21">
        <v>0.9</v>
      </c>
      <c r="S345" s="21">
        <v>2.6</v>
      </c>
      <c r="T345" s="21">
        <v>1</v>
      </c>
      <c r="U345" s="21">
        <v>-4.8</v>
      </c>
      <c r="V345" s="21">
        <v>9</v>
      </c>
      <c r="W345" s="21">
        <v>4.7E-2</v>
      </c>
      <c r="X345" s="4">
        <v>-1</v>
      </c>
    </row>
    <row r="346" spans="1:24" x14ac:dyDescent="0.35">
      <c r="A346" s="21">
        <v>26</v>
      </c>
      <c r="B346" s="21">
        <v>4</v>
      </c>
      <c r="C346" s="21">
        <v>19.8</v>
      </c>
      <c r="D346" s="21">
        <v>6.8</v>
      </c>
      <c r="E346" s="21">
        <v>0.40699999999999997</v>
      </c>
      <c r="F346" s="21">
        <v>2</v>
      </c>
      <c r="G346" s="21">
        <v>0.375</v>
      </c>
      <c r="H346" s="21">
        <v>4.8</v>
      </c>
      <c r="I346" s="21">
        <v>0.42099999999999999</v>
      </c>
      <c r="J346" s="21">
        <v>0.46300000000000002</v>
      </c>
      <c r="K346" s="21">
        <v>1</v>
      </c>
      <c r="L346" s="21">
        <v>0.75</v>
      </c>
      <c r="M346" s="21">
        <v>1.5</v>
      </c>
      <c r="N346" s="21">
        <v>3.3</v>
      </c>
      <c r="O346" s="21">
        <v>0.8</v>
      </c>
      <c r="P346" s="21">
        <v>0.5</v>
      </c>
      <c r="Q346" s="21">
        <v>1.5</v>
      </c>
      <c r="R346" s="21">
        <v>2.5</v>
      </c>
      <c r="S346" s="21">
        <v>7</v>
      </c>
      <c r="T346" s="21">
        <v>1</v>
      </c>
      <c r="U346" s="21">
        <v>-7.6</v>
      </c>
      <c r="V346" s="21">
        <v>8.6999999999999993</v>
      </c>
      <c r="W346" s="21">
        <v>-2E-3</v>
      </c>
      <c r="X346" s="4">
        <v>0.5</v>
      </c>
    </row>
    <row r="347" spans="1:24" x14ac:dyDescent="0.35">
      <c r="A347" s="21">
        <v>23</v>
      </c>
      <c r="B347" s="21">
        <v>8</v>
      </c>
      <c r="C347" s="21">
        <v>3.8</v>
      </c>
      <c r="D347" s="21">
        <v>0.9</v>
      </c>
      <c r="E347" s="21">
        <v>0.28599999999999998</v>
      </c>
      <c r="F347" s="21">
        <v>0.9</v>
      </c>
      <c r="G347" s="21">
        <v>0.28599999999999998</v>
      </c>
      <c r="H347" s="21">
        <v>0</v>
      </c>
      <c r="J347" s="21">
        <v>0.42899999999999999</v>
      </c>
      <c r="K347" s="21">
        <v>0.5</v>
      </c>
      <c r="L347" s="21">
        <v>0.75</v>
      </c>
      <c r="M347" s="21">
        <v>0.5</v>
      </c>
      <c r="N347" s="21">
        <v>0</v>
      </c>
      <c r="O347" s="21">
        <v>0</v>
      </c>
      <c r="P347" s="21">
        <v>0</v>
      </c>
      <c r="Q347" s="21">
        <v>0.5</v>
      </c>
      <c r="R347" s="21">
        <v>0</v>
      </c>
      <c r="S347" s="21">
        <v>1.1000000000000001</v>
      </c>
      <c r="T347" s="21">
        <v>0</v>
      </c>
      <c r="U347" s="21">
        <v>-12.5</v>
      </c>
      <c r="V347" s="21">
        <v>-0.1</v>
      </c>
      <c r="W347" s="21">
        <v>-0.17799999999999999</v>
      </c>
      <c r="X347" s="4">
        <v>0</v>
      </c>
    </row>
    <row r="348" spans="1:24" x14ac:dyDescent="0.35">
      <c r="A348" s="21">
        <v>21</v>
      </c>
      <c r="B348" s="21">
        <v>24</v>
      </c>
      <c r="C348" s="21">
        <v>4.9000000000000004</v>
      </c>
      <c r="D348" s="21">
        <v>1.7</v>
      </c>
      <c r="E348" s="21">
        <v>0.317</v>
      </c>
      <c r="F348" s="21">
        <v>0.7</v>
      </c>
      <c r="G348" s="21">
        <v>0.17599999999999999</v>
      </c>
      <c r="H348" s="21">
        <v>1</v>
      </c>
      <c r="I348" s="21">
        <v>0.41699999999999998</v>
      </c>
      <c r="J348" s="21">
        <v>0.35399999999999998</v>
      </c>
      <c r="K348" s="21">
        <v>0.2</v>
      </c>
      <c r="L348" s="21">
        <v>0.75</v>
      </c>
      <c r="M348" s="21">
        <v>0.5</v>
      </c>
      <c r="N348" s="21">
        <v>0.5</v>
      </c>
      <c r="O348" s="21">
        <v>0.1</v>
      </c>
      <c r="P348" s="21">
        <v>0</v>
      </c>
      <c r="Q348" s="21">
        <v>0.2</v>
      </c>
      <c r="R348" s="21">
        <v>0.4</v>
      </c>
      <c r="S348" s="21">
        <v>1.3</v>
      </c>
      <c r="T348" s="21">
        <v>0</v>
      </c>
      <c r="U348" s="21">
        <v>-9.6999999999999993</v>
      </c>
      <c r="V348" s="21">
        <v>2.9</v>
      </c>
      <c r="W348" s="21">
        <v>-7.6999999999999999E-2</v>
      </c>
      <c r="X348" s="4">
        <v>-0.3</v>
      </c>
    </row>
    <row r="349" spans="1:24" x14ac:dyDescent="0.35">
      <c r="A349" s="21">
        <v>21</v>
      </c>
      <c r="B349" s="21">
        <v>21</v>
      </c>
      <c r="C349" s="21">
        <v>5</v>
      </c>
      <c r="D349" s="21">
        <v>1.3</v>
      </c>
      <c r="E349" s="21">
        <v>0.33300000000000002</v>
      </c>
      <c r="F349" s="21">
        <v>0.4</v>
      </c>
      <c r="G349" s="21">
        <v>0</v>
      </c>
      <c r="H349" s="21">
        <v>0.9</v>
      </c>
      <c r="I349" s="21">
        <v>0.47399999999999998</v>
      </c>
      <c r="J349" s="21">
        <v>0.33300000000000002</v>
      </c>
      <c r="K349" s="21">
        <v>0.8</v>
      </c>
      <c r="L349" s="21">
        <v>0.75</v>
      </c>
      <c r="M349" s="21">
        <v>1.7</v>
      </c>
      <c r="N349" s="21">
        <v>0.2</v>
      </c>
      <c r="O349" s="21">
        <v>0.2</v>
      </c>
      <c r="P349" s="21">
        <v>0</v>
      </c>
      <c r="Q349" s="21">
        <v>0.3</v>
      </c>
      <c r="R349" s="21">
        <v>0.4</v>
      </c>
      <c r="S349" s="21">
        <v>1.4</v>
      </c>
      <c r="T349" s="21">
        <v>1</v>
      </c>
      <c r="U349" s="21">
        <v>-6.1</v>
      </c>
      <c r="V349" s="21">
        <v>9.8000000000000007</v>
      </c>
      <c r="W349" s="21">
        <v>3.5000000000000003E-2</v>
      </c>
      <c r="X349" s="4">
        <v>0</v>
      </c>
    </row>
    <row r="350" spans="1:24" x14ac:dyDescent="0.35">
      <c r="A350" s="21">
        <v>21</v>
      </c>
      <c r="B350" s="21">
        <v>3</v>
      </c>
      <c r="C350" s="21">
        <v>25</v>
      </c>
      <c r="D350" s="21">
        <v>6</v>
      </c>
      <c r="E350" s="21">
        <v>0.222</v>
      </c>
      <c r="F350" s="21">
        <v>4</v>
      </c>
      <c r="G350" s="21">
        <v>0.25</v>
      </c>
      <c r="H350" s="21">
        <v>2</v>
      </c>
      <c r="I350" s="21">
        <v>0.16700000000000001</v>
      </c>
      <c r="J350" s="21">
        <v>0.30599999999999999</v>
      </c>
      <c r="K350" s="21">
        <v>1.3</v>
      </c>
      <c r="L350" s="21">
        <v>0.75</v>
      </c>
      <c r="M350" s="21">
        <v>5</v>
      </c>
      <c r="N350" s="21">
        <v>0.7</v>
      </c>
      <c r="O350" s="21">
        <v>1.7</v>
      </c>
      <c r="P350" s="21">
        <v>1.3</v>
      </c>
      <c r="Q350" s="21">
        <v>0.7</v>
      </c>
      <c r="R350" s="21">
        <v>2.7</v>
      </c>
      <c r="S350" s="21">
        <v>4.7</v>
      </c>
      <c r="T350" s="21">
        <v>1</v>
      </c>
      <c r="U350" s="21">
        <v>-3.5</v>
      </c>
      <c r="V350" s="21">
        <v>7.1</v>
      </c>
      <c r="W350" s="21">
        <v>-8.0000000000000002E-3</v>
      </c>
      <c r="X350" s="4">
        <v>0.6</v>
      </c>
    </row>
    <row r="351" spans="1:24" x14ac:dyDescent="0.35">
      <c r="A351" s="21">
        <v>26</v>
      </c>
      <c r="B351" s="21">
        <v>33</v>
      </c>
      <c r="C351" s="21">
        <v>7</v>
      </c>
      <c r="D351" s="21">
        <v>1.6</v>
      </c>
      <c r="E351" s="21">
        <v>0.245</v>
      </c>
      <c r="F351" s="21">
        <v>1</v>
      </c>
      <c r="G351" s="21">
        <v>0.156</v>
      </c>
      <c r="H351" s="21">
        <v>0.6</v>
      </c>
      <c r="I351" s="21">
        <v>0.38100000000000001</v>
      </c>
      <c r="J351" s="21">
        <v>0.29199999999999998</v>
      </c>
      <c r="K351" s="21">
        <v>0.1</v>
      </c>
      <c r="L351" s="21">
        <v>0.75</v>
      </c>
      <c r="M351" s="21">
        <v>1.3</v>
      </c>
      <c r="N351" s="21">
        <v>0.2</v>
      </c>
      <c r="O351" s="21">
        <v>0.3</v>
      </c>
      <c r="P351" s="21">
        <v>0.2</v>
      </c>
      <c r="Q351" s="21">
        <v>0.4</v>
      </c>
      <c r="R351" s="21">
        <v>0.5</v>
      </c>
      <c r="S351" s="21">
        <v>1</v>
      </c>
      <c r="T351" s="21">
        <v>4</v>
      </c>
      <c r="U351" s="21">
        <v>-8.1</v>
      </c>
      <c r="V351" s="21">
        <v>2.4</v>
      </c>
      <c r="W351" s="21">
        <v>-5.7000000000000002E-2</v>
      </c>
      <c r="X351" s="4">
        <v>1.2</v>
      </c>
    </row>
    <row r="352" spans="1:24" x14ac:dyDescent="0.35">
      <c r="A352" s="21">
        <v>23</v>
      </c>
      <c r="B352" s="21">
        <v>36</v>
      </c>
      <c r="C352" s="21">
        <v>35.700000000000003</v>
      </c>
      <c r="D352" s="21">
        <v>15.1</v>
      </c>
      <c r="E352" s="21">
        <v>0.5</v>
      </c>
      <c r="F352" s="21">
        <v>3.9</v>
      </c>
      <c r="G352" s="21">
        <v>0.312</v>
      </c>
      <c r="H352" s="21">
        <v>11.1</v>
      </c>
      <c r="I352" s="21">
        <v>0.56599999999999995</v>
      </c>
      <c r="J352" s="21">
        <v>0.54100000000000004</v>
      </c>
      <c r="K352" s="21">
        <v>3.5</v>
      </c>
      <c r="L352" s="21">
        <v>0.746</v>
      </c>
      <c r="M352" s="21">
        <v>10</v>
      </c>
      <c r="N352" s="21">
        <v>5</v>
      </c>
      <c r="O352" s="21">
        <v>1.6</v>
      </c>
      <c r="P352" s="21">
        <v>1</v>
      </c>
      <c r="Q352" s="21">
        <v>2.9</v>
      </c>
      <c r="R352" s="21">
        <v>1.9</v>
      </c>
      <c r="S352" s="21">
        <v>18.899999999999999</v>
      </c>
      <c r="T352" s="21">
        <v>3</v>
      </c>
      <c r="U352" s="21">
        <v>1.8</v>
      </c>
      <c r="V352" s="21">
        <v>17.3</v>
      </c>
      <c r="W352" s="21">
        <v>8.8999999999999996E-2</v>
      </c>
      <c r="X352" s="4">
        <v>0.8</v>
      </c>
    </row>
    <row r="353" spans="1:24" x14ac:dyDescent="0.35">
      <c r="A353" s="21">
        <v>20</v>
      </c>
      <c r="B353" s="21">
        <v>59</v>
      </c>
      <c r="C353" s="21">
        <v>33</v>
      </c>
      <c r="D353" s="21">
        <v>10.6</v>
      </c>
      <c r="E353" s="21">
        <v>0.42099999999999999</v>
      </c>
      <c r="F353" s="21">
        <v>3.8</v>
      </c>
      <c r="G353" s="21">
        <v>0.28100000000000003</v>
      </c>
      <c r="H353" s="21">
        <v>6.8</v>
      </c>
      <c r="I353" s="21">
        <v>0.5</v>
      </c>
      <c r="J353" s="21">
        <v>0.47199999999999998</v>
      </c>
      <c r="K353" s="21">
        <v>3.1</v>
      </c>
      <c r="L353" s="21">
        <v>0.746</v>
      </c>
      <c r="M353" s="21">
        <v>5</v>
      </c>
      <c r="N353" s="21">
        <v>3.4</v>
      </c>
      <c r="O353" s="21">
        <v>1.3</v>
      </c>
      <c r="P353" s="21">
        <v>0.7</v>
      </c>
      <c r="Q353" s="21">
        <v>2.1</v>
      </c>
      <c r="R353" s="21">
        <v>2.4</v>
      </c>
      <c r="S353" s="21">
        <v>12.3</v>
      </c>
      <c r="T353" s="21">
        <v>1</v>
      </c>
      <c r="U353" s="21">
        <v>-3.7</v>
      </c>
      <c r="V353" s="21">
        <v>10.8</v>
      </c>
      <c r="W353" s="21">
        <v>8.0000000000000002E-3</v>
      </c>
      <c r="X353" s="4">
        <v>-0.3</v>
      </c>
    </row>
    <row r="354" spans="1:24" x14ac:dyDescent="0.35">
      <c r="A354" s="21">
        <v>27</v>
      </c>
      <c r="B354" s="21">
        <v>57</v>
      </c>
      <c r="C354" s="21">
        <v>22</v>
      </c>
      <c r="D354" s="21">
        <v>6.1</v>
      </c>
      <c r="E354" s="21">
        <v>0.59099999999999997</v>
      </c>
      <c r="F354" s="21">
        <v>0</v>
      </c>
      <c r="G354" s="21">
        <v>0</v>
      </c>
      <c r="H354" s="21">
        <v>6.1</v>
      </c>
      <c r="I354" s="21">
        <v>0.59399999999999997</v>
      </c>
      <c r="J354" s="21">
        <v>0.59099999999999997</v>
      </c>
      <c r="K354" s="21">
        <v>2.8</v>
      </c>
      <c r="L354" s="21">
        <v>0.74399999999999999</v>
      </c>
      <c r="M354" s="21">
        <v>8.1999999999999993</v>
      </c>
      <c r="N354" s="21">
        <v>0.9</v>
      </c>
      <c r="O354" s="21">
        <v>0.2</v>
      </c>
      <c r="P354" s="21">
        <v>1</v>
      </c>
      <c r="Q354" s="21">
        <v>1.4</v>
      </c>
      <c r="R354" s="21">
        <v>2.5</v>
      </c>
      <c r="S354" s="21">
        <v>9.3000000000000007</v>
      </c>
      <c r="T354" s="21">
        <v>4</v>
      </c>
      <c r="U354" s="21">
        <v>-3.3</v>
      </c>
      <c r="V354" s="21">
        <v>16.600000000000001</v>
      </c>
      <c r="W354" s="21">
        <v>0.114</v>
      </c>
      <c r="X354" s="4">
        <v>-0.4</v>
      </c>
    </row>
    <row r="355" spans="1:24" x14ac:dyDescent="0.35">
      <c r="A355" s="21">
        <v>25</v>
      </c>
      <c r="B355" s="21">
        <v>14</v>
      </c>
      <c r="C355" s="21">
        <v>18.2</v>
      </c>
      <c r="D355" s="21">
        <v>5</v>
      </c>
      <c r="E355" s="21">
        <v>0.6</v>
      </c>
      <c r="F355" s="21">
        <v>0</v>
      </c>
      <c r="H355" s="21">
        <v>5</v>
      </c>
      <c r="I355" s="21">
        <v>0.6</v>
      </c>
      <c r="J355" s="21">
        <v>0.6</v>
      </c>
      <c r="K355" s="21">
        <v>2.2000000000000002</v>
      </c>
      <c r="L355" s="21">
        <v>0.74199999999999999</v>
      </c>
      <c r="M355" s="21">
        <v>8.6999999999999993</v>
      </c>
      <c r="N355" s="21">
        <v>0.6</v>
      </c>
      <c r="O355" s="21">
        <v>0.9</v>
      </c>
      <c r="P355" s="21">
        <v>0.1</v>
      </c>
      <c r="Q355" s="21">
        <v>0.7</v>
      </c>
      <c r="R355" s="21">
        <v>1.7</v>
      </c>
      <c r="S355" s="21">
        <v>7.6</v>
      </c>
      <c r="T355" s="21">
        <v>1</v>
      </c>
      <c r="U355" s="21">
        <v>-1.4</v>
      </c>
      <c r="V355" s="21">
        <v>21</v>
      </c>
      <c r="W355" s="21">
        <v>0.182</v>
      </c>
      <c r="X355" s="4">
        <v>0.4</v>
      </c>
    </row>
    <row r="356" spans="1:24" x14ac:dyDescent="0.35">
      <c r="A356" s="21">
        <v>29</v>
      </c>
      <c r="B356" s="21">
        <v>20</v>
      </c>
      <c r="C356" s="21">
        <v>18.600000000000001</v>
      </c>
      <c r="D356" s="21">
        <v>6.7</v>
      </c>
      <c r="E356" s="21">
        <v>0.47799999999999998</v>
      </c>
      <c r="F356" s="21">
        <v>2.7</v>
      </c>
      <c r="G356" s="21">
        <v>0.434</v>
      </c>
      <c r="H356" s="21">
        <v>4.0999999999999996</v>
      </c>
      <c r="I356" s="21">
        <v>0.50600000000000001</v>
      </c>
      <c r="J356" s="21">
        <v>0.56299999999999994</v>
      </c>
      <c r="K356" s="21">
        <v>1.6</v>
      </c>
      <c r="L356" s="21">
        <v>0.74199999999999999</v>
      </c>
      <c r="M356" s="21">
        <v>1.7</v>
      </c>
      <c r="N356" s="21">
        <v>2.8</v>
      </c>
      <c r="O356" s="21">
        <v>0.6</v>
      </c>
      <c r="P356" s="21">
        <v>0.2</v>
      </c>
      <c r="Q356" s="21">
        <v>1.1000000000000001</v>
      </c>
      <c r="R356" s="21">
        <v>1.7</v>
      </c>
      <c r="S356" s="21">
        <v>8.6999999999999993</v>
      </c>
      <c r="T356" s="21">
        <v>8</v>
      </c>
      <c r="U356" s="21">
        <v>-2.2999999999999998</v>
      </c>
      <c r="V356" s="21">
        <v>13.6</v>
      </c>
      <c r="W356" s="21">
        <v>8.3000000000000004E-2</v>
      </c>
      <c r="X356" s="4">
        <v>1.4</v>
      </c>
    </row>
    <row r="357" spans="1:24" x14ac:dyDescent="0.35">
      <c r="A357" s="21">
        <v>25</v>
      </c>
      <c r="B357" s="21">
        <v>61</v>
      </c>
      <c r="C357" s="21">
        <v>11.2</v>
      </c>
      <c r="D357" s="21">
        <v>4.5999999999999996</v>
      </c>
      <c r="E357" s="21">
        <v>0.502</v>
      </c>
      <c r="F357" s="21">
        <v>2.6</v>
      </c>
      <c r="G357" s="21">
        <v>0.373</v>
      </c>
      <c r="H357" s="21">
        <v>2</v>
      </c>
      <c r="I357" s="21">
        <v>0.67500000000000004</v>
      </c>
      <c r="J357" s="21">
        <v>0.60899999999999999</v>
      </c>
      <c r="K357" s="21">
        <v>1</v>
      </c>
      <c r="L357" s="21">
        <v>0.74099999999999999</v>
      </c>
      <c r="M357" s="21">
        <v>3.1</v>
      </c>
      <c r="N357" s="21">
        <v>0.8</v>
      </c>
      <c r="O357" s="21">
        <v>0.4</v>
      </c>
      <c r="P357" s="21">
        <v>0.3</v>
      </c>
      <c r="Q357" s="21">
        <v>0.4</v>
      </c>
      <c r="R357" s="21">
        <v>1</v>
      </c>
      <c r="S357" s="21">
        <v>6.3</v>
      </c>
      <c r="T357" s="21">
        <v>3</v>
      </c>
      <c r="U357" s="21">
        <v>2.2999999999999998</v>
      </c>
      <c r="V357" s="21">
        <v>19.7</v>
      </c>
      <c r="W357" s="21">
        <v>0.152</v>
      </c>
      <c r="X357" s="4">
        <v>0</v>
      </c>
    </row>
    <row r="358" spans="1:24" x14ac:dyDescent="0.35">
      <c r="A358" s="21">
        <v>26</v>
      </c>
      <c r="B358" s="21">
        <v>40</v>
      </c>
      <c r="C358" s="21">
        <v>15.6</v>
      </c>
      <c r="D358" s="21">
        <v>5.3</v>
      </c>
      <c r="E358" s="21">
        <v>0.443</v>
      </c>
      <c r="F358" s="21">
        <v>2.2999999999999998</v>
      </c>
      <c r="G358" s="21">
        <v>0.34799999999999998</v>
      </c>
      <c r="H358" s="21">
        <v>3</v>
      </c>
      <c r="I358" s="21">
        <v>0.51700000000000002</v>
      </c>
      <c r="J358" s="21">
        <v>0.51900000000000002</v>
      </c>
      <c r="K358" s="21">
        <v>2.1</v>
      </c>
      <c r="L358" s="21">
        <v>0.74099999999999999</v>
      </c>
      <c r="M358" s="21">
        <v>2.8</v>
      </c>
      <c r="N358" s="21">
        <v>0.8</v>
      </c>
      <c r="O358" s="21">
        <v>1.2</v>
      </c>
      <c r="P358" s="21">
        <v>0.5</v>
      </c>
      <c r="Q358" s="21">
        <v>0.8</v>
      </c>
      <c r="R358" s="21">
        <v>1.2</v>
      </c>
      <c r="S358" s="21">
        <v>7.1</v>
      </c>
      <c r="T358" s="21">
        <v>6</v>
      </c>
      <c r="U358" s="21">
        <v>1.5</v>
      </c>
      <c r="V358" s="21">
        <v>16.3</v>
      </c>
      <c r="W358" s="21">
        <v>0.1</v>
      </c>
      <c r="X358" s="4">
        <v>0.1</v>
      </c>
    </row>
    <row r="359" spans="1:24" x14ac:dyDescent="0.35">
      <c r="A359" s="21">
        <v>32</v>
      </c>
      <c r="B359" s="21">
        <v>79</v>
      </c>
      <c r="C359" s="21">
        <v>17.899999999999999</v>
      </c>
      <c r="D359" s="21">
        <v>7.9</v>
      </c>
      <c r="E359" s="21">
        <v>0.51900000000000002</v>
      </c>
      <c r="F359" s="21">
        <v>0.6</v>
      </c>
      <c r="G359" s="21">
        <v>0.30599999999999999</v>
      </c>
      <c r="H359" s="21">
        <v>7.3</v>
      </c>
      <c r="I359" s="21">
        <v>0.53700000000000003</v>
      </c>
      <c r="J359" s="21">
        <v>0.53100000000000003</v>
      </c>
      <c r="K359" s="21">
        <v>1</v>
      </c>
      <c r="L359" s="21">
        <v>0.74</v>
      </c>
      <c r="M359" s="21">
        <v>2.4</v>
      </c>
      <c r="N359" s="21">
        <v>4.4000000000000004</v>
      </c>
      <c r="O359" s="21">
        <v>1.1000000000000001</v>
      </c>
      <c r="P359" s="21">
        <v>0.3</v>
      </c>
      <c r="Q359" s="21">
        <v>1.4</v>
      </c>
      <c r="R359" s="21">
        <v>1</v>
      </c>
      <c r="S359" s="21">
        <v>9.1</v>
      </c>
      <c r="T359" s="21">
        <v>9</v>
      </c>
      <c r="U359" s="21">
        <v>1.2</v>
      </c>
      <c r="V359" s="21">
        <v>18.399999999999999</v>
      </c>
      <c r="W359" s="21">
        <v>0.109</v>
      </c>
      <c r="X359" s="4">
        <v>-0.5</v>
      </c>
    </row>
    <row r="360" spans="1:24" x14ac:dyDescent="0.35">
      <c r="A360" s="21">
        <v>31</v>
      </c>
      <c r="B360" s="21">
        <v>61</v>
      </c>
      <c r="C360" s="21">
        <v>16.399999999999999</v>
      </c>
      <c r="D360" s="21">
        <v>5</v>
      </c>
      <c r="E360" s="21">
        <v>0.46899999999999997</v>
      </c>
      <c r="F360" s="21">
        <v>1.1000000000000001</v>
      </c>
      <c r="G360" s="21">
        <v>0.35699999999999998</v>
      </c>
      <c r="H360" s="21">
        <v>3.8</v>
      </c>
      <c r="I360" s="21">
        <v>0.502</v>
      </c>
      <c r="J360" s="21">
        <v>0.51</v>
      </c>
      <c r="K360" s="21">
        <v>1.1000000000000001</v>
      </c>
      <c r="L360" s="21">
        <v>0.73799999999999999</v>
      </c>
      <c r="M360" s="21">
        <v>3.4</v>
      </c>
      <c r="N360" s="21">
        <v>2.4</v>
      </c>
      <c r="O360" s="21">
        <v>0.7</v>
      </c>
      <c r="P360" s="21">
        <v>0.5</v>
      </c>
      <c r="Q360" s="21">
        <v>0.6</v>
      </c>
      <c r="R360" s="21">
        <v>1.3</v>
      </c>
      <c r="S360" s="21">
        <v>5.9</v>
      </c>
      <c r="T360" s="21">
        <v>10</v>
      </c>
      <c r="U360" s="21">
        <v>1.5</v>
      </c>
      <c r="V360" s="21">
        <v>15.1</v>
      </c>
      <c r="W360" s="21">
        <v>0.13500000000000001</v>
      </c>
      <c r="X360" s="4">
        <v>0.5</v>
      </c>
    </row>
    <row r="361" spans="1:24" x14ac:dyDescent="0.35">
      <c r="A361" s="21">
        <v>25</v>
      </c>
      <c r="B361" s="21">
        <v>68</v>
      </c>
      <c r="C361" s="21">
        <v>25.9</v>
      </c>
      <c r="D361" s="21">
        <v>7.2</v>
      </c>
      <c r="E361" s="21">
        <v>0.46</v>
      </c>
      <c r="F361" s="21">
        <v>2.2999999999999998</v>
      </c>
      <c r="G361" s="21">
        <v>0.23400000000000001</v>
      </c>
      <c r="H361" s="21">
        <v>4.9000000000000004</v>
      </c>
      <c r="I361" s="21">
        <v>0.56799999999999995</v>
      </c>
      <c r="J361" s="21">
        <v>0.498</v>
      </c>
      <c r="K361" s="21">
        <v>2.6</v>
      </c>
      <c r="L361" s="21">
        <v>0.73699999999999999</v>
      </c>
      <c r="M361" s="21">
        <v>7.2</v>
      </c>
      <c r="N361" s="21">
        <v>2</v>
      </c>
      <c r="O361" s="21">
        <v>0.8</v>
      </c>
      <c r="P361" s="21">
        <v>0.6</v>
      </c>
      <c r="Q361" s="21">
        <v>1.1000000000000001</v>
      </c>
      <c r="R361" s="21">
        <v>2.9</v>
      </c>
      <c r="S361" s="21">
        <v>9.1</v>
      </c>
      <c r="T361" s="21">
        <v>6</v>
      </c>
      <c r="U361" s="21">
        <v>-1.2</v>
      </c>
      <c r="V361" s="21">
        <v>13.7</v>
      </c>
      <c r="W361" s="21">
        <v>0.125</v>
      </c>
      <c r="X361" s="4">
        <v>-0.1</v>
      </c>
    </row>
    <row r="362" spans="1:24" x14ac:dyDescent="0.35">
      <c r="A362" s="21">
        <v>24</v>
      </c>
      <c r="B362" s="21">
        <v>58</v>
      </c>
      <c r="C362" s="21">
        <v>12.5</v>
      </c>
      <c r="D362" s="21">
        <v>5</v>
      </c>
      <c r="E362" s="21">
        <v>0.45700000000000002</v>
      </c>
      <c r="F362" s="21">
        <v>2.1</v>
      </c>
      <c r="G362" s="21">
        <v>0.33600000000000002</v>
      </c>
      <c r="H362" s="21">
        <v>2.9</v>
      </c>
      <c r="I362" s="21">
        <v>0.54400000000000004</v>
      </c>
      <c r="J362" s="21">
        <v>0.52700000000000002</v>
      </c>
      <c r="K362" s="21">
        <v>1.7</v>
      </c>
      <c r="L362" s="21">
        <v>0.73499999999999999</v>
      </c>
      <c r="M362" s="21">
        <v>1.7</v>
      </c>
      <c r="N362" s="21">
        <v>1.4</v>
      </c>
      <c r="O362" s="21">
        <v>0.4</v>
      </c>
      <c r="P362" s="21">
        <v>0.2</v>
      </c>
      <c r="Q362" s="21">
        <v>0.7</v>
      </c>
      <c r="R362" s="21">
        <v>1</v>
      </c>
      <c r="S362" s="21">
        <v>6.5</v>
      </c>
      <c r="T362" s="21">
        <v>5</v>
      </c>
      <c r="U362" s="21">
        <v>-2.4</v>
      </c>
      <c r="V362" s="21">
        <v>13.8</v>
      </c>
      <c r="W362" s="21">
        <v>7.4999999999999997E-2</v>
      </c>
      <c r="X362" s="4">
        <v>0.8</v>
      </c>
    </row>
    <row r="363" spans="1:24" x14ac:dyDescent="0.35">
      <c r="A363" s="21">
        <v>24</v>
      </c>
      <c r="B363" s="21">
        <v>20</v>
      </c>
      <c r="C363" s="21">
        <v>13.3</v>
      </c>
      <c r="D363" s="21">
        <v>5.3</v>
      </c>
      <c r="E363" s="21">
        <v>0.39</v>
      </c>
      <c r="F363" s="21">
        <v>1.7</v>
      </c>
      <c r="G363" s="21">
        <v>0.39400000000000002</v>
      </c>
      <c r="H363" s="21">
        <v>3.6</v>
      </c>
      <c r="I363" s="21">
        <v>0.38900000000000001</v>
      </c>
      <c r="J363" s="21">
        <v>0.45200000000000001</v>
      </c>
      <c r="K363" s="21">
        <v>1.7</v>
      </c>
      <c r="L363" s="21">
        <v>0.73499999999999999</v>
      </c>
      <c r="M363" s="21">
        <v>1.6</v>
      </c>
      <c r="N363" s="21">
        <v>1.4</v>
      </c>
      <c r="O363" s="21">
        <v>0.6</v>
      </c>
      <c r="P363" s="21">
        <v>0</v>
      </c>
      <c r="Q363" s="21">
        <v>0.9</v>
      </c>
      <c r="R363" s="21">
        <v>1.1000000000000001</v>
      </c>
      <c r="S363" s="21">
        <v>6</v>
      </c>
      <c r="T363" s="21">
        <v>1</v>
      </c>
      <c r="U363" s="21">
        <v>-4</v>
      </c>
      <c r="V363" s="21">
        <v>10.9</v>
      </c>
      <c r="W363" s="21">
        <v>0.01</v>
      </c>
      <c r="X363" s="4">
        <v>-0.2</v>
      </c>
    </row>
    <row r="364" spans="1:24" x14ac:dyDescent="0.35">
      <c r="A364" s="21">
        <v>30</v>
      </c>
      <c r="B364" s="21">
        <v>78</v>
      </c>
      <c r="C364" s="21">
        <v>32.700000000000003</v>
      </c>
      <c r="D364" s="21">
        <v>15.2</v>
      </c>
      <c r="E364" s="21">
        <v>0.51900000000000002</v>
      </c>
      <c r="F364" s="21">
        <v>4.2</v>
      </c>
      <c r="G364" s="21">
        <v>0.38900000000000001</v>
      </c>
      <c r="H364" s="21">
        <v>11</v>
      </c>
      <c r="I364" s="21">
        <v>0.56799999999999995</v>
      </c>
      <c r="J364" s="21">
        <v>0.57199999999999995</v>
      </c>
      <c r="K364" s="21">
        <v>3.9</v>
      </c>
      <c r="L364" s="21">
        <v>0.73399999999999999</v>
      </c>
      <c r="M364" s="21">
        <v>6.9</v>
      </c>
      <c r="N364" s="21">
        <v>3.4</v>
      </c>
      <c r="O364" s="21">
        <v>0.9</v>
      </c>
      <c r="P364" s="21">
        <v>0.5</v>
      </c>
      <c r="Q364" s="21">
        <v>1.4</v>
      </c>
      <c r="R364" s="21">
        <v>2.4</v>
      </c>
      <c r="S364" s="21">
        <v>20.2</v>
      </c>
      <c r="T364" s="21">
        <v>8</v>
      </c>
      <c r="U364" s="21">
        <v>1.7</v>
      </c>
      <c r="V364" s="21">
        <v>19.2</v>
      </c>
      <c r="W364" s="21">
        <v>0.14199999999999999</v>
      </c>
      <c r="X364" s="4">
        <v>0.9</v>
      </c>
    </row>
    <row r="365" spans="1:24" x14ac:dyDescent="0.35">
      <c r="A365" s="21">
        <v>24</v>
      </c>
      <c r="B365" s="21">
        <v>14</v>
      </c>
      <c r="C365" s="21">
        <v>23.7</v>
      </c>
      <c r="D365" s="21">
        <v>7.8</v>
      </c>
      <c r="E365" s="21">
        <v>0.48599999999999999</v>
      </c>
      <c r="F365" s="21">
        <v>3.1</v>
      </c>
      <c r="G365" s="21">
        <v>0.32600000000000001</v>
      </c>
      <c r="H365" s="21">
        <v>4.7</v>
      </c>
      <c r="I365" s="21">
        <v>0.59099999999999997</v>
      </c>
      <c r="J365" s="21">
        <v>0.55000000000000004</v>
      </c>
      <c r="K365" s="21">
        <v>2.1</v>
      </c>
      <c r="L365" s="21">
        <v>0.73299999999999998</v>
      </c>
      <c r="M365" s="21">
        <v>4.0999999999999996</v>
      </c>
      <c r="N365" s="21">
        <v>0.9</v>
      </c>
      <c r="O365" s="21">
        <v>0.7</v>
      </c>
      <c r="P365" s="21">
        <v>0.7</v>
      </c>
      <c r="Q365" s="21">
        <v>0.9</v>
      </c>
      <c r="R365" s="21">
        <v>2.1</v>
      </c>
      <c r="S365" s="21">
        <v>10.1</v>
      </c>
      <c r="T365" s="21">
        <v>0</v>
      </c>
      <c r="U365" s="21">
        <v>-3.5</v>
      </c>
      <c r="V365" s="21">
        <v>12.8</v>
      </c>
      <c r="W365" s="21">
        <v>5.7000000000000002E-2</v>
      </c>
      <c r="X365" s="4">
        <v>-0.1</v>
      </c>
    </row>
    <row r="366" spans="1:24" x14ac:dyDescent="0.35">
      <c r="A366" s="21">
        <v>27</v>
      </c>
      <c r="B366" s="21">
        <v>41</v>
      </c>
      <c r="C366" s="21">
        <v>15.1</v>
      </c>
      <c r="D366" s="21">
        <v>5.6</v>
      </c>
      <c r="E366" s="21">
        <v>0.48699999999999999</v>
      </c>
      <c r="F366" s="21">
        <v>1.7</v>
      </c>
      <c r="G366" s="21">
        <v>0.4</v>
      </c>
      <c r="H366" s="21">
        <v>3.9</v>
      </c>
      <c r="I366" s="21">
        <v>0.52500000000000002</v>
      </c>
      <c r="J366" s="21">
        <v>0.54800000000000004</v>
      </c>
      <c r="K366" s="21">
        <v>1.1000000000000001</v>
      </c>
      <c r="L366" s="21">
        <v>0.73299999999999998</v>
      </c>
      <c r="M366" s="21">
        <v>1.5</v>
      </c>
      <c r="N366" s="21">
        <v>1.9</v>
      </c>
      <c r="O366" s="21">
        <v>0.6</v>
      </c>
      <c r="P366" s="21">
        <v>0.3</v>
      </c>
      <c r="Q366" s="21">
        <v>0.4</v>
      </c>
      <c r="R366" s="21">
        <v>0.7</v>
      </c>
      <c r="S366" s="21">
        <v>7</v>
      </c>
      <c r="T366" s="21">
        <v>3</v>
      </c>
      <c r="U366" s="21">
        <v>0.2</v>
      </c>
      <c r="V366" s="21">
        <v>16.100000000000001</v>
      </c>
      <c r="W366" s="21">
        <v>0.10299999999999999</v>
      </c>
      <c r="X366" s="4">
        <v>-0.1</v>
      </c>
    </row>
    <row r="367" spans="1:24" x14ac:dyDescent="0.35">
      <c r="A367" s="21">
        <v>22</v>
      </c>
      <c r="B367" s="21">
        <v>30</v>
      </c>
      <c r="C367" s="21">
        <v>29.9</v>
      </c>
      <c r="D367" s="21">
        <v>13.8</v>
      </c>
      <c r="E367" s="21">
        <v>0.46</v>
      </c>
      <c r="F367" s="21">
        <v>5.0999999999999996</v>
      </c>
      <c r="G367" s="21">
        <v>0.40899999999999997</v>
      </c>
      <c r="H367" s="21">
        <v>8.6</v>
      </c>
      <c r="I367" s="21">
        <v>0.49</v>
      </c>
      <c r="J367" s="21">
        <v>0.53600000000000003</v>
      </c>
      <c r="K367" s="21">
        <v>3.9</v>
      </c>
      <c r="L367" s="21">
        <v>0.73299999999999998</v>
      </c>
      <c r="M367" s="21">
        <v>4.0999999999999996</v>
      </c>
      <c r="N367" s="21">
        <v>4</v>
      </c>
      <c r="O367" s="21">
        <v>0.9</v>
      </c>
      <c r="P367" s="21">
        <v>0.4</v>
      </c>
      <c r="Q367" s="21">
        <v>3</v>
      </c>
      <c r="R367" s="21">
        <v>2.2000000000000002</v>
      </c>
      <c r="S367" s="21">
        <v>17.600000000000001</v>
      </c>
      <c r="T367" s="21">
        <v>2</v>
      </c>
      <c r="U367" s="21">
        <v>0</v>
      </c>
      <c r="V367" s="21">
        <v>14.7</v>
      </c>
      <c r="W367" s="21">
        <v>6.2E-2</v>
      </c>
      <c r="X367" s="4">
        <v>1.6</v>
      </c>
    </row>
    <row r="368" spans="1:24" x14ac:dyDescent="0.35">
      <c r="A368" s="21">
        <v>28</v>
      </c>
      <c r="B368" s="21">
        <v>39</v>
      </c>
      <c r="C368" s="21">
        <v>6.4</v>
      </c>
      <c r="D368" s="21">
        <v>2.6</v>
      </c>
      <c r="E368" s="21">
        <v>0.40600000000000003</v>
      </c>
      <c r="F368" s="21">
        <v>0.6</v>
      </c>
      <c r="G368" s="21">
        <v>0.22700000000000001</v>
      </c>
      <c r="H368" s="21">
        <v>2</v>
      </c>
      <c r="I368" s="21">
        <v>0.45600000000000002</v>
      </c>
      <c r="J368" s="21">
        <v>0.43099999999999999</v>
      </c>
      <c r="K368" s="21">
        <v>0.4</v>
      </c>
      <c r="L368" s="21">
        <v>0.73299999999999998</v>
      </c>
      <c r="M368" s="21">
        <v>1.2</v>
      </c>
      <c r="N368" s="21">
        <v>1.2</v>
      </c>
      <c r="O368" s="21">
        <v>0.4</v>
      </c>
      <c r="P368" s="21">
        <v>0.1</v>
      </c>
      <c r="Q368" s="21">
        <v>0.5</v>
      </c>
      <c r="R368" s="21">
        <v>0.5</v>
      </c>
      <c r="S368" s="21">
        <v>2.5</v>
      </c>
      <c r="T368" s="21">
        <v>1</v>
      </c>
      <c r="U368" s="21">
        <v>-1.6</v>
      </c>
      <c r="V368" s="21">
        <v>12.6</v>
      </c>
      <c r="W368" s="21">
        <v>5.5E-2</v>
      </c>
      <c r="X368" s="4">
        <v>0.7</v>
      </c>
    </row>
    <row r="369" spans="1:24" x14ac:dyDescent="0.35">
      <c r="A369" s="21">
        <v>23</v>
      </c>
      <c r="B369" s="21">
        <v>63</v>
      </c>
      <c r="C369" s="21">
        <v>20.399999999999999</v>
      </c>
      <c r="D369" s="21">
        <v>5.7</v>
      </c>
      <c r="E369" s="21">
        <v>0.438</v>
      </c>
      <c r="F369" s="21">
        <v>1.1000000000000001</v>
      </c>
      <c r="G369" s="21">
        <v>0.24299999999999999</v>
      </c>
      <c r="H369" s="21">
        <v>4.5</v>
      </c>
      <c r="I369" s="21">
        <v>0.48599999999999999</v>
      </c>
      <c r="J369" s="21">
        <v>0.46200000000000002</v>
      </c>
      <c r="K369" s="21">
        <v>1.3</v>
      </c>
      <c r="L369" s="21">
        <v>0.73199999999999998</v>
      </c>
      <c r="M369" s="21">
        <v>4.9000000000000004</v>
      </c>
      <c r="N369" s="21">
        <v>2.2999999999999998</v>
      </c>
      <c r="O369" s="21">
        <v>0.9</v>
      </c>
      <c r="P369" s="21">
        <v>0.5</v>
      </c>
      <c r="Q369" s="21">
        <v>1.1000000000000001</v>
      </c>
      <c r="R369" s="21">
        <v>2.2000000000000002</v>
      </c>
      <c r="S369" s="21">
        <v>6.2</v>
      </c>
      <c r="T369" s="21">
        <v>0</v>
      </c>
      <c r="U369" s="21">
        <v>-1.9</v>
      </c>
      <c r="V369" s="21">
        <v>11.9</v>
      </c>
      <c r="W369" s="21">
        <v>7.0999999999999994E-2</v>
      </c>
      <c r="X369" s="4">
        <v>1.8</v>
      </c>
    </row>
    <row r="370" spans="1:24" x14ac:dyDescent="0.35">
      <c r="A370" s="21">
        <v>31</v>
      </c>
      <c r="B370" s="21">
        <v>75</v>
      </c>
      <c r="C370" s="21">
        <v>24.5</v>
      </c>
      <c r="D370" s="21">
        <v>7.6</v>
      </c>
      <c r="E370" s="21">
        <v>0.42299999999999999</v>
      </c>
      <c r="F370" s="21">
        <v>5.9</v>
      </c>
      <c r="G370" s="21">
        <v>0.40600000000000003</v>
      </c>
      <c r="H370" s="21">
        <v>1.7</v>
      </c>
      <c r="I370" s="21">
        <v>0.48099999999999998</v>
      </c>
      <c r="J370" s="21">
        <v>0.57999999999999996</v>
      </c>
      <c r="K370" s="21">
        <v>0.3</v>
      </c>
      <c r="L370" s="21">
        <v>0.73099999999999998</v>
      </c>
      <c r="M370" s="21">
        <v>4.7</v>
      </c>
      <c r="N370" s="21">
        <v>2.2000000000000002</v>
      </c>
      <c r="O370" s="21">
        <v>0.9</v>
      </c>
      <c r="P370" s="21">
        <v>0.5</v>
      </c>
      <c r="Q370" s="21">
        <v>0.9</v>
      </c>
      <c r="R370" s="21">
        <v>2</v>
      </c>
      <c r="S370" s="21">
        <v>9.1</v>
      </c>
      <c r="T370" s="21">
        <v>7</v>
      </c>
      <c r="U370" s="21">
        <v>0.1</v>
      </c>
      <c r="V370" s="21">
        <v>12.6</v>
      </c>
      <c r="W370" s="21">
        <v>7.2999999999999995E-2</v>
      </c>
      <c r="X370" s="4">
        <v>-0.7</v>
      </c>
    </row>
    <row r="371" spans="1:24" x14ac:dyDescent="0.35">
      <c r="A371" s="21">
        <v>25</v>
      </c>
      <c r="B371" s="21">
        <v>67</v>
      </c>
      <c r="C371" s="21">
        <v>16.7</v>
      </c>
      <c r="D371" s="21">
        <v>7.6</v>
      </c>
      <c r="E371" s="21">
        <v>0.39100000000000001</v>
      </c>
      <c r="F371" s="21">
        <v>3.3</v>
      </c>
      <c r="G371" s="21">
        <v>0.32400000000000001</v>
      </c>
      <c r="H371" s="21">
        <v>4.3</v>
      </c>
      <c r="I371" s="21">
        <v>0.442</v>
      </c>
      <c r="J371" s="21">
        <v>0.46200000000000002</v>
      </c>
      <c r="K371" s="21">
        <v>1.9</v>
      </c>
      <c r="L371" s="21">
        <v>0.72799999999999998</v>
      </c>
      <c r="M371" s="21">
        <v>2</v>
      </c>
      <c r="N371" s="21">
        <v>2.4</v>
      </c>
      <c r="O371" s="21">
        <v>0.6</v>
      </c>
      <c r="P371" s="21">
        <v>0.5</v>
      </c>
      <c r="Q371" s="21">
        <v>1.3</v>
      </c>
      <c r="R371" s="21">
        <v>0.9</v>
      </c>
      <c r="S371" s="21">
        <v>8.3000000000000007</v>
      </c>
      <c r="T371" s="21">
        <v>3</v>
      </c>
      <c r="U371" s="21">
        <v>-0.8</v>
      </c>
      <c r="V371" s="21">
        <v>12.9</v>
      </c>
      <c r="W371" s="21">
        <v>3.3000000000000002E-2</v>
      </c>
      <c r="X371" s="4">
        <v>0.1</v>
      </c>
    </row>
    <row r="372" spans="1:24" x14ac:dyDescent="0.35">
      <c r="A372" s="21">
        <v>25</v>
      </c>
      <c r="B372" s="21">
        <v>13</v>
      </c>
      <c r="C372" s="21">
        <v>9.1999999999999993</v>
      </c>
      <c r="D372" s="21">
        <v>3.8</v>
      </c>
      <c r="E372" s="21">
        <v>0.69399999999999995</v>
      </c>
      <c r="F372" s="21">
        <v>0</v>
      </c>
      <c r="H372" s="21">
        <v>3.8</v>
      </c>
      <c r="I372" s="21">
        <v>0.69399999999999995</v>
      </c>
      <c r="J372" s="21">
        <v>0.69399999999999995</v>
      </c>
      <c r="K372" s="21">
        <v>0.8</v>
      </c>
      <c r="L372" s="21">
        <v>0.72699999999999998</v>
      </c>
      <c r="M372" s="21">
        <v>3.4</v>
      </c>
      <c r="N372" s="21">
        <v>0.2</v>
      </c>
      <c r="O372" s="21">
        <v>0.5</v>
      </c>
      <c r="P372" s="21">
        <v>0.3</v>
      </c>
      <c r="Q372" s="21">
        <v>0.8</v>
      </c>
      <c r="R372" s="21">
        <v>1.3</v>
      </c>
      <c r="S372" s="21">
        <v>5.8</v>
      </c>
      <c r="T372" s="21">
        <v>5</v>
      </c>
      <c r="U372" s="21">
        <v>0.1</v>
      </c>
      <c r="V372" s="21">
        <v>22.4</v>
      </c>
      <c r="W372" s="21">
        <v>0.14599999999999999</v>
      </c>
      <c r="X372" s="4">
        <v>0.7</v>
      </c>
    </row>
    <row r="373" spans="1:24" x14ac:dyDescent="0.35">
      <c r="A373" s="21">
        <v>27</v>
      </c>
      <c r="B373" s="21">
        <v>17</v>
      </c>
      <c r="C373" s="21">
        <v>9.1</v>
      </c>
      <c r="D373" s="21">
        <v>3.7</v>
      </c>
      <c r="E373" s="21">
        <v>0.46</v>
      </c>
      <c r="F373" s="21">
        <v>1.6</v>
      </c>
      <c r="G373" s="21">
        <v>0.29599999999999999</v>
      </c>
      <c r="H373" s="21">
        <v>2.1</v>
      </c>
      <c r="I373" s="21">
        <v>0.58299999999999996</v>
      </c>
      <c r="J373" s="21">
        <v>0.52400000000000002</v>
      </c>
      <c r="K373" s="21">
        <v>0.6</v>
      </c>
      <c r="L373" s="21">
        <v>0.72699999999999998</v>
      </c>
      <c r="M373" s="21">
        <v>2.2000000000000002</v>
      </c>
      <c r="N373" s="21">
        <v>0.5</v>
      </c>
      <c r="O373" s="21">
        <v>0.3</v>
      </c>
      <c r="P373" s="21">
        <v>0.2</v>
      </c>
      <c r="Q373" s="21">
        <v>0.6</v>
      </c>
      <c r="R373" s="21">
        <v>0.9</v>
      </c>
      <c r="S373" s="21">
        <v>4.4000000000000004</v>
      </c>
      <c r="T373" s="21">
        <v>4</v>
      </c>
      <c r="U373" s="21">
        <v>-4.2</v>
      </c>
      <c r="V373" s="21">
        <v>11.5</v>
      </c>
      <c r="W373" s="21">
        <v>5.1999999999999998E-2</v>
      </c>
      <c r="X373" s="4">
        <v>-0.1</v>
      </c>
    </row>
    <row r="374" spans="1:24" x14ac:dyDescent="0.35">
      <c r="A374" s="21">
        <v>28</v>
      </c>
      <c r="B374" s="21">
        <v>51</v>
      </c>
      <c r="C374" s="21">
        <v>22</v>
      </c>
      <c r="D374" s="21">
        <v>4.4000000000000004</v>
      </c>
      <c r="E374" s="21">
        <v>0.52</v>
      </c>
      <c r="F374" s="21">
        <v>0</v>
      </c>
      <c r="H374" s="21">
        <v>4.4000000000000004</v>
      </c>
      <c r="I374" s="21">
        <v>0.52</v>
      </c>
      <c r="J374" s="21">
        <v>0.52</v>
      </c>
      <c r="K374" s="21">
        <v>0.6</v>
      </c>
      <c r="L374" s="21">
        <v>0.72699999999999998</v>
      </c>
      <c r="M374" s="21">
        <v>4.7</v>
      </c>
      <c r="N374" s="21">
        <v>5.6</v>
      </c>
      <c r="O374" s="21">
        <v>0.7</v>
      </c>
      <c r="P374" s="21">
        <v>0.5</v>
      </c>
      <c r="Q374" s="21">
        <v>2</v>
      </c>
      <c r="R374" s="21">
        <v>2.1</v>
      </c>
      <c r="S374" s="21">
        <v>5</v>
      </c>
      <c r="T374" s="21">
        <v>8</v>
      </c>
      <c r="U374" s="21">
        <v>-0.5</v>
      </c>
      <c r="V374" s="21">
        <v>12.4</v>
      </c>
      <c r="W374" s="21">
        <v>7.8E-2</v>
      </c>
      <c r="X374" s="4">
        <v>0.5</v>
      </c>
    </row>
    <row r="375" spans="1:24" x14ac:dyDescent="0.35">
      <c r="A375" s="21">
        <v>22</v>
      </c>
      <c r="B375" s="21">
        <v>46</v>
      </c>
      <c r="C375" s="21">
        <v>34.4</v>
      </c>
      <c r="D375" s="21">
        <v>19.8</v>
      </c>
      <c r="E375" s="21">
        <v>0.45200000000000001</v>
      </c>
      <c r="F375" s="21">
        <v>5.9</v>
      </c>
      <c r="G375" s="21">
        <v>0.32</v>
      </c>
      <c r="H375" s="21">
        <v>13.9</v>
      </c>
      <c r="I375" s="21">
        <v>0.50900000000000001</v>
      </c>
      <c r="J375" s="21">
        <v>0.5</v>
      </c>
      <c r="K375" s="21">
        <v>8.4</v>
      </c>
      <c r="L375" s="21">
        <v>0.72699999999999998</v>
      </c>
      <c r="M375" s="21">
        <v>7.5</v>
      </c>
      <c r="N375" s="21">
        <v>4.8</v>
      </c>
      <c r="O375" s="21">
        <v>0.8</v>
      </c>
      <c r="P375" s="21">
        <v>0.6</v>
      </c>
      <c r="Q375" s="21">
        <v>3</v>
      </c>
      <c r="R375" s="21">
        <v>2.1</v>
      </c>
      <c r="S375" s="21">
        <v>25.9</v>
      </c>
      <c r="T375" s="21">
        <v>2</v>
      </c>
      <c r="U375" s="21">
        <v>3.5</v>
      </c>
      <c r="V375" s="21">
        <v>20</v>
      </c>
      <c r="W375" s="21">
        <v>0.106</v>
      </c>
      <c r="X375" s="4">
        <v>0.1</v>
      </c>
    </row>
    <row r="376" spans="1:24" x14ac:dyDescent="0.35">
      <c r="A376" s="21">
        <v>27</v>
      </c>
      <c r="B376" s="21">
        <v>52</v>
      </c>
      <c r="C376" s="21">
        <v>15</v>
      </c>
      <c r="D376" s="21">
        <v>4.8</v>
      </c>
      <c r="E376" s="21">
        <v>0.36899999999999999</v>
      </c>
      <c r="F376" s="21">
        <v>3.6</v>
      </c>
      <c r="G376" s="21">
        <v>0.34399999999999997</v>
      </c>
      <c r="H376" s="21">
        <v>1.2</v>
      </c>
      <c r="I376" s="21">
        <v>0.44400000000000001</v>
      </c>
      <c r="J376" s="21">
        <v>0.498</v>
      </c>
      <c r="K376" s="21">
        <v>0.2</v>
      </c>
      <c r="L376" s="21">
        <v>0.72699999999999998</v>
      </c>
      <c r="M376" s="21">
        <v>2.1</v>
      </c>
      <c r="N376" s="21">
        <v>1</v>
      </c>
      <c r="O376" s="21">
        <v>0.5</v>
      </c>
      <c r="P376" s="21">
        <v>0.2</v>
      </c>
      <c r="Q376" s="21">
        <v>0.4</v>
      </c>
      <c r="R376" s="21">
        <v>1.2</v>
      </c>
      <c r="S376" s="21">
        <v>4.9000000000000004</v>
      </c>
      <c r="T376" s="21">
        <v>3</v>
      </c>
      <c r="U376" s="21">
        <v>-2.8</v>
      </c>
      <c r="V376" s="21">
        <v>8.8000000000000007</v>
      </c>
      <c r="W376" s="21">
        <v>6.2E-2</v>
      </c>
      <c r="X376" s="4">
        <v>0.1</v>
      </c>
    </row>
    <row r="377" spans="1:24" x14ac:dyDescent="0.35">
      <c r="A377" s="21">
        <v>24</v>
      </c>
      <c r="B377" s="21">
        <v>5</v>
      </c>
      <c r="C377" s="21">
        <v>12.6</v>
      </c>
      <c r="D377" s="21">
        <v>6.4</v>
      </c>
      <c r="E377" s="21">
        <v>0.40600000000000003</v>
      </c>
      <c r="F377" s="21">
        <v>2</v>
      </c>
      <c r="G377" s="21">
        <v>0.2</v>
      </c>
      <c r="H377" s="21">
        <v>4.4000000000000004</v>
      </c>
      <c r="I377" s="21">
        <v>0.5</v>
      </c>
      <c r="J377" s="21">
        <v>0.438</v>
      </c>
      <c r="K377" s="21">
        <v>2.2000000000000002</v>
      </c>
      <c r="L377" s="21">
        <v>0.72699999999999998</v>
      </c>
      <c r="M377" s="21">
        <v>4.2</v>
      </c>
      <c r="N377" s="21">
        <v>0.4</v>
      </c>
      <c r="O377" s="21">
        <v>0</v>
      </c>
      <c r="P377" s="21">
        <v>0.2</v>
      </c>
      <c r="Q377" s="21">
        <v>0.4</v>
      </c>
      <c r="R377" s="21">
        <v>1.8</v>
      </c>
      <c r="S377" s="21">
        <v>7.2</v>
      </c>
      <c r="T377" s="21">
        <v>0</v>
      </c>
      <c r="U377" s="21">
        <v>-5.5</v>
      </c>
      <c r="V377" s="21">
        <v>14.4</v>
      </c>
      <c r="W377" s="21">
        <v>9.2999999999999999E-2</v>
      </c>
      <c r="X377" s="4">
        <v>0.5</v>
      </c>
    </row>
    <row r="378" spans="1:24" x14ac:dyDescent="0.35">
      <c r="A378" s="21">
        <v>23</v>
      </c>
      <c r="B378" s="21">
        <v>71</v>
      </c>
      <c r="C378" s="21">
        <v>30.5</v>
      </c>
      <c r="D378" s="21">
        <v>12.8</v>
      </c>
      <c r="E378" s="21">
        <v>0.55700000000000005</v>
      </c>
      <c r="F378" s="21">
        <v>3.2</v>
      </c>
      <c r="G378" s="21">
        <v>0.37</v>
      </c>
      <c r="H378" s="21">
        <v>9.5</v>
      </c>
      <c r="I378" s="21">
        <v>0.621</v>
      </c>
      <c r="J378" s="21">
        <v>0.60399999999999998</v>
      </c>
      <c r="K378" s="21">
        <v>4.3</v>
      </c>
      <c r="L378" s="21">
        <v>0.72499999999999998</v>
      </c>
      <c r="M378" s="21">
        <v>9.3000000000000007</v>
      </c>
      <c r="N378" s="21">
        <v>3.2</v>
      </c>
      <c r="O378" s="21">
        <v>0.9</v>
      </c>
      <c r="P378" s="21">
        <v>1.6</v>
      </c>
      <c r="Q378" s="21">
        <v>2</v>
      </c>
      <c r="R378" s="21">
        <v>2</v>
      </c>
      <c r="S378" s="21">
        <v>18.5</v>
      </c>
      <c r="T378" s="21">
        <v>3</v>
      </c>
      <c r="U378" s="21">
        <v>4.5999999999999996</v>
      </c>
      <c r="V378" s="21">
        <v>22.3</v>
      </c>
      <c r="W378" s="21">
        <v>0.2</v>
      </c>
      <c r="X378" s="4">
        <v>-1.2</v>
      </c>
    </row>
    <row r="379" spans="1:24" x14ac:dyDescent="0.35">
      <c r="A379" s="21">
        <v>29</v>
      </c>
      <c r="B379" s="21">
        <v>70</v>
      </c>
      <c r="C379" s="21">
        <v>27.1</v>
      </c>
      <c r="D379" s="21">
        <v>8</v>
      </c>
      <c r="E379" s="21">
        <v>0.501</v>
      </c>
      <c r="F379" s="21">
        <v>3.9</v>
      </c>
      <c r="G379" s="21">
        <v>0.38</v>
      </c>
      <c r="H379" s="21">
        <v>4.0999999999999996</v>
      </c>
      <c r="I379" s="21">
        <v>0.61599999999999999</v>
      </c>
      <c r="J379" s="21">
        <v>0.59299999999999997</v>
      </c>
      <c r="K379" s="21">
        <v>2</v>
      </c>
      <c r="L379" s="21">
        <v>0.72499999999999998</v>
      </c>
      <c r="M379" s="21">
        <v>5.6</v>
      </c>
      <c r="N379" s="21">
        <v>2.1</v>
      </c>
      <c r="O379" s="21">
        <v>0.8</v>
      </c>
      <c r="P379" s="21">
        <v>0.3</v>
      </c>
      <c r="Q379" s="21">
        <v>1.2</v>
      </c>
      <c r="R379" s="21">
        <v>2.2999999999999998</v>
      </c>
      <c r="S379" s="21">
        <v>11</v>
      </c>
      <c r="T379" s="21">
        <v>2</v>
      </c>
      <c r="U379" s="21">
        <v>-1</v>
      </c>
      <c r="V379" s="21">
        <v>14.7</v>
      </c>
      <c r="W379" s="21">
        <v>9.9000000000000005E-2</v>
      </c>
      <c r="X379" s="4">
        <v>0.4</v>
      </c>
    </row>
    <row r="380" spans="1:24" x14ac:dyDescent="0.35">
      <c r="A380" s="21">
        <v>20</v>
      </c>
      <c r="B380" s="21">
        <v>29</v>
      </c>
      <c r="C380" s="21">
        <v>15.8</v>
      </c>
      <c r="D380" s="21">
        <v>6.9</v>
      </c>
      <c r="E380" s="21">
        <v>0.372</v>
      </c>
      <c r="F380" s="21">
        <v>3.3</v>
      </c>
      <c r="G380" s="21">
        <v>0.33700000000000002</v>
      </c>
      <c r="H380" s="21">
        <v>3.6</v>
      </c>
      <c r="I380" s="21">
        <v>0.40400000000000003</v>
      </c>
      <c r="J380" s="21">
        <v>0.45200000000000001</v>
      </c>
      <c r="K380" s="21">
        <v>1.4</v>
      </c>
      <c r="L380" s="21">
        <v>0.72499999999999998</v>
      </c>
      <c r="M380" s="21">
        <v>3.2</v>
      </c>
      <c r="N380" s="21">
        <v>1</v>
      </c>
      <c r="O380" s="21">
        <v>0.4</v>
      </c>
      <c r="P380" s="21">
        <v>0.2</v>
      </c>
      <c r="Q380" s="21">
        <v>1.1000000000000001</v>
      </c>
      <c r="R380" s="21">
        <v>1</v>
      </c>
      <c r="S380" s="21">
        <v>7.2</v>
      </c>
      <c r="T380" s="21">
        <v>1</v>
      </c>
      <c r="U380" s="21">
        <v>-5.3</v>
      </c>
      <c r="V380" s="21">
        <v>9.3000000000000007</v>
      </c>
      <c r="W380" s="21">
        <v>8.9999999999999993E-3</v>
      </c>
      <c r="X380" s="4">
        <v>-0.6</v>
      </c>
    </row>
    <row r="381" spans="1:24" x14ac:dyDescent="0.35">
      <c r="A381" s="21">
        <v>20</v>
      </c>
      <c r="B381" s="21">
        <v>50</v>
      </c>
      <c r="C381" s="21">
        <v>21.2</v>
      </c>
      <c r="D381" s="21">
        <v>5.0999999999999996</v>
      </c>
      <c r="E381" s="21">
        <v>0.32300000000000001</v>
      </c>
      <c r="F381" s="21">
        <v>2.7</v>
      </c>
      <c r="G381" s="21">
        <v>0.25900000000000001</v>
      </c>
      <c r="H381" s="21">
        <v>2.4</v>
      </c>
      <c r="I381" s="21">
        <v>0.39300000000000002</v>
      </c>
      <c r="J381" s="21">
        <v>0.39100000000000001</v>
      </c>
      <c r="K381" s="21">
        <v>0.8</v>
      </c>
      <c r="L381" s="21">
        <v>0.72499999999999998</v>
      </c>
      <c r="M381" s="21">
        <v>2.2999999999999998</v>
      </c>
      <c r="N381" s="21">
        <v>1.2</v>
      </c>
      <c r="O381" s="21">
        <v>0.5</v>
      </c>
      <c r="P381" s="21">
        <v>0.3</v>
      </c>
      <c r="Q381" s="21">
        <v>0.9</v>
      </c>
      <c r="R381" s="21">
        <v>1.9</v>
      </c>
      <c r="S381" s="21">
        <v>4.5999999999999996</v>
      </c>
      <c r="T381" s="21">
        <v>0</v>
      </c>
      <c r="U381" s="21">
        <v>-7.3</v>
      </c>
      <c r="V381" s="21">
        <v>3.7</v>
      </c>
      <c r="W381" s="21">
        <v>-5.2999999999999999E-2</v>
      </c>
      <c r="X381" s="4">
        <v>2</v>
      </c>
    </row>
    <row r="382" spans="1:24" x14ac:dyDescent="0.35">
      <c r="A382" s="21">
        <v>31</v>
      </c>
      <c r="B382" s="21">
        <v>68</v>
      </c>
      <c r="C382" s="21">
        <v>18.5</v>
      </c>
      <c r="D382" s="21">
        <v>4.2</v>
      </c>
      <c r="E382" s="21">
        <v>0.42899999999999999</v>
      </c>
      <c r="F382" s="21">
        <v>2.1</v>
      </c>
      <c r="G382" s="21">
        <v>0.32600000000000001</v>
      </c>
      <c r="H382" s="21">
        <v>2.1</v>
      </c>
      <c r="I382" s="21">
        <v>0.52700000000000002</v>
      </c>
      <c r="J382" s="21">
        <v>0.50900000000000001</v>
      </c>
      <c r="K382" s="21">
        <v>1.1000000000000001</v>
      </c>
      <c r="L382" s="21">
        <v>0.72399999999999998</v>
      </c>
      <c r="M382" s="21">
        <v>3.2</v>
      </c>
      <c r="N382" s="21">
        <v>0.8</v>
      </c>
      <c r="O382" s="21">
        <v>1</v>
      </c>
      <c r="P382" s="21">
        <v>0.5</v>
      </c>
      <c r="Q382" s="21">
        <v>0.5</v>
      </c>
      <c r="R382" s="21">
        <v>1.4</v>
      </c>
      <c r="S382" s="21">
        <v>5.0999999999999996</v>
      </c>
      <c r="T382" s="21">
        <v>5</v>
      </c>
      <c r="U382" s="21">
        <v>-2.2999999999999998</v>
      </c>
      <c r="V382" s="21">
        <v>10.7</v>
      </c>
      <c r="W382" s="21">
        <v>6.3E-2</v>
      </c>
      <c r="X382" s="4">
        <v>2</v>
      </c>
    </row>
    <row r="383" spans="1:24" x14ac:dyDescent="0.35">
      <c r="A383" s="21">
        <v>20</v>
      </c>
      <c r="B383" s="21">
        <v>81</v>
      </c>
      <c r="C383" s="21">
        <v>26.7</v>
      </c>
      <c r="D383" s="21">
        <v>12.2</v>
      </c>
      <c r="E383" s="21">
        <v>0.42799999999999999</v>
      </c>
      <c r="F383" s="21">
        <v>4.0999999999999996</v>
      </c>
      <c r="G383" s="21">
        <v>0.28499999999999998</v>
      </c>
      <c r="H383" s="21">
        <v>8.1</v>
      </c>
      <c r="I383" s="21">
        <v>0.501</v>
      </c>
      <c r="J383" s="21">
        <v>0.47599999999999998</v>
      </c>
      <c r="K383" s="21">
        <v>4.2</v>
      </c>
      <c r="L383" s="21">
        <v>0.72399999999999998</v>
      </c>
      <c r="M383" s="21">
        <v>3.7</v>
      </c>
      <c r="N383" s="21">
        <v>4.0999999999999996</v>
      </c>
      <c r="O383" s="21">
        <v>0.9</v>
      </c>
      <c r="P383" s="21">
        <v>0.3</v>
      </c>
      <c r="Q383" s="21">
        <v>2.2000000000000002</v>
      </c>
      <c r="R383" s="21">
        <v>2</v>
      </c>
      <c r="S383" s="21">
        <v>14.7</v>
      </c>
      <c r="T383" s="21">
        <v>0</v>
      </c>
      <c r="U383" s="21">
        <v>-3.2</v>
      </c>
      <c r="V383" s="21">
        <v>13.7</v>
      </c>
      <c r="W383" s="21">
        <v>2.5000000000000001E-2</v>
      </c>
      <c r="X383" s="4">
        <v>0.3</v>
      </c>
    </row>
    <row r="384" spans="1:24" x14ac:dyDescent="0.35">
      <c r="A384" s="21">
        <v>23</v>
      </c>
      <c r="B384" s="21">
        <v>63</v>
      </c>
      <c r="C384" s="21">
        <v>25</v>
      </c>
      <c r="D384" s="21">
        <v>8.1999999999999993</v>
      </c>
      <c r="E384" s="21">
        <v>0.39700000000000002</v>
      </c>
      <c r="F384" s="21">
        <v>4.3</v>
      </c>
      <c r="G384" s="21">
        <v>0.35299999999999998</v>
      </c>
      <c r="H384" s="21">
        <v>3.9</v>
      </c>
      <c r="I384" s="21">
        <v>0.44700000000000001</v>
      </c>
      <c r="J384" s="21">
        <v>0.49</v>
      </c>
      <c r="K384" s="21">
        <v>1.3</v>
      </c>
      <c r="L384" s="21">
        <v>0.72299999999999998</v>
      </c>
      <c r="M384" s="21">
        <v>3.8</v>
      </c>
      <c r="N384" s="21">
        <v>2</v>
      </c>
      <c r="O384" s="21">
        <v>0.8</v>
      </c>
      <c r="P384" s="21">
        <v>0.5</v>
      </c>
      <c r="Q384" s="21">
        <v>1.4</v>
      </c>
      <c r="R384" s="21">
        <v>1.4</v>
      </c>
      <c r="S384" s="21">
        <v>9</v>
      </c>
      <c r="T384" s="21">
        <v>4</v>
      </c>
      <c r="U384" s="21">
        <v>-3.7</v>
      </c>
      <c r="V384" s="21">
        <v>9</v>
      </c>
      <c r="W384" s="21">
        <v>1.2E-2</v>
      </c>
      <c r="X384" s="4">
        <v>-0.3</v>
      </c>
    </row>
    <row r="385" spans="1:24" x14ac:dyDescent="0.35">
      <c r="A385" s="21">
        <v>24</v>
      </c>
      <c r="B385" s="21">
        <v>78</v>
      </c>
      <c r="C385" s="21">
        <v>32.700000000000003</v>
      </c>
      <c r="D385" s="21">
        <v>9.1999999999999993</v>
      </c>
      <c r="E385" s="21">
        <v>0.45800000000000002</v>
      </c>
      <c r="F385" s="21">
        <v>4.5999999999999996</v>
      </c>
      <c r="G385" s="21">
        <v>0.375</v>
      </c>
      <c r="H385" s="21">
        <v>4.5999999999999996</v>
      </c>
      <c r="I385" s="21">
        <v>0.54200000000000004</v>
      </c>
      <c r="J385" s="21">
        <v>0.55200000000000005</v>
      </c>
      <c r="K385" s="21">
        <v>1.6</v>
      </c>
      <c r="L385" s="21">
        <v>0.72199999999999998</v>
      </c>
      <c r="M385" s="21">
        <v>5.8</v>
      </c>
      <c r="N385" s="21">
        <v>2.2000000000000002</v>
      </c>
      <c r="O385" s="21">
        <v>1.5</v>
      </c>
      <c r="P385" s="21">
        <v>0.6</v>
      </c>
      <c r="Q385" s="21">
        <v>1.4</v>
      </c>
      <c r="R385" s="21">
        <v>2.9</v>
      </c>
      <c r="S385" s="21">
        <v>11.3</v>
      </c>
      <c r="T385" s="21">
        <v>1</v>
      </c>
      <c r="U385" s="21">
        <v>-0.1</v>
      </c>
      <c r="V385" s="21">
        <v>12.5</v>
      </c>
      <c r="W385" s="21">
        <v>9.7000000000000003E-2</v>
      </c>
      <c r="X385" s="4">
        <v>2.2999999999999998</v>
      </c>
    </row>
    <row r="386" spans="1:24" x14ac:dyDescent="0.35">
      <c r="A386" s="21">
        <v>26</v>
      </c>
      <c r="B386" s="21">
        <v>57</v>
      </c>
      <c r="C386" s="21">
        <v>32.200000000000003</v>
      </c>
      <c r="D386" s="21">
        <v>11.7</v>
      </c>
      <c r="E386" s="21">
        <v>0.45300000000000001</v>
      </c>
      <c r="F386" s="21">
        <v>4.2</v>
      </c>
      <c r="G386" s="21">
        <v>0.38100000000000001</v>
      </c>
      <c r="H386" s="21">
        <v>7.5</v>
      </c>
      <c r="I386" s="21">
        <v>0.49299999999999999</v>
      </c>
      <c r="J386" s="21">
        <v>0.52100000000000002</v>
      </c>
      <c r="K386" s="21">
        <v>3.5</v>
      </c>
      <c r="L386" s="21">
        <v>0.72199999999999998</v>
      </c>
      <c r="M386" s="21">
        <v>7.8</v>
      </c>
      <c r="N386" s="21">
        <v>2.2999999999999998</v>
      </c>
      <c r="O386" s="21">
        <v>1.1000000000000001</v>
      </c>
      <c r="P386" s="21">
        <v>1.1000000000000001</v>
      </c>
      <c r="Q386" s="21">
        <v>2.1</v>
      </c>
      <c r="R386" s="21">
        <v>2.2999999999999998</v>
      </c>
      <c r="S386" s="21">
        <v>14.7</v>
      </c>
      <c r="T386" s="21">
        <v>5</v>
      </c>
      <c r="U386" s="21">
        <v>-0.9</v>
      </c>
      <c r="V386" s="21">
        <v>14</v>
      </c>
      <c r="W386" s="21">
        <v>6.2E-2</v>
      </c>
      <c r="X386" s="4">
        <v>0</v>
      </c>
    </row>
    <row r="387" spans="1:24" x14ac:dyDescent="0.35">
      <c r="A387" s="21">
        <v>21</v>
      </c>
      <c r="B387" s="21">
        <v>10</v>
      </c>
      <c r="C387" s="21">
        <v>12.4</v>
      </c>
      <c r="D387" s="21">
        <v>4.7</v>
      </c>
      <c r="E387" s="21">
        <v>0.38300000000000001</v>
      </c>
      <c r="F387" s="21">
        <v>1.9</v>
      </c>
      <c r="G387" s="21">
        <v>0.21099999999999999</v>
      </c>
      <c r="H387" s="21">
        <v>2.8</v>
      </c>
      <c r="I387" s="21">
        <v>0.5</v>
      </c>
      <c r="J387" s="21">
        <v>0.42599999999999999</v>
      </c>
      <c r="K387" s="21">
        <v>1.8</v>
      </c>
      <c r="L387" s="21">
        <v>0.72199999999999998</v>
      </c>
      <c r="M387" s="21">
        <v>2.1</v>
      </c>
      <c r="N387" s="21">
        <v>1.7</v>
      </c>
      <c r="O387" s="21">
        <v>0.3</v>
      </c>
      <c r="P387" s="21">
        <v>0.2</v>
      </c>
      <c r="Q387" s="21">
        <v>0.8</v>
      </c>
      <c r="R387" s="21">
        <v>0.9</v>
      </c>
      <c r="S387" s="21">
        <v>5.3</v>
      </c>
      <c r="T387" s="21">
        <v>1</v>
      </c>
      <c r="U387" s="21">
        <v>-4</v>
      </c>
      <c r="V387" s="21">
        <v>10.5</v>
      </c>
      <c r="W387" s="21">
        <v>1.7999999999999999E-2</v>
      </c>
      <c r="X387" s="4">
        <v>-0.3</v>
      </c>
    </row>
    <row r="388" spans="1:24" x14ac:dyDescent="0.35">
      <c r="A388" s="21">
        <v>28</v>
      </c>
      <c r="B388" s="21">
        <v>74</v>
      </c>
      <c r="C388" s="21">
        <v>24.6</v>
      </c>
      <c r="D388" s="21">
        <v>5.3</v>
      </c>
      <c r="E388" s="21">
        <v>0.45800000000000002</v>
      </c>
      <c r="F388" s="21">
        <v>3.1</v>
      </c>
      <c r="G388" s="21">
        <v>0.38200000000000001</v>
      </c>
      <c r="H388" s="21">
        <v>2.1</v>
      </c>
      <c r="I388" s="21">
        <v>0.56999999999999995</v>
      </c>
      <c r="J388" s="21">
        <v>0.57199999999999995</v>
      </c>
      <c r="K388" s="21">
        <v>0.6</v>
      </c>
      <c r="L388" s="21">
        <v>0.72099999999999997</v>
      </c>
      <c r="M388" s="21">
        <v>3.4</v>
      </c>
      <c r="N388" s="21">
        <v>1.5</v>
      </c>
      <c r="O388" s="21">
        <v>0.9</v>
      </c>
      <c r="P388" s="21">
        <v>0.5</v>
      </c>
      <c r="Q388" s="21">
        <v>0.7</v>
      </c>
      <c r="R388" s="21">
        <v>2.2000000000000002</v>
      </c>
      <c r="S388" s="21">
        <v>6.5</v>
      </c>
      <c r="T388" s="21">
        <v>4</v>
      </c>
      <c r="U388" s="21">
        <v>-1.9</v>
      </c>
      <c r="V388" s="21">
        <v>9.9</v>
      </c>
      <c r="W388" s="21">
        <v>8.7999999999999995E-2</v>
      </c>
      <c r="X388" s="4">
        <v>0.7</v>
      </c>
    </row>
    <row r="389" spans="1:24" x14ac:dyDescent="0.35">
      <c r="A389" s="21">
        <v>24</v>
      </c>
      <c r="B389" s="21">
        <v>40</v>
      </c>
      <c r="C389" s="21">
        <v>11.7</v>
      </c>
      <c r="D389" s="21">
        <v>2.7</v>
      </c>
      <c r="E389" s="21">
        <v>0.79800000000000004</v>
      </c>
      <c r="F389" s="21">
        <v>0.1</v>
      </c>
      <c r="G389" s="21">
        <v>0.2</v>
      </c>
      <c r="H389" s="21">
        <v>2.6</v>
      </c>
      <c r="I389" s="21">
        <v>0.82699999999999996</v>
      </c>
      <c r="J389" s="21">
        <v>0.80300000000000005</v>
      </c>
      <c r="K389" s="21">
        <v>0.8</v>
      </c>
      <c r="L389" s="21">
        <v>0.71899999999999997</v>
      </c>
      <c r="M389" s="21">
        <v>3.1</v>
      </c>
      <c r="N389" s="21">
        <v>0.6</v>
      </c>
      <c r="O389" s="21">
        <v>0.4</v>
      </c>
      <c r="P389" s="21">
        <v>0.6</v>
      </c>
      <c r="Q389" s="21">
        <v>0.5</v>
      </c>
      <c r="R389" s="21">
        <v>1.3</v>
      </c>
      <c r="S389" s="21">
        <v>5</v>
      </c>
      <c r="T389" s="21">
        <v>3</v>
      </c>
      <c r="U389" s="21">
        <v>2.9</v>
      </c>
      <c r="V389" s="21">
        <v>20.2</v>
      </c>
      <c r="W389" s="21">
        <v>0.216</v>
      </c>
      <c r="X389" s="4">
        <v>0.2</v>
      </c>
    </row>
    <row r="390" spans="1:24" x14ac:dyDescent="0.35">
      <c r="A390" s="21">
        <v>24</v>
      </c>
      <c r="B390" s="21">
        <v>51</v>
      </c>
      <c r="C390" s="21">
        <v>10.1</v>
      </c>
      <c r="D390" s="21">
        <v>2.7</v>
      </c>
      <c r="E390" s="21">
        <v>0.51400000000000001</v>
      </c>
      <c r="F390" s="21">
        <v>0.9</v>
      </c>
      <c r="G390" s="21">
        <v>0.438</v>
      </c>
      <c r="H390" s="21">
        <v>1.8</v>
      </c>
      <c r="I390" s="21">
        <v>0.55400000000000005</v>
      </c>
      <c r="J390" s="21">
        <v>0.58899999999999997</v>
      </c>
      <c r="K390" s="21">
        <v>0.6</v>
      </c>
      <c r="L390" s="21">
        <v>0.71899999999999997</v>
      </c>
      <c r="M390" s="21">
        <v>1.3</v>
      </c>
      <c r="N390" s="21">
        <v>1.4</v>
      </c>
      <c r="O390" s="21">
        <v>0.3</v>
      </c>
      <c r="P390" s="21">
        <v>0.3</v>
      </c>
      <c r="Q390" s="21">
        <v>0.7</v>
      </c>
      <c r="R390" s="21">
        <v>0.5</v>
      </c>
      <c r="S390" s="21">
        <v>3.7</v>
      </c>
      <c r="T390" s="21">
        <v>1</v>
      </c>
      <c r="U390" s="21">
        <v>1.1000000000000001</v>
      </c>
      <c r="V390" s="21">
        <v>13.1</v>
      </c>
      <c r="W390" s="21">
        <v>0.10199999999999999</v>
      </c>
      <c r="X390" s="4">
        <v>0.3</v>
      </c>
    </row>
    <row r="391" spans="1:24" x14ac:dyDescent="0.35">
      <c r="A391" s="21">
        <v>26</v>
      </c>
      <c r="B391" s="21">
        <v>82</v>
      </c>
      <c r="C391" s="21">
        <v>28</v>
      </c>
      <c r="D391" s="21">
        <v>7.8</v>
      </c>
      <c r="E391" s="21">
        <v>0.70599999999999996</v>
      </c>
      <c r="F391" s="21">
        <v>0.1</v>
      </c>
      <c r="G391" s="21">
        <v>0</v>
      </c>
      <c r="H391" s="21">
        <v>7.7</v>
      </c>
      <c r="I391" s="21">
        <v>0.71199999999999997</v>
      </c>
      <c r="J391" s="21">
        <v>0.70599999999999996</v>
      </c>
      <c r="K391" s="21">
        <v>3.4</v>
      </c>
      <c r="L391" s="21">
        <v>0.71799999999999997</v>
      </c>
      <c r="M391" s="21">
        <v>9.6999999999999993</v>
      </c>
      <c r="N391" s="21">
        <v>1.9</v>
      </c>
      <c r="O391" s="21">
        <v>0.9</v>
      </c>
      <c r="P391" s="21">
        <v>0.9</v>
      </c>
      <c r="Q391" s="21">
        <v>1.2</v>
      </c>
      <c r="R391" s="21">
        <v>1.5</v>
      </c>
      <c r="S391" s="21">
        <v>13.5</v>
      </c>
      <c r="T391" s="21">
        <v>7</v>
      </c>
      <c r="U391" s="21">
        <v>4.2</v>
      </c>
      <c r="V391" s="21">
        <v>22.1</v>
      </c>
      <c r="W391" s="21">
        <v>0.24299999999999999</v>
      </c>
      <c r="X391" s="4">
        <v>0.4</v>
      </c>
    </row>
    <row r="392" spans="1:24" x14ac:dyDescent="0.35">
      <c r="A392" s="21">
        <v>27</v>
      </c>
      <c r="B392" s="21">
        <v>30</v>
      </c>
      <c r="C392" s="21">
        <v>18.8</v>
      </c>
      <c r="D392" s="21">
        <v>8.3000000000000007</v>
      </c>
      <c r="E392" s="21">
        <v>0.56200000000000006</v>
      </c>
      <c r="F392" s="21">
        <v>2.5</v>
      </c>
      <c r="G392" s="21">
        <v>0.36</v>
      </c>
      <c r="H392" s="21">
        <v>5.8</v>
      </c>
      <c r="I392" s="21">
        <v>0.64900000000000002</v>
      </c>
      <c r="J392" s="21">
        <v>0.61599999999999999</v>
      </c>
      <c r="K392" s="21">
        <v>3.7</v>
      </c>
      <c r="L392" s="21">
        <v>0.71799999999999997</v>
      </c>
      <c r="M392" s="21">
        <v>4.9000000000000004</v>
      </c>
      <c r="N392" s="21">
        <v>1.4</v>
      </c>
      <c r="O392" s="21">
        <v>0.8</v>
      </c>
      <c r="P392" s="21">
        <v>0.4</v>
      </c>
      <c r="Q392" s="21">
        <v>1.6</v>
      </c>
      <c r="R392" s="21">
        <v>1.8</v>
      </c>
      <c r="S392" s="21">
        <v>12.9</v>
      </c>
      <c r="T392" s="21">
        <v>6</v>
      </c>
      <c r="U392" s="21">
        <v>4</v>
      </c>
      <c r="V392" s="21">
        <v>22.3</v>
      </c>
      <c r="W392" s="21">
        <v>0.17399999999999999</v>
      </c>
      <c r="X392" s="4">
        <v>1.6</v>
      </c>
    </row>
    <row r="393" spans="1:24" x14ac:dyDescent="0.35">
      <c r="A393" s="21">
        <v>30</v>
      </c>
      <c r="B393" s="21">
        <v>69</v>
      </c>
      <c r="C393" s="21">
        <v>16.399999999999999</v>
      </c>
      <c r="D393" s="21">
        <v>5.0999999999999996</v>
      </c>
      <c r="E393" s="21">
        <v>0.48299999999999998</v>
      </c>
      <c r="F393" s="21">
        <v>2.5</v>
      </c>
      <c r="G393" s="21">
        <v>0.38600000000000001</v>
      </c>
      <c r="H393" s="21">
        <v>2.7</v>
      </c>
      <c r="I393" s="21">
        <v>0.57399999999999995</v>
      </c>
      <c r="J393" s="21">
        <v>0.57599999999999996</v>
      </c>
      <c r="K393" s="21">
        <v>0.6</v>
      </c>
      <c r="L393" s="21">
        <v>0.71799999999999997</v>
      </c>
      <c r="M393" s="21">
        <v>3.5</v>
      </c>
      <c r="N393" s="21">
        <v>1.4</v>
      </c>
      <c r="O393" s="21">
        <v>0.6</v>
      </c>
      <c r="P393" s="21">
        <v>0.1</v>
      </c>
      <c r="Q393" s="21">
        <v>0.6</v>
      </c>
      <c r="R393" s="21">
        <v>1.6</v>
      </c>
      <c r="S393" s="21">
        <v>6.3</v>
      </c>
      <c r="T393" s="21">
        <v>6</v>
      </c>
      <c r="U393" s="21">
        <v>0.6</v>
      </c>
      <c r="V393" s="21">
        <v>13.7</v>
      </c>
      <c r="W393" s="21">
        <v>0.151</v>
      </c>
      <c r="X393" s="4">
        <v>0.6</v>
      </c>
    </row>
    <row r="394" spans="1:24" x14ac:dyDescent="0.35">
      <c r="A394" s="21">
        <v>25</v>
      </c>
      <c r="B394" s="21">
        <v>71</v>
      </c>
      <c r="C394" s="21">
        <v>29.2</v>
      </c>
      <c r="D394" s="21">
        <v>8.4</v>
      </c>
      <c r="E394" s="21">
        <v>0.435</v>
      </c>
      <c r="F394" s="21">
        <v>5.8</v>
      </c>
      <c r="G394" s="21">
        <v>0.41199999999999998</v>
      </c>
      <c r="H394" s="21">
        <v>2.5</v>
      </c>
      <c r="I394" s="21">
        <v>0.48899999999999999</v>
      </c>
      <c r="J394" s="21">
        <v>0.57799999999999996</v>
      </c>
      <c r="K394" s="21">
        <v>0.6</v>
      </c>
      <c r="L394" s="21">
        <v>0.71699999999999997</v>
      </c>
      <c r="M394" s="21">
        <v>4.0999999999999996</v>
      </c>
      <c r="N394" s="21">
        <v>1.6</v>
      </c>
      <c r="O394" s="21">
        <v>1.1000000000000001</v>
      </c>
      <c r="P394" s="21">
        <v>0.5</v>
      </c>
      <c r="Q394" s="21">
        <v>0.7</v>
      </c>
      <c r="R394" s="21">
        <v>2.9</v>
      </c>
      <c r="S394" s="21">
        <v>10.1</v>
      </c>
      <c r="T394" s="21">
        <v>5</v>
      </c>
      <c r="U394" s="21">
        <v>0.2</v>
      </c>
      <c r="V394" s="21">
        <v>11.3</v>
      </c>
      <c r="W394" s="21">
        <v>0.129</v>
      </c>
      <c r="X394" s="4">
        <v>0.7</v>
      </c>
    </row>
    <row r="395" spans="1:24" x14ac:dyDescent="0.35">
      <c r="A395" s="21">
        <v>24</v>
      </c>
      <c r="B395" s="21">
        <v>55</v>
      </c>
      <c r="C395" s="21">
        <v>19.100000000000001</v>
      </c>
      <c r="D395" s="21">
        <v>4.9000000000000004</v>
      </c>
      <c r="E395" s="21">
        <v>0.46400000000000002</v>
      </c>
      <c r="F395" s="21">
        <v>2.7</v>
      </c>
      <c r="G395" s="21">
        <v>0.371</v>
      </c>
      <c r="H395" s="21">
        <v>2.1</v>
      </c>
      <c r="I395" s="21">
        <v>0.58599999999999997</v>
      </c>
      <c r="J395" s="21">
        <v>0.56899999999999995</v>
      </c>
      <c r="K395" s="21">
        <v>0.8</v>
      </c>
      <c r="L395" s="21">
        <v>0.71699999999999997</v>
      </c>
      <c r="M395" s="21">
        <v>2.4</v>
      </c>
      <c r="N395" s="21">
        <v>1.2</v>
      </c>
      <c r="O395" s="21">
        <v>0.6</v>
      </c>
      <c r="P395" s="21">
        <v>0.3</v>
      </c>
      <c r="Q395" s="21">
        <v>0.4</v>
      </c>
      <c r="R395" s="21">
        <v>1.9</v>
      </c>
      <c r="S395" s="21">
        <v>6.1</v>
      </c>
      <c r="T395" s="21">
        <v>4</v>
      </c>
      <c r="U395" s="21">
        <v>-0.5</v>
      </c>
      <c r="V395" s="21">
        <v>10.7</v>
      </c>
      <c r="W395" s="21">
        <v>0.115</v>
      </c>
      <c r="X395" s="4">
        <v>0.4</v>
      </c>
    </row>
    <row r="396" spans="1:24" x14ac:dyDescent="0.35">
      <c r="A396" s="21">
        <v>33</v>
      </c>
      <c r="B396" s="21">
        <v>56</v>
      </c>
      <c r="C396" s="21">
        <v>32.700000000000003</v>
      </c>
      <c r="D396" s="21">
        <v>17.899999999999999</v>
      </c>
      <c r="E396" s="21">
        <v>0.44400000000000001</v>
      </c>
      <c r="F396" s="21">
        <v>8.1999999999999993</v>
      </c>
      <c r="G396" s="21">
        <v>0.373</v>
      </c>
      <c r="H396" s="21">
        <v>9.6999999999999993</v>
      </c>
      <c r="I396" s="21">
        <v>0.505</v>
      </c>
      <c r="J396" s="21">
        <v>0.53</v>
      </c>
      <c r="K396" s="21">
        <v>3.1</v>
      </c>
      <c r="L396" s="21">
        <v>0.71699999999999997</v>
      </c>
      <c r="M396" s="21">
        <v>3.8</v>
      </c>
      <c r="N396" s="21">
        <v>4.0999999999999996</v>
      </c>
      <c r="O396" s="21">
        <v>0.8</v>
      </c>
      <c r="P396" s="21">
        <v>0.4</v>
      </c>
      <c r="Q396" s="21">
        <v>1.9</v>
      </c>
      <c r="R396" s="21">
        <v>2.2000000000000002</v>
      </c>
      <c r="S396" s="21">
        <v>21.1</v>
      </c>
      <c r="T396" s="21">
        <v>11</v>
      </c>
      <c r="U396" s="21">
        <v>-1.4</v>
      </c>
      <c r="V396" s="21">
        <v>15.8</v>
      </c>
      <c r="W396" s="21">
        <v>3.7999999999999999E-2</v>
      </c>
      <c r="X396" s="4">
        <v>0</v>
      </c>
    </row>
    <row r="397" spans="1:24" x14ac:dyDescent="0.35">
      <c r="A397" s="21">
        <v>24</v>
      </c>
      <c r="B397" s="21">
        <v>37</v>
      </c>
      <c r="C397" s="21">
        <v>9.1999999999999993</v>
      </c>
      <c r="D397" s="21">
        <v>1.8</v>
      </c>
      <c r="E397" s="21">
        <v>0.60599999999999998</v>
      </c>
      <c r="F397" s="21">
        <v>0.1</v>
      </c>
      <c r="G397" s="21">
        <v>0</v>
      </c>
      <c r="H397" s="21">
        <v>1.7</v>
      </c>
      <c r="I397" s="21">
        <v>0.64500000000000002</v>
      </c>
      <c r="J397" s="21">
        <v>0.60599999999999998</v>
      </c>
      <c r="K397" s="21">
        <v>0.4</v>
      </c>
      <c r="L397" s="21">
        <v>0.71399999999999997</v>
      </c>
      <c r="M397" s="21">
        <v>2.5</v>
      </c>
      <c r="N397" s="21">
        <v>0.4</v>
      </c>
      <c r="O397" s="21">
        <v>0.2</v>
      </c>
      <c r="P397" s="21">
        <v>0.4</v>
      </c>
      <c r="Q397" s="21">
        <v>0.3</v>
      </c>
      <c r="R397" s="21">
        <v>1.2</v>
      </c>
      <c r="S397" s="21">
        <v>2.4</v>
      </c>
      <c r="T397" s="21">
        <v>2</v>
      </c>
      <c r="U397" s="21">
        <v>-2.8</v>
      </c>
      <c r="V397" s="21">
        <v>13</v>
      </c>
      <c r="W397" s="21">
        <v>0.13</v>
      </c>
      <c r="X397" s="4">
        <v>0</v>
      </c>
    </row>
    <row r="398" spans="1:24" x14ac:dyDescent="0.35">
      <c r="A398" s="21">
        <v>26</v>
      </c>
      <c r="B398" s="21">
        <v>69</v>
      </c>
      <c r="C398" s="21">
        <v>24.3</v>
      </c>
      <c r="D398" s="21">
        <v>8.8000000000000007</v>
      </c>
      <c r="E398" s="21">
        <v>0.42499999999999999</v>
      </c>
      <c r="F398" s="21">
        <v>5.7</v>
      </c>
      <c r="G398" s="21">
        <v>0.33800000000000002</v>
      </c>
      <c r="H398" s="21">
        <v>3.1</v>
      </c>
      <c r="I398" s="21">
        <v>0.58699999999999997</v>
      </c>
      <c r="J398" s="21">
        <v>0.53500000000000003</v>
      </c>
      <c r="K398" s="21">
        <v>0.7</v>
      </c>
      <c r="L398" s="21">
        <v>0.71399999999999997</v>
      </c>
      <c r="M398" s="21">
        <v>3</v>
      </c>
      <c r="N398" s="21">
        <v>2.2999999999999998</v>
      </c>
      <c r="O398" s="21">
        <v>1</v>
      </c>
      <c r="P398" s="21">
        <v>0.3</v>
      </c>
      <c r="Q398" s="21">
        <v>1</v>
      </c>
      <c r="R398" s="21">
        <v>1.8</v>
      </c>
      <c r="S398" s="21">
        <v>9.9</v>
      </c>
      <c r="T398" s="21">
        <v>6</v>
      </c>
      <c r="U398" s="21">
        <v>-2</v>
      </c>
      <c r="V398" s="21">
        <v>11.3</v>
      </c>
      <c r="W398" s="21">
        <v>5.3999999999999999E-2</v>
      </c>
      <c r="X398" s="4">
        <v>0</v>
      </c>
    </row>
    <row r="399" spans="1:24" x14ac:dyDescent="0.35">
      <c r="A399" s="21">
        <v>28</v>
      </c>
      <c r="B399" s="21">
        <v>72</v>
      </c>
      <c r="C399" s="21">
        <v>21.2</v>
      </c>
      <c r="D399" s="21">
        <v>5.8</v>
      </c>
      <c r="E399" s="21">
        <v>0.4</v>
      </c>
      <c r="F399" s="21">
        <v>4.3</v>
      </c>
      <c r="G399" s="21">
        <v>0.35299999999999998</v>
      </c>
      <c r="H399" s="21">
        <v>1.5</v>
      </c>
      <c r="I399" s="21">
        <v>0.53200000000000003</v>
      </c>
      <c r="J399" s="21">
        <v>0.53</v>
      </c>
      <c r="K399" s="21">
        <v>0.3</v>
      </c>
      <c r="L399" s="21">
        <v>0.71399999999999997</v>
      </c>
      <c r="M399" s="21">
        <v>1.3</v>
      </c>
      <c r="N399" s="21">
        <v>1.4</v>
      </c>
      <c r="O399" s="21">
        <v>0.7</v>
      </c>
      <c r="P399" s="21">
        <v>0.2</v>
      </c>
      <c r="Q399" s="21">
        <v>0.6</v>
      </c>
      <c r="R399" s="21">
        <v>2.1</v>
      </c>
      <c r="S399" s="21">
        <v>6.4</v>
      </c>
      <c r="T399" s="21">
        <v>5</v>
      </c>
      <c r="U399" s="21">
        <v>-4</v>
      </c>
      <c r="V399" s="21">
        <v>7.4</v>
      </c>
      <c r="W399" s="21">
        <v>3.9E-2</v>
      </c>
      <c r="X399" s="4">
        <v>-0.1</v>
      </c>
    </row>
    <row r="400" spans="1:24" x14ac:dyDescent="0.35">
      <c r="A400" s="21">
        <v>25</v>
      </c>
      <c r="B400" s="21">
        <v>40</v>
      </c>
      <c r="C400" s="21">
        <v>6.8</v>
      </c>
      <c r="D400" s="21">
        <v>1.8</v>
      </c>
      <c r="E400" s="21">
        <v>0.45800000000000002</v>
      </c>
      <c r="F400" s="21">
        <v>0.7</v>
      </c>
      <c r="G400" s="21">
        <v>0.23100000000000001</v>
      </c>
      <c r="H400" s="21">
        <v>1.2</v>
      </c>
      <c r="I400" s="21">
        <v>0.58699999999999997</v>
      </c>
      <c r="J400" s="21">
        <v>0.5</v>
      </c>
      <c r="K400" s="21">
        <v>0.2</v>
      </c>
      <c r="L400" s="21">
        <v>0.71399999999999997</v>
      </c>
      <c r="M400" s="21">
        <v>1.6</v>
      </c>
      <c r="N400" s="21">
        <v>0.6</v>
      </c>
      <c r="O400" s="21">
        <v>0.2</v>
      </c>
      <c r="P400" s="21">
        <v>0.1</v>
      </c>
      <c r="Q400" s="21">
        <v>0.3</v>
      </c>
      <c r="R400" s="21">
        <v>0.6</v>
      </c>
      <c r="S400" s="21">
        <v>1.9</v>
      </c>
      <c r="T400" s="21">
        <v>1</v>
      </c>
      <c r="U400" s="21">
        <v>-2.1</v>
      </c>
      <c r="V400" s="21">
        <v>10.8</v>
      </c>
      <c r="W400" s="21">
        <v>8.5000000000000006E-2</v>
      </c>
      <c r="X400" s="4">
        <v>0.1</v>
      </c>
    </row>
    <row r="401" spans="1:24" x14ac:dyDescent="0.35">
      <c r="A401" s="21">
        <v>22</v>
      </c>
      <c r="B401" s="21">
        <v>16</v>
      </c>
      <c r="C401" s="21">
        <v>5.8</v>
      </c>
      <c r="D401" s="21">
        <v>2.1</v>
      </c>
      <c r="E401" s="21">
        <v>0.35299999999999998</v>
      </c>
      <c r="F401" s="21">
        <v>1.1000000000000001</v>
      </c>
      <c r="G401" s="21">
        <v>0.222</v>
      </c>
      <c r="H401" s="21">
        <v>1</v>
      </c>
      <c r="I401" s="21">
        <v>0.5</v>
      </c>
      <c r="J401" s="21">
        <v>0.41199999999999998</v>
      </c>
      <c r="K401" s="21">
        <v>0.4</v>
      </c>
      <c r="L401" s="21">
        <v>0.71399999999999997</v>
      </c>
      <c r="M401" s="21">
        <v>0.8</v>
      </c>
      <c r="N401" s="21">
        <v>0.8</v>
      </c>
      <c r="O401" s="21">
        <v>0.3</v>
      </c>
      <c r="P401" s="21">
        <v>0.1</v>
      </c>
      <c r="Q401" s="21">
        <v>0.8</v>
      </c>
      <c r="R401" s="21">
        <v>0.1</v>
      </c>
      <c r="S401" s="21">
        <v>2.1</v>
      </c>
      <c r="T401" s="21">
        <v>2</v>
      </c>
      <c r="U401" s="21">
        <v>-6.2</v>
      </c>
      <c r="V401" s="21">
        <v>6.5</v>
      </c>
      <c r="W401" s="21">
        <v>-8.1000000000000003E-2</v>
      </c>
      <c r="X401" s="4">
        <v>0.4</v>
      </c>
    </row>
    <row r="402" spans="1:24" x14ac:dyDescent="0.35">
      <c r="A402" s="21">
        <v>24</v>
      </c>
      <c r="B402" s="21">
        <v>79</v>
      </c>
      <c r="C402" s="21">
        <v>21.3</v>
      </c>
      <c r="D402" s="21">
        <v>7.5</v>
      </c>
      <c r="E402" s="21">
        <v>0.48</v>
      </c>
      <c r="F402" s="21">
        <v>2.8</v>
      </c>
      <c r="G402" s="21">
        <v>0.39700000000000002</v>
      </c>
      <c r="H402" s="21">
        <v>4.7</v>
      </c>
      <c r="I402" s="21">
        <v>0.52800000000000002</v>
      </c>
      <c r="J402" s="21">
        <v>0.55300000000000005</v>
      </c>
      <c r="K402" s="21">
        <v>2.2000000000000002</v>
      </c>
      <c r="L402" s="21">
        <v>0.71299999999999997</v>
      </c>
      <c r="M402" s="21">
        <v>3.3</v>
      </c>
      <c r="N402" s="21">
        <v>4.4000000000000004</v>
      </c>
      <c r="O402" s="21">
        <v>1.3</v>
      </c>
      <c r="P402" s="21">
        <v>0.4</v>
      </c>
      <c r="Q402" s="21">
        <v>1.7</v>
      </c>
      <c r="R402" s="21">
        <v>2.6</v>
      </c>
      <c r="S402" s="21">
        <v>9.9</v>
      </c>
      <c r="T402" s="21">
        <v>2</v>
      </c>
      <c r="U402" s="21">
        <v>1.9</v>
      </c>
      <c r="V402" s="21">
        <v>15.8</v>
      </c>
      <c r="W402" s="21">
        <v>0.13300000000000001</v>
      </c>
      <c r="X402" s="4">
        <v>0</v>
      </c>
    </row>
    <row r="403" spans="1:24" x14ac:dyDescent="0.35">
      <c r="A403" s="21">
        <v>19</v>
      </c>
      <c r="B403" s="21">
        <v>60</v>
      </c>
      <c r="C403" s="21">
        <v>20.7</v>
      </c>
      <c r="D403" s="21">
        <v>5.8</v>
      </c>
      <c r="E403" s="21">
        <v>0.33</v>
      </c>
      <c r="F403" s="21">
        <v>3.4</v>
      </c>
      <c r="G403" s="21">
        <v>0.28299999999999997</v>
      </c>
      <c r="H403" s="21">
        <v>2.2999999999999998</v>
      </c>
      <c r="I403" s="21">
        <v>0.4</v>
      </c>
      <c r="J403" s="21">
        <v>0.41399999999999998</v>
      </c>
      <c r="K403" s="21">
        <v>1.6</v>
      </c>
      <c r="L403" s="21">
        <v>0.71299999999999997</v>
      </c>
      <c r="M403" s="21">
        <v>4.7</v>
      </c>
      <c r="N403" s="21">
        <v>1.2</v>
      </c>
      <c r="O403" s="21">
        <v>0.5</v>
      </c>
      <c r="P403" s="21">
        <v>0.2</v>
      </c>
      <c r="Q403" s="21">
        <v>1</v>
      </c>
      <c r="R403" s="21">
        <v>1.4</v>
      </c>
      <c r="S403" s="21">
        <v>5.9</v>
      </c>
      <c r="T403" s="21">
        <v>0</v>
      </c>
      <c r="U403" s="21">
        <v>-5.2</v>
      </c>
      <c r="V403" s="21">
        <v>7.7</v>
      </c>
      <c r="W403" s="21">
        <v>2E-3</v>
      </c>
      <c r="X403" s="4">
        <v>0.4</v>
      </c>
    </row>
    <row r="404" spans="1:24" x14ac:dyDescent="0.35">
      <c r="A404" s="21">
        <v>24</v>
      </c>
      <c r="B404" s="21">
        <v>57</v>
      </c>
      <c r="C404" s="21">
        <v>20.2</v>
      </c>
      <c r="D404" s="21">
        <v>5.0999999999999996</v>
      </c>
      <c r="E404" s="21">
        <v>0.497</v>
      </c>
      <c r="F404" s="21">
        <v>3.6</v>
      </c>
      <c r="G404" s="21">
        <v>0.437</v>
      </c>
      <c r="H404" s="21">
        <v>1.5</v>
      </c>
      <c r="I404" s="21">
        <v>0.64</v>
      </c>
      <c r="J404" s="21">
        <v>0.65100000000000002</v>
      </c>
      <c r="K404" s="21">
        <v>0.8</v>
      </c>
      <c r="L404" s="21">
        <v>0.71099999999999997</v>
      </c>
      <c r="M404" s="21">
        <v>2.7</v>
      </c>
      <c r="N404" s="21">
        <v>2.6</v>
      </c>
      <c r="O404" s="21">
        <v>0.6</v>
      </c>
      <c r="P404" s="21">
        <v>0.5</v>
      </c>
      <c r="Q404" s="21">
        <v>0.9</v>
      </c>
      <c r="R404" s="21">
        <v>1.8</v>
      </c>
      <c r="S404" s="21">
        <v>7.2</v>
      </c>
      <c r="T404" s="21">
        <v>3</v>
      </c>
      <c r="U404" s="21">
        <v>0.7</v>
      </c>
      <c r="V404" s="21">
        <v>12.7</v>
      </c>
      <c r="W404" s="21">
        <v>0.11</v>
      </c>
      <c r="X404" s="4">
        <v>0.5</v>
      </c>
    </row>
    <row r="405" spans="1:24" x14ac:dyDescent="0.35">
      <c r="A405" s="21">
        <v>32</v>
      </c>
      <c r="B405" s="21">
        <v>62</v>
      </c>
      <c r="C405" s="21">
        <v>15</v>
      </c>
      <c r="D405" s="21">
        <v>4.8</v>
      </c>
      <c r="E405" s="21">
        <v>0.57399999999999995</v>
      </c>
      <c r="F405" s="21">
        <v>1.5</v>
      </c>
      <c r="G405" s="21">
        <v>0.32600000000000001</v>
      </c>
      <c r="H405" s="21">
        <v>3.3</v>
      </c>
      <c r="I405" s="21">
        <v>0.69</v>
      </c>
      <c r="J405" s="21">
        <v>0.626</v>
      </c>
      <c r="K405" s="21">
        <v>0.6</v>
      </c>
      <c r="L405" s="21">
        <v>0.71099999999999997</v>
      </c>
      <c r="M405" s="21">
        <v>3</v>
      </c>
      <c r="N405" s="21">
        <v>1.3</v>
      </c>
      <c r="O405" s="21">
        <v>0.8</v>
      </c>
      <c r="P405" s="21">
        <v>0.3</v>
      </c>
      <c r="Q405" s="21">
        <v>0.6</v>
      </c>
      <c r="R405" s="21">
        <v>1.7</v>
      </c>
      <c r="S405" s="21">
        <v>6.5</v>
      </c>
      <c r="T405" s="21">
        <v>8</v>
      </c>
      <c r="U405" s="21">
        <v>1.4</v>
      </c>
      <c r="V405" s="21">
        <v>16.2</v>
      </c>
      <c r="W405" s="21">
        <v>0.155</v>
      </c>
      <c r="X405" s="4">
        <v>0.1</v>
      </c>
    </row>
    <row r="406" spans="1:24" x14ac:dyDescent="0.35">
      <c r="A406" s="21">
        <v>19</v>
      </c>
      <c r="B406" s="21">
        <v>75</v>
      </c>
      <c r="C406" s="21">
        <v>24.6</v>
      </c>
      <c r="D406" s="21">
        <v>10.4</v>
      </c>
      <c r="E406" s="21">
        <v>0.45800000000000002</v>
      </c>
      <c r="F406" s="21">
        <v>4.5999999999999996</v>
      </c>
      <c r="G406" s="21">
        <v>0.35499999999999998</v>
      </c>
      <c r="H406" s="21">
        <v>5.8</v>
      </c>
      <c r="I406" s="21">
        <v>0.54</v>
      </c>
      <c r="J406" s="21">
        <v>0.53700000000000003</v>
      </c>
      <c r="K406" s="21">
        <v>2</v>
      </c>
      <c r="L406" s="21">
        <v>0.71099999999999997</v>
      </c>
      <c r="M406" s="21">
        <v>3.6</v>
      </c>
      <c r="N406" s="21">
        <v>1.2</v>
      </c>
      <c r="O406" s="21">
        <v>0.7</v>
      </c>
      <c r="P406" s="21">
        <v>0.5</v>
      </c>
      <c r="Q406" s="21">
        <v>1.2</v>
      </c>
      <c r="R406" s="21">
        <v>2</v>
      </c>
      <c r="S406" s="21">
        <v>12.6</v>
      </c>
      <c r="T406" s="21">
        <v>0</v>
      </c>
      <c r="U406" s="21">
        <v>-3.5</v>
      </c>
      <c r="V406" s="21">
        <v>12.2</v>
      </c>
      <c r="W406" s="21">
        <v>4.5999999999999999E-2</v>
      </c>
      <c r="X406" s="4">
        <v>-0.3</v>
      </c>
    </row>
    <row r="407" spans="1:24" x14ac:dyDescent="0.35">
      <c r="A407" s="21">
        <v>22</v>
      </c>
      <c r="B407" s="21">
        <v>43</v>
      </c>
      <c r="C407" s="21">
        <v>8.5</v>
      </c>
      <c r="D407" s="21">
        <v>2.1</v>
      </c>
      <c r="E407" s="21">
        <v>0.38900000000000001</v>
      </c>
      <c r="F407" s="21">
        <v>1.1000000000000001</v>
      </c>
      <c r="G407" s="21">
        <v>0.25</v>
      </c>
      <c r="H407" s="21">
        <v>1</v>
      </c>
      <c r="I407" s="21">
        <v>0.54800000000000004</v>
      </c>
      <c r="J407" s="21">
        <v>0.45600000000000002</v>
      </c>
      <c r="K407" s="21">
        <v>0.9</v>
      </c>
      <c r="L407" s="21">
        <v>0.71099999999999997</v>
      </c>
      <c r="M407" s="21">
        <v>1.3</v>
      </c>
      <c r="N407" s="21">
        <v>0.8</v>
      </c>
      <c r="O407" s="21">
        <v>0.6</v>
      </c>
      <c r="P407" s="21">
        <v>0.1</v>
      </c>
      <c r="Q407" s="21">
        <v>0.4</v>
      </c>
      <c r="R407" s="21">
        <v>1</v>
      </c>
      <c r="S407" s="21">
        <v>2.5</v>
      </c>
      <c r="T407" s="21">
        <v>3</v>
      </c>
      <c r="U407" s="21">
        <v>-2.7</v>
      </c>
      <c r="V407" s="21">
        <v>10.7</v>
      </c>
      <c r="W407" s="21">
        <v>7.0000000000000007E-2</v>
      </c>
      <c r="X407" s="4">
        <v>1.1000000000000001</v>
      </c>
    </row>
    <row r="408" spans="1:24" x14ac:dyDescent="0.35">
      <c r="A408" s="21">
        <v>30</v>
      </c>
      <c r="B408" s="21">
        <v>64</v>
      </c>
      <c r="C408" s="21">
        <v>24.9</v>
      </c>
      <c r="D408" s="21">
        <v>9.4</v>
      </c>
      <c r="E408" s="21">
        <v>0.46700000000000003</v>
      </c>
      <c r="F408" s="21">
        <v>4.4000000000000004</v>
      </c>
      <c r="G408" s="21">
        <v>0.373</v>
      </c>
      <c r="H408" s="21">
        <v>4.9000000000000004</v>
      </c>
      <c r="I408" s="21">
        <v>0.55200000000000005</v>
      </c>
      <c r="J408" s="21">
        <v>0.55600000000000005</v>
      </c>
      <c r="K408" s="21">
        <v>2.4</v>
      </c>
      <c r="L408" s="21">
        <v>0.71</v>
      </c>
      <c r="M408" s="21">
        <v>3.2</v>
      </c>
      <c r="N408" s="21">
        <v>3.4</v>
      </c>
      <c r="O408" s="21">
        <v>0.9</v>
      </c>
      <c r="P408" s="21">
        <v>0.5</v>
      </c>
      <c r="Q408" s="21">
        <v>1.2</v>
      </c>
      <c r="R408" s="21">
        <v>1.5</v>
      </c>
      <c r="S408" s="21">
        <v>12.1</v>
      </c>
      <c r="T408" s="21">
        <v>8</v>
      </c>
      <c r="U408" s="21">
        <v>0.9</v>
      </c>
      <c r="V408" s="21">
        <v>15.2</v>
      </c>
      <c r="W408" s="21">
        <v>0.11899999999999999</v>
      </c>
      <c r="X408" s="4">
        <v>-0.1</v>
      </c>
    </row>
    <row r="409" spans="1:24" x14ac:dyDescent="0.35">
      <c r="A409" s="21">
        <v>22</v>
      </c>
      <c r="B409" s="21">
        <v>73</v>
      </c>
      <c r="C409" s="21">
        <v>13.5</v>
      </c>
      <c r="D409" s="21">
        <v>3.7</v>
      </c>
      <c r="E409" s="21">
        <v>0.44800000000000001</v>
      </c>
      <c r="F409" s="21">
        <v>1.4</v>
      </c>
      <c r="G409" s="21">
        <v>0.35599999999999998</v>
      </c>
      <c r="H409" s="21">
        <v>2.2000000000000002</v>
      </c>
      <c r="I409" s="21">
        <v>0.50600000000000001</v>
      </c>
      <c r="J409" s="21">
        <v>0.51700000000000002</v>
      </c>
      <c r="K409" s="21">
        <v>0.9</v>
      </c>
      <c r="L409" s="21">
        <v>0.71</v>
      </c>
      <c r="M409" s="21">
        <v>1.7</v>
      </c>
      <c r="N409" s="21">
        <v>1.3</v>
      </c>
      <c r="O409" s="21">
        <v>0.6</v>
      </c>
      <c r="P409" s="21">
        <v>0.2</v>
      </c>
      <c r="Q409" s="21">
        <v>0.7</v>
      </c>
      <c r="R409" s="21">
        <v>1.6</v>
      </c>
      <c r="S409" s="21">
        <v>4.5</v>
      </c>
      <c r="T409" s="21">
        <v>2</v>
      </c>
      <c r="U409" s="21">
        <v>-3.8</v>
      </c>
      <c r="V409" s="21">
        <v>9.6</v>
      </c>
      <c r="W409" s="21">
        <v>5.1999999999999998E-2</v>
      </c>
      <c r="X409" s="4">
        <v>-0.7</v>
      </c>
    </row>
    <row r="410" spans="1:24" x14ac:dyDescent="0.35">
      <c r="A410" s="21">
        <v>22</v>
      </c>
      <c r="B410" s="21">
        <v>66</v>
      </c>
      <c r="C410" s="21">
        <v>21.5</v>
      </c>
      <c r="D410" s="21">
        <v>6.6</v>
      </c>
      <c r="E410" s="21">
        <v>0.57999999999999996</v>
      </c>
      <c r="F410" s="21">
        <v>0.8</v>
      </c>
      <c r="G410" s="21">
        <v>0.34599999999999997</v>
      </c>
      <c r="H410" s="21">
        <v>5.8</v>
      </c>
      <c r="I410" s="21">
        <v>0.61199999999999999</v>
      </c>
      <c r="J410" s="21">
        <v>0.6</v>
      </c>
      <c r="K410" s="21">
        <v>1.9</v>
      </c>
      <c r="L410" s="21">
        <v>0.70899999999999996</v>
      </c>
      <c r="M410" s="21">
        <v>8.3000000000000007</v>
      </c>
      <c r="N410" s="21">
        <v>1</v>
      </c>
      <c r="O410" s="21">
        <v>0.5</v>
      </c>
      <c r="P410" s="21">
        <v>1.3</v>
      </c>
      <c r="Q410" s="21">
        <v>1.3</v>
      </c>
      <c r="R410" s="21">
        <v>2.8</v>
      </c>
      <c r="S410" s="21">
        <v>9.1999999999999993</v>
      </c>
      <c r="T410" s="21">
        <v>0</v>
      </c>
      <c r="U410" s="21">
        <v>-0.1</v>
      </c>
      <c r="V410" s="21">
        <v>18.2</v>
      </c>
      <c r="W410" s="21">
        <v>0.16500000000000001</v>
      </c>
      <c r="X410" s="4">
        <v>1</v>
      </c>
    </row>
    <row r="411" spans="1:24" x14ac:dyDescent="0.35">
      <c r="A411" s="21">
        <v>24</v>
      </c>
      <c r="B411" s="21">
        <v>64</v>
      </c>
      <c r="C411" s="21">
        <v>27.2</v>
      </c>
      <c r="D411" s="21">
        <v>8.3000000000000007</v>
      </c>
      <c r="E411" s="21">
        <v>0.498</v>
      </c>
      <c r="F411" s="21">
        <v>4</v>
      </c>
      <c r="G411" s="21">
        <v>0.39900000000000002</v>
      </c>
      <c r="H411" s="21">
        <v>4.4000000000000004</v>
      </c>
      <c r="I411" s="21">
        <v>0.58699999999999997</v>
      </c>
      <c r="J411" s="21">
        <v>0.59299999999999997</v>
      </c>
      <c r="K411" s="21">
        <v>0.8</v>
      </c>
      <c r="L411" s="21">
        <v>0.70799999999999996</v>
      </c>
      <c r="M411" s="21">
        <v>3.8</v>
      </c>
      <c r="N411" s="21">
        <v>1.5</v>
      </c>
      <c r="O411" s="21">
        <v>0.9</v>
      </c>
      <c r="P411" s="21">
        <v>0.5</v>
      </c>
      <c r="Q411" s="21">
        <v>0.8</v>
      </c>
      <c r="R411" s="21">
        <v>2</v>
      </c>
      <c r="S411" s="21">
        <v>10.4</v>
      </c>
      <c r="T411" s="21">
        <v>2</v>
      </c>
      <c r="U411" s="21">
        <v>-0.7</v>
      </c>
      <c r="V411" s="21">
        <v>12</v>
      </c>
      <c r="W411" s="21">
        <v>8.6999999999999994E-2</v>
      </c>
      <c r="X411" s="4">
        <v>2.7</v>
      </c>
    </row>
    <row r="412" spans="1:24" x14ac:dyDescent="0.35">
      <c r="A412" s="21">
        <v>29</v>
      </c>
      <c r="B412" s="21">
        <v>53</v>
      </c>
      <c r="C412" s="21">
        <v>22.1</v>
      </c>
      <c r="D412" s="21">
        <v>6.1</v>
      </c>
      <c r="E412" s="21">
        <v>0.41799999999999998</v>
      </c>
      <c r="F412" s="21">
        <v>2.8</v>
      </c>
      <c r="G412" s="21">
        <v>0.28499999999999998</v>
      </c>
      <c r="H412" s="21">
        <v>3.3</v>
      </c>
      <c r="I412" s="21">
        <v>0.53400000000000003</v>
      </c>
      <c r="J412" s="21">
        <v>0.48499999999999999</v>
      </c>
      <c r="K412" s="21">
        <v>1.2</v>
      </c>
      <c r="L412" s="21">
        <v>0.70499999999999996</v>
      </c>
      <c r="M412" s="21">
        <v>4.2</v>
      </c>
      <c r="N412" s="21">
        <v>2</v>
      </c>
      <c r="O412" s="21">
        <v>1.1000000000000001</v>
      </c>
      <c r="P412" s="21">
        <v>0.6</v>
      </c>
      <c r="Q412" s="21">
        <v>1</v>
      </c>
      <c r="R412" s="21">
        <v>1.8</v>
      </c>
      <c r="S412" s="21">
        <v>6.8</v>
      </c>
      <c r="T412" s="21">
        <v>5</v>
      </c>
      <c r="U412" s="21">
        <v>-1.7</v>
      </c>
      <c r="V412" s="21">
        <v>11.3</v>
      </c>
      <c r="W412" s="21">
        <v>5.3999999999999999E-2</v>
      </c>
      <c r="X412" s="4">
        <v>0.6</v>
      </c>
    </row>
    <row r="413" spans="1:24" x14ac:dyDescent="0.35">
      <c r="A413" s="21">
        <v>26</v>
      </c>
      <c r="B413" s="21">
        <v>32</v>
      </c>
      <c r="C413" s="21">
        <v>12.9</v>
      </c>
      <c r="D413" s="21">
        <v>3.5</v>
      </c>
      <c r="E413" s="21">
        <v>0.46400000000000002</v>
      </c>
      <c r="F413" s="21">
        <v>1.7</v>
      </c>
      <c r="G413" s="21">
        <v>0.27800000000000002</v>
      </c>
      <c r="H413" s="21">
        <v>1.8</v>
      </c>
      <c r="I413" s="21">
        <v>0.63800000000000001</v>
      </c>
      <c r="J413" s="21">
        <v>0.53100000000000003</v>
      </c>
      <c r="K413" s="21">
        <v>0.8</v>
      </c>
      <c r="L413" s="21">
        <v>0.70399999999999996</v>
      </c>
      <c r="M413" s="21">
        <v>4.5</v>
      </c>
      <c r="N413" s="21">
        <v>0.6</v>
      </c>
      <c r="O413" s="21">
        <v>0.3</v>
      </c>
      <c r="P413" s="21">
        <v>1</v>
      </c>
      <c r="Q413" s="21">
        <v>0.6</v>
      </c>
      <c r="R413" s="21">
        <v>1.8</v>
      </c>
      <c r="S413" s="21">
        <v>4.3</v>
      </c>
      <c r="T413" s="21">
        <v>6</v>
      </c>
      <c r="U413" s="21">
        <v>-0.9</v>
      </c>
      <c r="V413" s="21">
        <v>13.9</v>
      </c>
      <c r="W413" s="21">
        <v>0.11700000000000001</v>
      </c>
      <c r="X413" s="4">
        <v>-1</v>
      </c>
    </row>
    <row r="414" spans="1:24" x14ac:dyDescent="0.35">
      <c r="A414" s="21">
        <v>27</v>
      </c>
      <c r="B414" s="21">
        <v>77</v>
      </c>
      <c r="C414" s="21">
        <v>24.3</v>
      </c>
      <c r="D414" s="21">
        <v>7.6</v>
      </c>
      <c r="E414" s="21">
        <v>0.52600000000000002</v>
      </c>
      <c r="F414" s="21">
        <v>2.8</v>
      </c>
      <c r="G414" s="21">
        <v>0.35599999999999998</v>
      </c>
      <c r="H414" s="21">
        <v>4.8</v>
      </c>
      <c r="I414" s="21">
        <v>0.627</v>
      </c>
      <c r="J414" s="21">
        <v>0.59299999999999997</v>
      </c>
      <c r="K414" s="21">
        <v>1.5</v>
      </c>
      <c r="L414" s="21">
        <v>0.70299999999999996</v>
      </c>
      <c r="M414" s="21">
        <v>3.4</v>
      </c>
      <c r="N414" s="21">
        <v>0.8</v>
      </c>
      <c r="O414" s="21">
        <v>1</v>
      </c>
      <c r="P414" s="21">
        <v>0.4</v>
      </c>
      <c r="Q414" s="21">
        <v>0.9</v>
      </c>
      <c r="R414" s="21">
        <v>2</v>
      </c>
      <c r="S414" s="21">
        <v>10.1</v>
      </c>
      <c r="T414" s="21">
        <v>8</v>
      </c>
      <c r="U414" s="21">
        <v>-0.3</v>
      </c>
      <c r="V414" s="21">
        <v>13.5</v>
      </c>
      <c r="W414" s="21">
        <v>0.12</v>
      </c>
      <c r="X414" s="4">
        <v>-0.7</v>
      </c>
    </row>
    <row r="415" spans="1:24" x14ac:dyDescent="0.35">
      <c r="A415" s="21">
        <v>28</v>
      </c>
      <c r="B415" s="21">
        <v>64</v>
      </c>
      <c r="C415" s="21">
        <v>18.899999999999999</v>
      </c>
      <c r="D415" s="21">
        <v>5.9</v>
      </c>
      <c r="E415" s="21">
        <v>0.621</v>
      </c>
      <c r="F415" s="21">
        <v>0.3</v>
      </c>
      <c r="G415" s="21">
        <v>5.8999999999999997E-2</v>
      </c>
      <c r="H415" s="21">
        <v>5.7</v>
      </c>
      <c r="I415" s="21">
        <v>0.64700000000000002</v>
      </c>
      <c r="J415" s="21">
        <v>0.622</v>
      </c>
      <c r="K415" s="21">
        <v>1.4</v>
      </c>
      <c r="L415" s="21">
        <v>0.70099999999999996</v>
      </c>
      <c r="M415" s="21">
        <v>5.0999999999999996</v>
      </c>
      <c r="N415" s="21">
        <v>1</v>
      </c>
      <c r="O415" s="21">
        <v>0.8</v>
      </c>
      <c r="P415" s="21">
        <v>0.6</v>
      </c>
      <c r="Q415" s="21">
        <v>0.6</v>
      </c>
      <c r="R415" s="21">
        <v>2.2999999999999998</v>
      </c>
      <c r="S415" s="21">
        <v>8.3000000000000007</v>
      </c>
      <c r="T415" s="21">
        <v>5</v>
      </c>
      <c r="U415" s="21">
        <v>0.8</v>
      </c>
      <c r="V415" s="21">
        <v>17.600000000000001</v>
      </c>
      <c r="W415" s="21">
        <v>0.17399999999999999</v>
      </c>
      <c r="X415" s="4">
        <v>0.1</v>
      </c>
    </row>
    <row r="416" spans="1:24" x14ac:dyDescent="0.35">
      <c r="A416" s="21">
        <v>29</v>
      </c>
      <c r="B416" s="21">
        <v>69</v>
      </c>
      <c r="C416" s="21">
        <v>19.600000000000001</v>
      </c>
      <c r="D416" s="21">
        <v>5.4</v>
      </c>
      <c r="E416" s="21">
        <v>0.42</v>
      </c>
      <c r="F416" s="21">
        <v>3.4</v>
      </c>
      <c r="G416" s="21">
        <v>0.34</v>
      </c>
      <c r="H416" s="21">
        <v>2</v>
      </c>
      <c r="I416" s="21">
        <v>0.55900000000000005</v>
      </c>
      <c r="J416" s="21">
        <v>0.52800000000000002</v>
      </c>
      <c r="K416" s="21">
        <v>1.2</v>
      </c>
      <c r="L416" s="21">
        <v>0.7</v>
      </c>
      <c r="M416" s="21">
        <v>4.5999999999999996</v>
      </c>
      <c r="N416" s="21">
        <v>1.2</v>
      </c>
      <c r="O416" s="21">
        <v>0.6</v>
      </c>
      <c r="P416" s="21">
        <v>0.3</v>
      </c>
      <c r="Q416" s="21">
        <v>0.6</v>
      </c>
      <c r="R416" s="21">
        <v>1.2</v>
      </c>
      <c r="S416" s="21">
        <v>6.5</v>
      </c>
      <c r="T416" s="21">
        <v>9</v>
      </c>
      <c r="U416" s="21">
        <v>-0.7</v>
      </c>
      <c r="V416" s="21">
        <v>12.3</v>
      </c>
      <c r="W416" s="21">
        <v>9.0999999999999998E-2</v>
      </c>
      <c r="X416" s="4">
        <v>3.6</v>
      </c>
    </row>
    <row r="417" spans="1:24" x14ac:dyDescent="0.35">
      <c r="A417" s="21">
        <v>22</v>
      </c>
      <c r="B417" s="21">
        <v>28</v>
      </c>
      <c r="C417" s="21">
        <v>11.7</v>
      </c>
      <c r="D417" s="21">
        <v>3.9</v>
      </c>
      <c r="E417" s="21">
        <v>0.41699999999999998</v>
      </c>
      <c r="F417" s="21">
        <v>1.8</v>
      </c>
      <c r="G417" s="21">
        <v>0.38</v>
      </c>
      <c r="H417" s="21">
        <v>2.1</v>
      </c>
      <c r="I417" s="21">
        <v>0.44800000000000001</v>
      </c>
      <c r="J417" s="21">
        <v>0.505</v>
      </c>
      <c r="K417" s="21">
        <v>0.4</v>
      </c>
      <c r="L417" s="21">
        <v>0.7</v>
      </c>
      <c r="M417" s="21">
        <v>2</v>
      </c>
      <c r="N417" s="21">
        <v>0.7</v>
      </c>
      <c r="O417" s="21">
        <v>0.3</v>
      </c>
      <c r="P417" s="21">
        <v>0.3</v>
      </c>
      <c r="Q417" s="21">
        <v>0.5</v>
      </c>
      <c r="R417" s="21">
        <v>1</v>
      </c>
      <c r="S417" s="21">
        <v>4.0999999999999996</v>
      </c>
      <c r="T417" s="21">
        <v>1</v>
      </c>
      <c r="U417" s="21">
        <v>-4.4000000000000004</v>
      </c>
      <c r="V417" s="21">
        <v>9.9</v>
      </c>
      <c r="W417" s="21">
        <v>0.03</v>
      </c>
      <c r="X417" s="4">
        <v>-0.1</v>
      </c>
    </row>
    <row r="418" spans="1:24" x14ac:dyDescent="0.35">
      <c r="A418" s="21">
        <v>30</v>
      </c>
      <c r="B418" s="21">
        <v>16</v>
      </c>
      <c r="C418" s="21">
        <v>13.1</v>
      </c>
      <c r="D418" s="21">
        <v>3.6</v>
      </c>
      <c r="E418" s="21">
        <v>0.36199999999999999</v>
      </c>
      <c r="F418" s="21">
        <v>1.6</v>
      </c>
      <c r="G418" s="21">
        <v>0.26900000000000002</v>
      </c>
      <c r="H418" s="21">
        <v>2</v>
      </c>
      <c r="I418" s="21">
        <v>0.438</v>
      </c>
      <c r="J418" s="21">
        <v>0.42199999999999999</v>
      </c>
      <c r="K418" s="21">
        <v>0.6</v>
      </c>
      <c r="L418" s="21">
        <v>0.7</v>
      </c>
      <c r="M418" s="21">
        <v>3.1</v>
      </c>
      <c r="N418" s="21">
        <v>1.4</v>
      </c>
      <c r="O418" s="21">
        <v>0.4</v>
      </c>
      <c r="P418" s="21">
        <v>0.1</v>
      </c>
      <c r="Q418" s="21">
        <v>0.9</v>
      </c>
      <c r="R418" s="21">
        <v>1.2</v>
      </c>
      <c r="S418" s="21">
        <v>3.5</v>
      </c>
      <c r="T418" s="21">
        <v>8</v>
      </c>
      <c r="U418" s="21">
        <v>-4.8</v>
      </c>
      <c r="V418" s="21">
        <v>7.7</v>
      </c>
      <c r="W418" s="21">
        <v>1E-3</v>
      </c>
      <c r="X418" s="4">
        <v>2.2000000000000002</v>
      </c>
    </row>
    <row r="419" spans="1:24" x14ac:dyDescent="0.35">
      <c r="A419" s="21">
        <v>22</v>
      </c>
      <c r="B419" s="21">
        <v>57</v>
      </c>
      <c r="C419" s="21">
        <v>15.9</v>
      </c>
      <c r="D419" s="21">
        <v>7.3</v>
      </c>
      <c r="E419" s="21">
        <v>0.435</v>
      </c>
      <c r="F419" s="21">
        <v>3.5</v>
      </c>
      <c r="G419" s="21">
        <v>0.38600000000000001</v>
      </c>
      <c r="H419" s="21">
        <v>3.8</v>
      </c>
      <c r="I419" s="21">
        <v>0.47899999999999998</v>
      </c>
      <c r="J419" s="21">
        <v>0.52700000000000002</v>
      </c>
      <c r="K419" s="21">
        <v>1.5</v>
      </c>
      <c r="L419" s="21">
        <v>0.69799999999999995</v>
      </c>
      <c r="M419" s="21">
        <v>1.6</v>
      </c>
      <c r="N419" s="21">
        <v>1.4</v>
      </c>
      <c r="O419" s="21">
        <v>0.5</v>
      </c>
      <c r="P419" s="21">
        <v>0.1</v>
      </c>
      <c r="Q419" s="21">
        <v>1.4</v>
      </c>
      <c r="R419" s="21">
        <v>1.6</v>
      </c>
      <c r="S419" s="21">
        <v>8.6999999999999993</v>
      </c>
      <c r="T419" s="21">
        <v>2</v>
      </c>
      <c r="U419" s="21">
        <v>-4.7</v>
      </c>
      <c r="V419" s="21">
        <v>10.4</v>
      </c>
      <c r="W419" s="21">
        <v>-1.6E-2</v>
      </c>
      <c r="X419" s="4">
        <v>-0.1</v>
      </c>
    </row>
    <row r="420" spans="1:24" x14ac:dyDescent="0.35">
      <c r="A420" s="21">
        <v>21</v>
      </c>
      <c r="B420" s="21">
        <v>54</v>
      </c>
      <c r="C420" s="21">
        <v>25.3</v>
      </c>
      <c r="D420" s="21">
        <v>8.6999999999999993</v>
      </c>
      <c r="E420" s="21">
        <v>0.53500000000000003</v>
      </c>
      <c r="F420" s="21">
        <v>1.7</v>
      </c>
      <c r="G420" s="21">
        <v>0.308</v>
      </c>
      <c r="H420" s="21">
        <v>7</v>
      </c>
      <c r="I420" s="21">
        <v>0.59</v>
      </c>
      <c r="J420" s="21">
        <v>0.56499999999999995</v>
      </c>
      <c r="K420" s="21">
        <v>2.2999999999999998</v>
      </c>
      <c r="L420" s="21">
        <v>0.69599999999999995</v>
      </c>
      <c r="M420" s="21">
        <v>6.5</v>
      </c>
      <c r="N420" s="21">
        <v>2.4</v>
      </c>
      <c r="O420" s="21">
        <v>0.8</v>
      </c>
      <c r="P420" s="21">
        <v>0.5</v>
      </c>
      <c r="Q420" s="21">
        <v>1.6</v>
      </c>
      <c r="R420" s="21">
        <v>2.4</v>
      </c>
      <c r="S420" s="21">
        <v>11.4</v>
      </c>
      <c r="T420" s="21">
        <v>2</v>
      </c>
      <c r="U420" s="21">
        <v>-1.2</v>
      </c>
      <c r="V420" s="21">
        <v>15.9</v>
      </c>
      <c r="W420" s="21">
        <v>9.6000000000000002E-2</v>
      </c>
      <c r="X420" s="4">
        <v>2.1</v>
      </c>
    </row>
    <row r="421" spans="1:24" x14ac:dyDescent="0.35">
      <c r="A421" s="21">
        <v>21</v>
      </c>
      <c r="B421" s="21">
        <v>44</v>
      </c>
      <c r="C421" s="21">
        <v>26.3</v>
      </c>
      <c r="D421" s="21">
        <v>8.6</v>
      </c>
      <c r="E421" s="21">
        <v>0.45500000000000002</v>
      </c>
      <c r="F421" s="21">
        <v>4.3</v>
      </c>
      <c r="G421" s="21">
        <v>0.36299999999999999</v>
      </c>
      <c r="H421" s="21">
        <v>4.3</v>
      </c>
      <c r="I421" s="21">
        <v>0.54800000000000004</v>
      </c>
      <c r="J421" s="21">
        <v>0.54600000000000004</v>
      </c>
      <c r="K421" s="21">
        <v>1</v>
      </c>
      <c r="L421" s="21">
        <v>0.69599999999999995</v>
      </c>
      <c r="M421" s="21">
        <v>3.4</v>
      </c>
      <c r="N421" s="21">
        <v>1.6</v>
      </c>
      <c r="O421" s="21">
        <v>1</v>
      </c>
      <c r="P421" s="21">
        <v>0.4</v>
      </c>
      <c r="Q421" s="21">
        <v>1.1000000000000001</v>
      </c>
      <c r="R421" s="21">
        <v>2.2000000000000002</v>
      </c>
      <c r="S421" s="21">
        <v>10.1</v>
      </c>
      <c r="T421" s="21">
        <v>0</v>
      </c>
      <c r="U421" s="21">
        <v>-3.7</v>
      </c>
      <c r="V421" s="21">
        <v>11.3</v>
      </c>
      <c r="W421" s="21">
        <v>3.9E-2</v>
      </c>
      <c r="X421" s="4">
        <v>1.3</v>
      </c>
    </row>
    <row r="422" spans="1:24" x14ac:dyDescent="0.35">
      <c r="A422" s="21">
        <v>21</v>
      </c>
      <c r="B422" s="21">
        <v>60</v>
      </c>
      <c r="C422" s="21">
        <v>11.7</v>
      </c>
      <c r="D422" s="21">
        <v>4.4000000000000004</v>
      </c>
      <c r="E422" s="21">
        <v>0.374</v>
      </c>
      <c r="F422" s="21">
        <v>3.1</v>
      </c>
      <c r="G422" s="21">
        <v>0.29599999999999999</v>
      </c>
      <c r="H422" s="21">
        <v>1.3</v>
      </c>
      <c r="I422" s="21">
        <v>0.56599999999999995</v>
      </c>
      <c r="J422" s="21">
        <v>0.47899999999999998</v>
      </c>
      <c r="K422" s="21">
        <v>0.4</v>
      </c>
      <c r="L422" s="21">
        <v>0.69599999999999995</v>
      </c>
      <c r="M422" s="21">
        <v>1.2</v>
      </c>
      <c r="N422" s="21">
        <v>0.7</v>
      </c>
      <c r="O422" s="21">
        <v>0.2</v>
      </c>
      <c r="P422" s="21">
        <v>0.2</v>
      </c>
      <c r="Q422" s="21">
        <v>0.6</v>
      </c>
      <c r="R422" s="21">
        <v>1.1000000000000001</v>
      </c>
      <c r="S422" s="21">
        <v>4.5</v>
      </c>
      <c r="T422" s="21">
        <v>1</v>
      </c>
      <c r="U422" s="21">
        <v>-5.3</v>
      </c>
      <c r="V422" s="21">
        <v>7.1</v>
      </c>
      <c r="W422" s="21">
        <v>0.01</v>
      </c>
      <c r="X422" s="4">
        <v>-0.1</v>
      </c>
    </row>
    <row r="423" spans="1:24" x14ac:dyDescent="0.35">
      <c r="A423" s="21">
        <v>36</v>
      </c>
      <c r="B423" s="21">
        <v>23</v>
      </c>
      <c r="C423" s="21">
        <v>10.9</v>
      </c>
      <c r="D423" s="21">
        <v>5</v>
      </c>
      <c r="E423" s="21">
        <v>0.35699999999999998</v>
      </c>
      <c r="F423" s="21">
        <v>2.9</v>
      </c>
      <c r="G423" s="21">
        <v>0.35799999999999998</v>
      </c>
      <c r="H423" s="21">
        <v>2.1</v>
      </c>
      <c r="I423" s="21">
        <v>0.35399999999999998</v>
      </c>
      <c r="J423" s="21">
        <v>0.46100000000000002</v>
      </c>
      <c r="K423" s="21">
        <v>1</v>
      </c>
      <c r="L423" s="21">
        <v>0.69599999999999995</v>
      </c>
      <c r="M423" s="21">
        <v>4.0999999999999996</v>
      </c>
      <c r="N423" s="21">
        <v>1</v>
      </c>
      <c r="O423" s="21">
        <v>0.7</v>
      </c>
      <c r="P423" s="21">
        <v>0.2</v>
      </c>
      <c r="Q423" s="21">
        <v>0.6</v>
      </c>
      <c r="R423" s="21">
        <v>0.9</v>
      </c>
      <c r="S423" s="21">
        <v>5.3</v>
      </c>
      <c r="T423" s="21">
        <v>16</v>
      </c>
      <c r="U423" s="21">
        <v>0.4</v>
      </c>
      <c r="V423" s="21">
        <v>16.2</v>
      </c>
      <c r="W423" s="21">
        <v>8.3000000000000004E-2</v>
      </c>
      <c r="X423" s="4">
        <v>-0.4</v>
      </c>
    </row>
    <row r="424" spans="1:24" x14ac:dyDescent="0.35">
      <c r="A424" s="21">
        <v>22</v>
      </c>
      <c r="B424" s="21">
        <v>68</v>
      </c>
      <c r="C424" s="21">
        <v>24.4</v>
      </c>
      <c r="D424" s="21">
        <v>6.3</v>
      </c>
      <c r="E424" s="21">
        <v>0.47699999999999998</v>
      </c>
      <c r="F424" s="21">
        <v>2</v>
      </c>
      <c r="G424" s="21">
        <v>0.35299999999999998</v>
      </c>
      <c r="H424" s="21">
        <v>4.3</v>
      </c>
      <c r="I424" s="21">
        <v>0.53400000000000003</v>
      </c>
      <c r="J424" s="21">
        <v>0.53300000000000003</v>
      </c>
      <c r="K424" s="21">
        <v>2</v>
      </c>
      <c r="L424" s="21">
        <v>0.69299999999999995</v>
      </c>
      <c r="M424" s="21">
        <v>3.4</v>
      </c>
      <c r="N424" s="21">
        <v>1.4</v>
      </c>
      <c r="O424" s="21">
        <v>0.7</v>
      </c>
      <c r="P424" s="21">
        <v>1.4</v>
      </c>
      <c r="Q424" s="21">
        <v>0.8</v>
      </c>
      <c r="R424" s="21">
        <v>1.8</v>
      </c>
      <c r="S424" s="21">
        <v>8.1</v>
      </c>
      <c r="T424" s="21">
        <v>2</v>
      </c>
      <c r="U424" s="21">
        <v>-1.8</v>
      </c>
      <c r="V424" s="21">
        <v>11.4</v>
      </c>
      <c r="W424" s="21">
        <v>7.2999999999999995E-2</v>
      </c>
      <c r="X424" s="4">
        <v>1.7</v>
      </c>
    </row>
    <row r="425" spans="1:24" x14ac:dyDescent="0.35">
      <c r="A425" s="21">
        <v>32</v>
      </c>
      <c r="B425" s="21">
        <v>24</v>
      </c>
      <c r="C425" s="21">
        <v>19.3</v>
      </c>
      <c r="D425" s="21">
        <v>6.5</v>
      </c>
      <c r="E425" s="21">
        <v>0.51600000000000001</v>
      </c>
      <c r="F425" s="21">
        <v>3.2</v>
      </c>
      <c r="G425" s="21">
        <v>0.44700000000000001</v>
      </c>
      <c r="H425" s="21">
        <v>3.3</v>
      </c>
      <c r="I425" s="21">
        <v>0.58199999999999996</v>
      </c>
      <c r="J425" s="21">
        <v>0.626</v>
      </c>
      <c r="K425" s="21">
        <v>0.5</v>
      </c>
      <c r="L425" s="21">
        <v>0.69199999999999995</v>
      </c>
      <c r="M425" s="21">
        <v>4.3</v>
      </c>
      <c r="N425" s="21">
        <v>1.6</v>
      </c>
      <c r="O425" s="21">
        <v>0.8</v>
      </c>
      <c r="P425" s="21">
        <v>0.5</v>
      </c>
      <c r="Q425" s="21">
        <v>0.7</v>
      </c>
      <c r="R425" s="21">
        <v>1.5</v>
      </c>
      <c r="S425" s="21">
        <v>8.5</v>
      </c>
      <c r="T425" s="21">
        <v>9</v>
      </c>
      <c r="U425" s="21">
        <v>1.8</v>
      </c>
      <c r="V425" s="21">
        <v>16</v>
      </c>
      <c r="W425" s="21">
        <v>0.13100000000000001</v>
      </c>
      <c r="X425" s="4">
        <v>0</v>
      </c>
    </row>
    <row r="426" spans="1:24" x14ac:dyDescent="0.35">
      <c r="A426" s="21">
        <v>22</v>
      </c>
      <c r="B426" s="21">
        <v>76</v>
      </c>
      <c r="C426" s="21">
        <v>31.5</v>
      </c>
      <c r="D426" s="21">
        <v>15</v>
      </c>
      <c r="E426" s="21">
        <v>0.496</v>
      </c>
      <c r="F426" s="21">
        <v>1.2</v>
      </c>
      <c r="G426" s="21">
        <v>0.23300000000000001</v>
      </c>
      <c r="H426" s="21">
        <v>13.9</v>
      </c>
      <c r="I426" s="21">
        <v>0.51900000000000002</v>
      </c>
      <c r="J426" s="21">
        <v>0.505</v>
      </c>
      <c r="K426" s="21">
        <v>5.6</v>
      </c>
      <c r="L426" s="21">
        <v>0.69199999999999995</v>
      </c>
      <c r="M426" s="21">
        <v>10.3</v>
      </c>
      <c r="N426" s="21">
        <v>4.9000000000000004</v>
      </c>
      <c r="O426" s="21">
        <v>1.1000000000000001</v>
      </c>
      <c r="P426" s="21">
        <v>0.8</v>
      </c>
      <c r="Q426" s="21">
        <v>2.6</v>
      </c>
      <c r="R426" s="21">
        <v>2.8</v>
      </c>
      <c r="S426" s="21">
        <v>19.100000000000001</v>
      </c>
      <c r="T426" s="21">
        <v>3</v>
      </c>
      <c r="U426" s="21">
        <v>4.4000000000000004</v>
      </c>
      <c r="V426" s="21">
        <v>21.4</v>
      </c>
      <c r="W426" s="21">
        <v>0.16600000000000001</v>
      </c>
      <c r="X426" s="4">
        <v>0.6</v>
      </c>
    </row>
    <row r="427" spans="1:24" x14ac:dyDescent="0.35">
      <c r="A427" s="21">
        <v>29</v>
      </c>
      <c r="B427" s="21">
        <v>73</v>
      </c>
      <c r="C427" s="21">
        <v>18.600000000000001</v>
      </c>
      <c r="D427" s="21">
        <v>3.8</v>
      </c>
      <c r="E427" s="21">
        <v>0.66800000000000004</v>
      </c>
      <c r="F427" s="21">
        <v>0</v>
      </c>
      <c r="G427" s="21">
        <v>0</v>
      </c>
      <c r="H427" s="21">
        <v>3.8</v>
      </c>
      <c r="I427" s="21">
        <v>0.67500000000000004</v>
      </c>
      <c r="J427" s="21">
        <v>0.66800000000000004</v>
      </c>
      <c r="K427" s="21">
        <v>1.3</v>
      </c>
      <c r="L427" s="21">
        <v>0.69099999999999995</v>
      </c>
      <c r="M427" s="21">
        <v>5.3</v>
      </c>
      <c r="N427" s="21">
        <v>1.6</v>
      </c>
      <c r="O427" s="21">
        <v>0.5</v>
      </c>
      <c r="P427" s="21">
        <v>1</v>
      </c>
      <c r="Q427" s="21">
        <v>0.4</v>
      </c>
      <c r="R427" s="21">
        <v>1.6</v>
      </c>
      <c r="S427" s="21">
        <v>6</v>
      </c>
      <c r="T427" s="21">
        <v>7</v>
      </c>
      <c r="U427" s="21">
        <v>3.3</v>
      </c>
      <c r="V427" s="21">
        <v>19.600000000000001</v>
      </c>
      <c r="W427" s="21">
        <v>0.246</v>
      </c>
      <c r="X427" s="4">
        <v>0.4</v>
      </c>
    </row>
    <row r="428" spans="1:24" x14ac:dyDescent="0.35">
      <c r="A428" s="21">
        <v>24</v>
      </c>
      <c r="B428" s="21">
        <v>65</v>
      </c>
      <c r="C428" s="21">
        <v>25.5</v>
      </c>
      <c r="D428" s="21">
        <v>10</v>
      </c>
      <c r="E428" s="21">
        <v>0.48299999999999998</v>
      </c>
      <c r="F428" s="21">
        <v>5</v>
      </c>
      <c r="G428" s="21">
        <v>0.36799999999999999</v>
      </c>
      <c r="H428" s="21">
        <v>5</v>
      </c>
      <c r="I428" s="21">
        <v>0.59899999999999998</v>
      </c>
      <c r="J428" s="21">
        <v>0.57599999999999996</v>
      </c>
      <c r="K428" s="21">
        <v>1.4</v>
      </c>
      <c r="L428" s="21">
        <v>0.69099999999999995</v>
      </c>
      <c r="M428" s="21">
        <v>6.4</v>
      </c>
      <c r="N428" s="21">
        <v>2.9</v>
      </c>
      <c r="O428" s="21">
        <v>0.8</v>
      </c>
      <c r="P428" s="21">
        <v>0.4</v>
      </c>
      <c r="Q428" s="21">
        <v>1.1000000000000001</v>
      </c>
      <c r="R428" s="21">
        <v>1.2</v>
      </c>
      <c r="S428" s="21">
        <v>12.5</v>
      </c>
      <c r="T428" s="21">
        <v>3</v>
      </c>
      <c r="U428" s="21">
        <v>3.2</v>
      </c>
      <c r="V428" s="21">
        <v>16.8</v>
      </c>
      <c r="W428" s="21">
        <v>0.14399999999999999</v>
      </c>
      <c r="X428" s="4">
        <v>-1.6</v>
      </c>
    </row>
    <row r="429" spans="1:24" x14ac:dyDescent="0.35">
      <c r="A429" s="21">
        <v>28</v>
      </c>
      <c r="B429" s="21">
        <v>67</v>
      </c>
      <c r="C429" s="21">
        <v>21.1</v>
      </c>
      <c r="D429" s="21">
        <v>6.2</v>
      </c>
      <c r="E429" s="21">
        <v>0.496</v>
      </c>
      <c r="F429" s="21">
        <v>2.4</v>
      </c>
      <c r="G429" s="21">
        <v>0.36799999999999999</v>
      </c>
      <c r="H429" s="21">
        <v>3.7</v>
      </c>
      <c r="I429" s="21">
        <v>0.57999999999999996</v>
      </c>
      <c r="J429" s="21">
        <v>0.56899999999999995</v>
      </c>
      <c r="K429" s="21">
        <v>1</v>
      </c>
      <c r="L429" s="21">
        <v>0.69099999999999995</v>
      </c>
      <c r="M429" s="21">
        <v>3</v>
      </c>
      <c r="N429" s="21">
        <v>1.8</v>
      </c>
      <c r="O429" s="21">
        <v>0.7</v>
      </c>
      <c r="P429" s="21">
        <v>0.2</v>
      </c>
      <c r="Q429" s="21">
        <v>0.7</v>
      </c>
      <c r="R429" s="21">
        <v>1.9</v>
      </c>
      <c r="S429" s="21">
        <v>7.7</v>
      </c>
      <c r="T429" s="21">
        <v>5</v>
      </c>
      <c r="U429" s="21">
        <v>-1.3</v>
      </c>
      <c r="V429" s="21">
        <v>12</v>
      </c>
      <c r="W429" s="21">
        <v>0.10100000000000001</v>
      </c>
      <c r="X429" s="4">
        <v>1.1000000000000001</v>
      </c>
    </row>
    <row r="430" spans="1:24" x14ac:dyDescent="0.35">
      <c r="A430" s="21">
        <v>22</v>
      </c>
      <c r="B430" s="21">
        <v>60</v>
      </c>
      <c r="C430" s="21">
        <v>12.5</v>
      </c>
      <c r="D430" s="21">
        <v>3.8</v>
      </c>
      <c r="E430" s="21">
        <v>0.51500000000000001</v>
      </c>
      <c r="F430" s="21">
        <v>1.2</v>
      </c>
      <c r="G430" s="21">
        <v>0.38900000000000001</v>
      </c>
      <c r="H430" s="21">
        <v>2.6</v>
      </c>
      <c r="I430" s="21">
        <v>0.57299999999999995</v>
      </c>
      <c r="J430" s="21">
        <v>0.57599999999999996</v>
      </c>
      <c r="K430" s="21">
        <v>1.2</v>
      </c>
      <c r="L430" s="21">
        <v>0.69</v>
      </c>
      <c r="M430" s="21">
        <v>3.5</v>
      </c>
      <c r="N430" s="21">
        <v>0.6</v>
      </c>
      <c r="O430" s="21">
        <v>0.6</v>
      </c>
      <c r="P430" s="21">
        <v>0.1</v>
      </c>
      <c r="Q430" s="21">
        <v>0.6</v>
      </c>
      <c r="R430" s="21">
        <v>1.5</v>
      </c>
      <c r="S430" s="21">
        <v>5.2</v>
      </c>
      <c r="T430" s="21">
        <v>2</v>
      </c>
      <c r="U430" s="21">
        <v>-0.8</v>
      </c>
      <c r="V430" s="21">
        <v>15</v>
      </c>
      <c r="W430" s="21">
        <v>0.128</v>
      </c>
      <c r="X430" s="4">
        <v>0.1</v>
      </c>
    </row>
    <row r="431" spans="1:24" x14ac:dyDescent="0.35">
      <c r="A431" s="21">
        <v>26</v>
      </c>
      <c r="B431" s="21">
        <v>74</v>
      </c>
      <c r="C431" s="21">
        <v>27.4</v>
      </c>
      <c r="D431" s="21">
        <v>6.4</v>
      </c>
      <c r="E431" s="21">
        <v>0.46800000000000003</v>
      </c>
      <c r="F431" s="21">
        <v>2.9</v>
      </c>
      <c r="G431" s="21">
        <v>0.39800000000000002</v>
      </c>
      <c r="H431" s="21">
        <v>3.6</v>
      </c>
      <c r="I431" s="21">
        <v>0.52500000000000002</v>
      </c>
      <c r="J431" s="21">
        <v>0.55700000000000005</v>
      </c>
      <c r="K431" s="21">
        <v>1.1000000000000001</v>
      </c>
      <c r="L431" s="21">
        <v>0.69</v>
      </c>
      <c r="M431" s="21">
        <v>2.2999999999999998</v>
      </c>
      <c r="N431" s="21">
        <v>4.9000000000000004</v>
      </c>
      <c r="O431" s="21">
        <v>1</v>
      </c>
      <c r="P431" s="21">
        <v>0.2</v>
      </c>
      <c r="Q431" s="21">
        <v>1.7</v>
      </c>
      <c r="R431" s="21">
        <v>2.5</v>
      </c>
      <c r="S431" s="21">
        <v>7.9</v>
      </c>
      <c r="T431" s="21">
        <v>3</v>
      </c>
      <c r="U431" s="21">
        <v>-2.6</v>
      </c>
      <c r="V431" s="21">
        <v>10.199999999999999</v>
      </c>
      <c r="W431" s="21">
        <v>7.0000000000000007E-2</v>
      </c>
      <c r="X431" s="4">
        <v>-0.1</v>
      </c>
    </row>
    <row r="432" spans="1:24" x14ac:dyDescent="0.35">
      <c r="A432" s="21">
        <v>22</v>
      </c>
      <c r="B432" s="21">
        <v>56</v>
      </c>
      <c r="C432" s="21">
        <v>13.6</v>
      </c>
      <c r="D432" s="21">
        <v>3.2</v>
      </c>
      <c r="E432" s="21">
        <v>0.45800000000000002</v>
      </c>
      <c r="F432" s="21">
        <v>1.8</v>
      </c>
      <c r="G432" s="21">
        <v>0.33</v>
      </c>
      <c r="H432" s="21">
        <v>1.4</v>
      </c>
      <c r="I432" s="21">
        <v>0.63200000000000001</v>
      </c>
      <c r="J432" s="21">
        <v>0.55300000000000005</v>
      </c>
      <c r="K432" s="21">
        <v>0.8</v>
      </c>
      <c r="L432" s="21">
        <v>0.69</v>
      </c>
      <c r="M432" s="21">
        <v>3.1</v>
      </c>
      <c r="N432" s="21">
        <v>1.4</v>
      </c>
      <c r="O432" s="21">
        <v>0.4</v>
      </c>
      <c r="P432" s="21">
        <v>0.2</v>
      </c>
      <c r="Q432" s="21">
        <v>0.8</v>
      </c>
      <c r="R432" s="21">
        <v>1.6</v>
      </c>
      <c r="S432" s="21">
        <v>4.0999999999999996</v>
      </c>
      <c r="T432" s="21">
        <v>1</v>
      </c>
      <c r="U432" s="21">
        <v>-1.7</v>
      </c>
      <c r="V432" s="21">
        <v>11.7</v>
      </c>
      <c r="W432" s="21">
        <v>0.11</v>
      </c>
      <c r="X432" s="4">
        <v>1.5</v>
      </c>
    </row>
    <row r="433" spans="1:24" x14ac:dyDescent="0.35">
      <c r="A433" s="21">
        <v>26</v>
      </c>
      <c r="B433" s="21">
        <v>57</v>
      </c>
      <c r="C433" s="21">
        <v>21.5</v>
      </c>
      <c r="D433" s="21">
        <v>7.1</v>
      </c>
      <c r="E433" s="21">
        <v>0.70199999999999996</v>
      </c>
      <c r="F433" s="21">
        <v>0</v>
      </c>
      <c r="H433" s="21">
        <v>7.1</v>
      </c>
      <c r="I433" s="21">
        <v>0.70199999999999996</v>
      </c>
      <c r="J433" s="21">
        <v>0.70199999999999996</v>
      </c>
      <c r="K433" s="21">
        <v>3.4</v>
      </c>
      <c r="L433" s="21">
        <v>0.68899999999999995</v>
      </c>
      <c r="M433" s="21">
        <v>6.8</v>
      </c>
      <c r="N433" s="21">
        <v>1.4</v>
      </c>
      <c r="O433" s="21">
        <v>0.4</v>
      </c>
      <c r="P433" s="21">
        <v>1.8</v>
      </c>
      <c r="Q433" s="21">
        <v>1.2</v>
      </c>
      <c r="R433" s="21">
        <v>2.7</v>
      </c>
      <c r="S433" s="21">
        <v>12.3</v>
      </c>
      <c r="T433" s="21">
        <v>5</v>
      </c>
      <c r="U433" s="21">
        <v>3.8</v>
      </c>
      <c r="V433" s="21">
        <v>24.7</v>
      </c>
      <c r="W433" s="21">
        <v>0.23200000000000001</v>
      </c>
      <c r="X433" s="4">
        <v>-0.2</v>
      </c>
    </row>
    <row r="434" spans="1:24" x14ac:dyDescent="0.35">
      <c r="A434" s="21">
        <v>21</v>
      </c>
      <c r="B434" s="21">
        <v>37</v>
      </c>
      <c r="C434" s="21">
        <v>10.9</v>
      </c>
      <c r="D434" s="21">
        <v>3.4</v>
      </c>
      <c r="E434" s="21">
        <v>0.432</v>
      </c>
      <c r="F434" s="21">
        <v>1.9</v>
      </c>
      <c r="G434" s="21">
        <v>0.32400000000000001</v>
      </c>
      <c r="H434" s="21">
        <v>1.5</v>
      </c>
      <c r="I434" s="21">
        <v>0.57399999999999995</v>
      </c>
      <c r="J434" s="21">
        <v>0.52400000000000002</v>
      </c>
      <c r="K434" s="21">
        <v>0.4</v>
      </c>
      <c r="L434" s="21">
        <v>0.68799999999999994</v>
      </c>
      <c r="M434" s="21">
        <v>2.2000000000000002</v>
      </c>
      <c r="N434" s="21">
        <v>0.8</v>
      </c>
      <c r="O434" s="21">
        <v>0.5</v>
      </c>
      <c r="P434" s="21">
        <v>0.2</v>
      </c>
      <c r="Q434" s="21">
        <v>0.5</v>
      </c>
      <c r="R434" s="21">
        <v>0.9</v>
      </c>
      <c r="S434" s="21">
        <v>3.8</v>
      </c>
      <c r="T434" s="21">
        <v>2</v>
      </c>
      <c r="U434" s="21">
        <v>-0.9</v>
      </c>
      <c r="V434" s="21">
        <v>11.5</v>
      </c>
      <c r="W434" s="21">
        <v>0.104</v>
      </c>
      <c r="X434" s="4">
        <v>0.6</v>
      </c>
    </row>
    <row r="435" spans="1:24" x14ac:dyDescent="0.35">
      <c r="A435" s="21">
        <v>20</v>
      </c>
      <c r="B435" s="21">
        <v>64</v>
      </c>
      <c r="C435" s="21">
        <v>22.2</v>
      </c>
      <c r="D435" s="21">
        <v>7.3</v>
      </c>
      <c r="E435" s="21">
        <v>0.55400000000000005</v>
      </c>
      <c r="F435" s="21">
        <v>1.7</v>
      </c>
      <c r="G435" s="21">
        <v>0.315</v>
      </c>
      <c r="H435" s="21">
        <v>5.5</v>
      </c>
      <c r="I435" s="21">
        <v>0.629</v>
      </c>
      <c r="J435" s="21">
        <v>0.59199999999999997</v>
      </c>
      <c r="K435" s="21">
        <v>1</v>
      </c>
      <c r="L435" s="21">
        <v>0.68700000000000006</v>
      </c>
      <c r="M435" s="21">
        <v>7.4</v>
      </c>
      <c r="N435" s="21">
        <v>0.9</v>
      </c>
      <c r="O435" s="21">
        <v>0.6</v>
      </c>
      <c r="P435" s="21">
        <v>1.1000000000000001</v>
      </c>
      <c r="Q435" s="21">
        <v>0.9</v>
      </c>
      <c r="R435" s="21">
        <v>1.7</v>
      </c>
      <c r="S435" s="21">
        <v>9.3000000000000007</v>
      </c>
      <c r="T435" s="21">
        <v>0</v>
      </c>
      <c r="U435" s="21">
        <v>-0.1</v>
      </c>
      <c r="V435" s="21">
        <v>17.399999999999999</v>
      </c>
      <c r="W435" s="21">
        <v>0.14000000000000001</v>
      </c>
      <c r="X435" s="4">
        <v>0.5</v>
      </c>
    </row>
    <row r="436" spans="1:24" x14ac:dyDescent="0.35">
      <c r="A436" s="21">
        <v>34</v>
      </c>
      <c r="B436" s="21">
        <v>68</v>
      </c>
      <c r="C436" s="21">
        <v>29.2</v>
      </c>
      <c r="D436" s="21">
        <v>7.5</v>
      </c>
      <c r="E436" s="21">
        <v>0.42399999999999999</v>
      </c>
      <c r="F436" s="21">
        <v>3.6</v>
      </c>
      <c r="G436" s="21">
        <v>0.32500000000000001</v>
      </c>
      <c r="H436" s="21">
        <v>3.9</v>
      </c>
      <c r="I436" s="21">
        <v>0.51700000000000002</v>
      </c>
      <c r="J436" s="21">
        <v>0.503</v>
      </c>
      <c r="K436" s="21">
        <v>2.2000000000000002</v>
      </c>
      <c r="L436" s="21">
        <v>0.68700000000000006</v>
      </c>
      <c r="M436" s="21">
        <v>6.1</v>
      </c>
      <c r="N436" s="21">
        <v>5.6</v>
      </c>
      <c r="O436" s="21">
        <v>1.5</v>
      </c>
      <c r="P436" s="21">
        <v>1</v>
      </c>
      <c r="Q436" s="21">
        <v>2.6</v>
      </c>
      <c r="R436" s="21">
        <v>3.2</v>
      </c>
      <c r="S436" s="21">
        <v>9</v>
      </c>
      <c r="T436" s="21">
        <v>12</v>
      </c>
      <c r="U436" s="21">
        <v>0.5</v>
      </c>
      <c r="V436" s="21">
        <v>12.4</v>
      </c>
      <c r="W436" s="21">
        <v>8.7999999999999995E-2</v>
      </c>
      <c r="X436" s="4">
        <v>0.3</v>
      </c>
    </row>
    <row r="437" spans="1:24" x14ac:dyDescent="0.35">
      <c r="A437" s="21">
        <v>26</v>
      </c>
      <c r="B437" s="21">
        <v>39</v>
      </c>
      <c r="C437" s="21">
        <v>5.6</v>
      </c>
      <c r="D437" s="21">
        <v>2.7</v>
      </c>
      <c r="E437" s="21">
        <v>0.495</v>
      </c>
      <c r="F437" s="21">
        <v>0.9</v>
      </c>
      <c r="G437" s="21">
        <v>0.27800000000000002</v>
      </c>
      <c r="H437" s="21">
        <v>1.8</v>
      </c>
      <c r="I437" s="21">
        <v>0.60899999999999999</v>
      </c>
      <c r="J437" s="21">
        <v>0.54300000000000004</v>
      </c>
      <c r="K437" s="21">
        <v>0.9</v>
      </c>
      <c r="L437" s="21">
        <v>0.68600000000000005</v>
      </c>
      <c r="M437" s="21">
        <v>1.4</v>
      </c>
      <c r="N437" s="21">
        <v>0.3</v>
      </c>
      <c r="O437" s="21">
        <v>0.2</v>
      </c>
      <c r="P437" s="21">
        <v>0.1</v>
      </c>
      <c r="Q437" s="21">
        <v>0.3</v>
      </c>
      <c r="R437" s="21">
        <v>0.7</v>
      </c>
      <c r="S437" s="21">
        <v>3.5</v>
      </c>
      <c r="T437" s="21">
        <v>3</v>
      </c>
      <c r="U437" s="21">
        <v>-2.2999999999999998</v>
      </c>
      <c r="V437" s="21">
        <v>18.8</v>
      </c>
      <c r="W437" s="21">
        <v>0.14399999999999999</v>
      </c>
      <c r="X437" s="4">
        <v>0.6</v>
      </c>
    </row>
    <row r="438" spans="1:24" x14ac:dyDescent="0.35">
      <c r="A438" s="21">
        <v>23</v>
      </c>
      <c r="B438" s="21">
        <v>62</v>
      </c>
      <c r="C438" s="21">
        <v>21.6</v>
      </c>
      <c r="D438" s="21">
        <v>6.6</v>
      </c>
      <c r="E438" s="21">
        <v>0.51100000000000001</v>
      </c>
      <c r="F438" s="21">
        <v>3.1</v>
      </c>
      <c r="G438" s="21">
        <v>0.38300000000000001</v>
      </c>
      <c r="H438" s="21">
        <v>3.5</v>
      </c>
      <c r="I438" s="21">
        <v>0.624</v>
      </c>
      <c r="J438" s="21">
        <v>0.60099999999999998</v>
      </c>
      <c r="K438" s="21">
        <v>1.2</v>
      </c>
      <c r="L438" s="21">
        <v>0.68500000000000005</v>
      </c>
      <c r="M438" s="21">
        <v>5.7</v>
      </c>
      <c r="N438" s="21">
        <v>1</v>
      </c>
      <c r="O438" s="21">
        <v>1</v>
      </c>
      <c r="P438" s="21">
        <v>0.6</v>
      </c>
      <c r="Q438" s="21">
        <v>0.9</v>
      </c>
      <c r="R438" s="21">
        <v>1.8</v>
      </c>
      <c r="S438" s="21">
        <v>8.8000000000000007</v>
      </c>
      <c r="T438" s="21">
        <v>3</v>
      </c>
      <c r="U438" s="21">
        <v>-0.5</v>
      </c>
      <c r="V438" s="21">
        <v>15.7</v>
      </c>
      <c r="W438" s="21">
        <v>0.1</v>
      </c>
      <c r="X438" s="4">
        <v>1.2</v>
      </c>
    </row>
    <row r="439" spans="1:24" x14ac:dyDescent="0.35">
      <c r="A439" s="21">
        <v>26</v>
      </c>
      <c r="B439" s="21">
        <v>17</v>
      </c>
      <c r="C439" s="21">
        <v>17.100000000000001</v>
      </c>
      <c r="D439" s="21">
        <v>3.3</v>
      </c>
      <c r="E439" s="21">
        <v>0.66100000000000003</v>
      </c>
      <c r="F439" s="21">
        <v>0</v>
      </c>
      <c r="H439" s="21">
        <v>3.3</v>
      </c>
      <c r="I439" s="21">
        <v>0.66100000000000003</v>
      </c>
      <c r="J439" s="21">
        <v>0.66100000000000003</v>
      </c>
      <c r="K439" s="21">
        <v>1.1000000000000001</v>
      </c>
      <c r="L439" s="21">
        <v>0.68400000000000005</v>
      </c>
      <c r="M439" s="21">
        <v>5.9</v>
      </c>
      <c r="N439" s="21">
        <v>0.8</v>
      </c>
      <c r="O439" s="21">
        <v>0.9</v>
      </c>
      <c r="P439" s="21">
        <v>1.1000000000000001</v>
      </c>
      <c r="Q439" s="21">
        <v>0.6</v>
      </c>
      <c r="R439" s="21">
        <v>1.5</v>
      </c>
      <c r="S439" s="21">
        <v>5.0999999999999996</v>
      </c>
      <c r="T439" s="21">
        <v>6</v>
      </c>
      <c r="U439" s="21">
        <v>3.3</v>
      </c>
      <c r="V439" s="21">
        <v>20.399999999999999</v>
      </c>
      <c r="W439" s="21">
        <v>0.221</v>
      </c>
      <c r="X439" s="4">
        <v>-0.1</v>
      </c>
    </row>
    <row r="440" spans="1:24" x14ac:dyDescent="0.35">
      <c r="A440" s="21">
        <v>22</v>
      </c>
      <c r="B440" s="21">
        <v>69</v>
      </c>
      <c r="C440" s="21">
        <v>32.200000000000003</v>
      </c>
      <c r="D440" s="21">
        <v>10.1</v>
      </c>
      <c r="E440" s="21">
        <v>0.55700000000000005</v>
      </c>
      <c r="F440" s="21">
        <v>1.3</v>
      </c>
      <c r="G440" s="21">
        <v>0.27500000000000002</v>
      </c>
      <c r="H440" s="21">
        <v>8.8000000000000007</v>
      </c>
      <c r="I440" s="21">
        <v>0.59899999999999998</v>
      </c>
      <c r="J440" s="21">
        <v>0.57499999999999996</v>
      </c>
      <c r="K440" s="21">
        <v>3.6</v>
      </c>
      <c r="L440" s="21">
        <v>0.68400000000000005</v>
      </c>
      <c r="M440" s="21">
        <v>8.1999999999999993</v>
      </c>
      <c r="N440" s="21">
        <v>3.8</v>
      </c>
      <c r="O440" s="21">
        <v>1.4</v>
      </c>
      <c r="P440" s="21">
        <v>1.3</v>
      </c>
      <c r="Q440" s="21">
        <v>2</v>
      </c>
      <c r="R440" s="21">
        <v>2.4</v>
      </c>
      <c r="S440" s="21">
        <v>14.1</v>
      </c>
      <c r="T440" s="21">
        <v>1</v>
      </c>
      <c r="U440" s="21">
        <v>4.0999999999999996</v>
      </c>
      <c r="V440" s="21">
        <v>18.7</v>
      </c>
      <c r="W440" s="21">
        <v>0.17199999999999999</v>
      </c>
      <c r="X440" s="4">
        <v>1.2</v>
      </c>
    </row>
    <row r="441" spans="1:24" x14ac:dyDescent="0.35">
      <c r="A441" s="21">
        <v>24</v>
      </c>
      <c r="B441" s="21">
        <v>22</v>
      </c>
      <c r="C441" s="21">
        <v>8.1999999999999993</v>
      </c>
      <c r="D441" s="21">
        <v>1.7</v>
      </c>
      <c r="E441" s="21">
        <v>0.432</v>
      </c>
      <c r="F441" s="21">
        <v>0.5</v>
      </c>
      <c r="G441" s="21">
        <v>0.1</v>
      </c>
      <c r="H441" s="21">
        <v>1.2</v>
      </c>
      <c r="I441" s="21">
        <v>0.55600000000000005</v>
      </c>
      <c r="J441" s="21">
        <v>0.44600000000000001</v>
      </c>
      <c r="K441" s="21">
        <v>0.9</v>
      </c>
      <c r="L441" s="21">
        <v>0.68400000000000005</v>
      </c>
      <c r="M441" s="21">
        <v>1.4</v>
      </c>
      <c r="N441" s="21">
        <v>0.4</v>
      </c>
      <c r="O441" s="21">
        <v>0.1</v>
      </c>
      <c r="P441" s="21">
        <v>0.1</v>
      </c>
      <c r="Q441" s="21">
        <v>0.3</v>
      </c>
      <c r="R441" s="21">
        <v>1</v>
      </c>
      <c r="S441" s="21">
        <v>2.1</v>
      </c>
      <c r="T441" s="21">
        <v>0</v>
      </c>
      <c r="U441" s="21">
        <v>-6.3</v>
      </c>
      <c r="V441" s="21">
        <v>7.4</v>
      </c>
      <c r="W441" s="21">
        <v>4.5999999999999999E-2</v>
      </c>
      <c r="X441" s="4">
        <v>1.2</v>
      </c>
    </row>
    <row r="442" spans="1:24" x14ac:dyDescent="0.35">
      <c r="A442" s="21">
        <v>24</v>
      </c>
      <c r="B442" s="21">
        <v>26</v>
      </c>
      <c r="C442" s="21">
        <v>18.7</v>
      </c>
      <c r="D442" s="21">
        <v>7.3</v>
      </c>
      <c r="E442" s="21">
        <v>0.42099999999999999</v>
      </c>
      <c r="F442" s="21">
        <v>3.9</v>
      </c>
      <c r="G442" s="21">
        <v>0.32700000000000001</v>
      </c>
      <c r="H442" s="21">
        <v>3.4</v>
      </c>
      <c r="I442" s="21">
        <v>0.52800000000000002</v>
      </c>
      <c r="J442" s="21">
        <v>0.50800000000000001</v>
      </c>
      <c r="K442" s="21">
        <v>2.4</v>
      </c>
      <c r="L442" s="21">
        <v>0.68300000000000005</v>
      </c>
      <c r="M442" s="21">
        <v>3.3</v>
      </c>
      <c r="N442" s="21">
        <v>1.2</v>
      </c>
      <c r="O442" s="21">
        <v>0.5</v>
      </c>
      <c r="P442" s="21">
        <v>0.2</v>
      </c>
      <c r="Q442" s="21">
        <v>0.6</v>
      </c>
      <c r="R442" s="21">
        <v>1.7</v>
      </c>
      <c r="S442" s="21">
        <v>9.1</v>
      </c>
      <c r="T442" s="21">
        <v>2</v>
      </c>
      <c r="U442" s="21">
        <v>-2.5</v>
      </c>
      <c r="V442" s="21">
        <v>12.7</v>
      </c>
      <c r="W442" s="21">
        <v>8.1000000000000003E-2</v>
      </c>
      <c r="X442" s="4">
        <v>0.3</v>
      </c>
    </row>
    <row r="443" spans="1:24" x14ac:dyDescent="0.35">
      <c r="A443" s="21">
        <v>30</v>
      </c>
      <c r="B443" s="21">
        <v>74</v>
      </c>
      <c r="C443" s="21">
        <v>24.1</v>
      </c>
      <c r="D443" s="21">
        <v>5.9</v>
      </c>
      <c r="E443" s="21">
        <v>0.439</v>
      </c>
      <c r="F443" s="21">
        <v>3</v>
      </c>
      <c r="G443" s="21">
        <v>0.33500000000000002</v>
      </c>
      <c r="H443" s="21">
        <v>2.9</v>
      </c>
      <c r="I443" s="21">
        <v>0.54900000000000004</v>
      </c>
      <c r="J443" s="21">
        <v>0.52500000000000002</v>
      </c>
      <c r="K443" s="21">
        <v>0.3</v>
      </c>
      <c r="L443" s="21">
        <v>0.68200000000000005</v>
      </c>
      <c r="M443" s="21">
        <v>3.4</v>
      </c>
      <c r="N443" s="21">
        <v>2.8</v>
      </c>
      <c r="O443" s="21">
        <v>1.7</v>
      </c>
      <c r="P443" s="21">
        <v>0.4</v>
      </c>
      <c r="Q443" s="21">
        <v>1</v>
      </c>
      <c r="R443" s="21">
        <v>2.7</v>
      </c>
      <c r="S443" s="21">
        <v>6.4</v>
      </c>
      <c r="T443" s="21">
        <v>8</v>
      </c>
      <c r="U443" s="21">
        <v>0.6</v>
      </c>
      <c r="V443" s="21">
        <v>11.3</v>
      </c>
      <c r="W443" s="21">
        <v>0.108</v>
      </c>
      <c r="X443" s="4">
        <v>1.2</v>
      </c>
    </row>
    <row r="444" spans="1:24" x14ac:dyDescent="0.35">
      <c r="A444" s="21">
        <v>22</v>
      </c>
      <c r="B444" s="21">
        <v>20</v>
      </c>
      <c r="C444" s="21">
        <v>12.5</v>
      </c>
      <c r="D444" s="21">
        <v>3</v>
      </c>
      <c r="E444" s="21">
        <v>0.42399999999999999</v>
      </c>
      <c r="F444" s="21">
        <v>1.1000000000000001</v>
      </c>
      <c r="G444" s="21">
        <v>0.28599999999999998</v>
      </c>
      <c r="H444" s="21">
        <v>1.9</v>
      </c>
      <c r="I444" s="21">
        <v>0.5</v>
      </c>
      <c r="J444" s="21">
        <v>0.47499999999999998</v>
      </c>
      <c r="K444" s="21">
        <v>1.1000000000000001</v>
      </c>
      <c r="L444" s="21">
        <v>0.68200000000000005</v>
      </c>
      <c r="M444" s="21">
        <v>2.4</v>
      </c>
      <c r="N444" s="21">
        <v>0.3</v>
      </c>
      <c r="O444" s="21">
        <v>0.4</v>
      </c>
      <c r="P444" s="21">
        <v>0.5</v>
      </c>
      <c r="Q444" s="21">
        <v>0.5</v>
      </c>
      <c r="R444" s="21">
        <v>0.9</v>
      </c>
      <c r="S444" s="21">
        <v>3.6</v>
      </c>
      <c r="T444" s="21">
        <v>3</v>
      </c>
      <c r="U444" s="21">
        <v>-5.4</v>
      </c>
      <c r="V444" s="21">
        <v>10</v>
      </c>
      <c r="W444" s="21">
        <v>3.3000000000000002E-2</v>
      </c>
      <c r="X444" s="4">
        <v>0.5</v>
      </c>
    </row>
    <row r="445" spans="1:24" x14ac:dyDescent="0.35">
      <c r="A445" s="21">
        <v>27</v>
      </c>
      <c r="B445" s="21">
        <v>71</v>
      </c>
      <c r="C445" s="21">
        <v>15.4</v>
      </c>
      <c r="D445" s="21">
        <v>4.5999999999999996</v>
      </c>
      <c r="E445" s="21">
        <v>0.41399999999999998</v>
      </c>
      <c r="F445" s="21">
        <v>2.1</v>
      </c>
      <c r="G445" s="21">
        <v>0.25800000000000001</v>
      </c>
      <c r="H445" s="21">
        <v>2.4</v>
      </c>
      <c r="I445" s="21">
        <v>0.54900000000000004</v>
      </c>
      <c r="J445" s="21">
        <v>0.47399999999999998</v>
      </c>
      <c r="K445" s="21">
        <v>1.5</v>
      </c>
      <c r="L445" s="21">
        <v>0.68200000000000005</v>
      </c>
      <c r="M445" s="21">
        <v>4.4000000000000004</v>
      </c>
      <c r="N445" s="21">
        <v>0.6</v>
      </c>
      <c r="O445" s="21">
        <v>0.9</v>
      </c>
      <c r="P445" s="21">
        <v>1.1000000000000001</v>
      </c>
      <c r="Q445" s="21">
        <v>0.5</v>
      </c>
      <c r="R445" s="21">
        <v>1.3</v>
      </c>
      <c r="S445" s="21">
        <v>5.4</v>
      </c>
      <c r="T445" s="21">
        <v>7</v>
      </c>
      <c r="U445" s="21">
        <v>0.7</v>
      </c>
      <c r="V445" s="21">
        <v>16.600000000000001</v>
      </c>
      <c r="W445" s="21">
        <v>0.14799999999999999</v>
      </c>
      <c r="X445" s="4">
        <v>-0.1</v>
      </c>
    </row>
    <row r="446" spans="1:24" x14ac:dyDescent="0.35">
      <c r="A446" s="21">
        <v>20</v>
      </c>
      <c r="B446" s="21">
        <v>71</v>
      </c>
      <c r="C446" s="21">
        <v>25.9</v>
      </c>
      <c r="D446" s="21">
        <v>7.8</v>
      </c>
      <c r="E446" s="21">
        <v>0.42199999999999999</v>
      </c>
      <c r="F446" s="21">
        <v>2.4</v>
      </c>
      <c r="G446" s="21">
        <v>0.249</v>
      </c>
      <c r="H446" s="21">
        <v>5.4</v>
      </c>
      <c r="I446" s="21">
        <v>0.497</v>
      </c>
      <c r="J446" s="21">
        <v>0.45900000000000002</v>
      </c>
      <c r="K446" s="21">
        <v>2.2000000000000002</v>
      </c>
      <c r="L446" s="21">
        <v>0.68200000000000005</v>
      </c>
      <c r="M446" s="21">
        <v>3.3</v>
      </c>
      <c r="N446" s="21">
        <v>6.3</v>
      </c>
      <c r="O446" s="21">
        <v>0.9</v>
      </c>
      <c r="P446" s="21">
        <v>0.2</v>
      </c>
      <c r="Q446" s="21">
        <v>2.9</v>
      </c>
      <c r="R446" s="21">
        <v>2.1</v>
      </c>
      <c r="S446" s="21">
        <v>8.6999999999999993</v>
      </c>
      <c r="T446" s="21">
        <v>0</v>
      </c>
      <c r="U446" s="21">
        <v>-5.3</v>
      </c>
      <c r="V446" s="21">
        <v>9.6999999999999993</v>
      </c>
      <c r="W446" s="21">
        <v>-2.1000000000000001E-2</v>
      </c>
      <c r="X446" s="4">
        <v>0.3</v>
      </c>
    </row>
    <row r="447" spans="1:24" x14ac:dyDescent="0.35">
      <c r="A447" s="21">
        <v>24</v>
      </c>
      <c r="B447" s="21">
        <v>68</v>
      </c>
      <c r="C447" s="21">
        <v>27.8</v>
      </c>
      <c r="D447" s="21">
        <v>6.2</v>
      </c>
      <c r="E447" s="21">
        <v>0.42799999999999999</v>
      </c>
      <c r="F447" s="21">
        <v>3.6</v>
      </c>
      <c r="G447" s="21">
        <v>0.39100000000000001</v>
      </c>
      <c r="H447" s="21">
        <v>2.5</v>
      </c>
      <c r="I447" s="21">
        <v>0.48</v>
      </c>
      <c r="J447" s="21">
        <v>0.54300000000000004</v>
      </c>
      <c r="K447" s="21">
        <v>1.1000000000000001</v>
      </c>
      <c r="L447" s="21">
        <v>0.68100000000000005</v>
      </c>
      <c r="M447" s="21">
        <v>2.5</v>
      </c>
      <c r="N447" s="21">
        <v>1.6</v>
      </c>
      <c r="O447" s="21">
        <v>1.1000000000000001</v>
      </c>
      <c r="P447" s="21">
        <v>0.2</v>
      </c>
      <c r="Q447" s="21">
        <v>1</v>
      </c>
      <c r="R447" s="21">
        <v>2.4</v>
      </c>
      <c r="S447" s="21">
        <v>7.4</v>
      </c>
      <c r="T447" s="21">
        <v>4</v>
      </c>
      <c r="U447" s="21">
        <v>-4.3</v>
      </c>
      <c r="V447" s="21">
        <v>7.8</v>
      </c>
      <c r="W447" s="21">
        <v>3.6999999999999998E-2</v>
      </c>
      <c r="X447" s="4">
        <v>0.2</v>
      </c>
    </row>
    <row r="448" spans="1:24" x14ac:dyDescent="0.35">
      <c r="A448" s="21">
        <v>29</v>
      </c>
      <c r="B448" s="21">
        <v>52</v>
      </c>
      <c r="C448" s="21">
        <v>11.3</v>
      </c>
      <c r="D448" s="21">
        <v>2.8</v>
      </c>
      <c r="E448" s="21">
        <v>0.47299999999999998</v>
      </c>
      <c r="F448" s="21">
        <v>0.9</v>
      </c>
      <c r="G448" s="21">
        <v>0.34799999999999998</v>
      </c>
      <c r="H448" s="21">
        <v>2</v>
      </c>
      <c r="I448" s="21">
        <v>0.52900000000000003</v>
      </c>
      <c r="J448" s="21">
        <v>0.52700000000000002</v>
      </c>
      <c r="K448" s="21">
        <v>0.9</v>
      </c>
      <c r="L448" s="21">
        <v>0.68100000000000005</v>
      </c>
      <c r="M448" s="21">
        <v>2.2999999999999998</v>
      </c>
      <c r="N448" s="21">
        <v>0.9</v>
      </c>
      <c r="O448" s="21">
        <v>0.5</v>
      </c>
      <c r="P448" s="21">
        <v>0.1</v>
      </c>
      <c r="Q448" s="21">
        <v>0.4</v>
      </c>
      <c r="R448" s="21">
        <v>1.6</v>
      </c>
      <c r="S448" s="21">
        <v>3.6</v>
      </c>
      <c r="T448" s="21">
        <v>4</v>
      </c>
      <c r="U448" s="21">
        <v>-0.7</v>
      </c>
      <c r="V448" s="21">
        <v>12.3</v>
      </c>
      <c r="W448" s="21">
        <v>0.13300000000000001</v>
      </c>
      <c r="X448" s="4">
        <v>0.6</v>
      </c>
    </row>
    <row r="449" spans="1:24" x14ac:dyDescent="0.35">
      <c r="A449" s="21">
        <v>25</v>
      </c>
      <c r="B449" s="21">
        <v>37</v>
      </c>
      <c r="C449" s="21">
        <v>13.6</v>
      </c>
      <c r="D449" s="21">
        <v>4.3</v>
      </c>
      <c r="E449" s="21">
        <v>0.43</v>
      </c>
      <c r="F449" s="21">
        <v>2.2000000000000002</v>
      </c>
      <c r="G449" s="21">
        <v>0.32500000000000001</v>
      </c>
      <c r="H449" s="21">
        <v>2.1</v>
      </c>
      <c r="I449" s="21">
        <v>0.53800000000000003</v>
      </c>
      <c r="J449" s="21">
        <v>0.51300000000000001</v>
      </c>
      <c r="K449" s="21">
        <v>1.4</v>
      </c>
      <c r="L449" s="21">
        <v>0.68</v>
      </c>
      <c r="M449" s="21">
        <v>2.2999999999999998</v>
      </c>
      <c r="N449" s="21">
        <v>0.6</v>
      </c>
      <c r="O449" s="21">
        <v>0.6</v>
      </c>
      <c r="P449" s="21">
        <v>0.2</v>
      </c>
      <c r="Q449" s="21">
        <v>0.6</v>
      </c>
      <c r="R449" s="21">
        <v>1.2</v>
      </c>
      <c r="S449" s="21">
        <v>5.3</v>
      </c>
      <c r="T449" s="21">
        <v>2</v>
      </c>
      <c r="U449" s="21">
        <v>-3.4</v>
      </c>
      <c r="V449" s="21">
        <v>11.4</v>
      </c>
      <c r="W449" s="21">
        <v>3.5999999999999997E-2</v>
      </c>
      <c r="X449" s="4">
        <v>0</v>
      </c>
    </row>
    <row r="450" spans="1:24" x14ac:dyDescent="0.35">
      <c r="A450" s="21">
        <v>28</v>
      </c>
      <c r="B450" s="21">
        <v>82</v>
      </c>
      <c r="C450" s="21">
        <v>27.8</v>
      </c>
      <c r="D450" s="21">
        <v>13.1</v>
      </c>
      <c r="E450" s="21">
        <v>0.43</v>
      </c>
      <c r="F450" s="21">
        <v>9.3000000000000007</v>
      </c>
      <c r="G450" s="21">
        <v>0.41599999999999998</v>
      </c>
      <c r="H450" s="21">
        <v>3.7</v>
      </c>
      <c r="I450" s="21">
        <v>0.46600000000000003</v>
      </c>
      <c r="J450" s="21">
        <v>0.57899999999999996</v>
      </c>
      <c r="K450" s="21">
        <v>1.7</v>
      </c>
      <c r="L450" s="21">
        <v>0.67900000000000005</v>
      </c>
      <c r="M450" s="21">
        <v>2.6</v>
      </c>
      <c r="N450" s="21">
        <v>1.7</v>
      </c>
      <c r="O450" s="21">
        <v>0.9</v>
      </c>
      <c r="P450" s="21">
        <v>0.1</v>
      </c>
      <c r="Q450" s="21">
        <v>1</v>
      </c>
      <c r="R450" s="21">
        <v>1.5</v>
      </c>
      <c r="S450" s="21">
        <v>16.3</v>
      </c>
      <c r="T450" s="21">
        <v>8</v>
      </c>
      <c r="U450" s="21">
        <v>0.8</v>
      </c>
      <c r="V450" s="21">
        <v>14.4</v>
      </c>
      <c r="W450" s="21">
        <v>0.1</v>
      </c>
      <c r="X450" s="4">
        <v>0.2</v>
      </c>
    </row>
    <row r="451" spans="1:24" x14ac:dyDescent="0.35">
      <c r="A451" s="21">
        <v>19</v>
      </c>
      <c r="B451" s="21">
        <v>67</v>
      </c>
      <c r="C451" s="21">
        <v>27.1</v>
      </c>
      <c r="D451" s="21">
        <v>12.4</v>
      </c>
      <c r="E451" s="21">
        <v>0.39400000000000002</v>
      </c>
      <c r="F451" s="21">
        <v>5.0999999999999996</v>
      </c>
      <c r="G451" s="21">
        <v>0.308</v>
      </c>
      <c r="H451" s="21">
        <v>7.3</v>
      </c>
      <c r="I451" s="21">
        <v>0.45400000000000001</v>
      </c>
      <c r="J451" s="21">
        <v>0.45700000000000002</v>
      </c>
      <c r="K451" s="21">
        <v>2.5</v>
      </c>
      <c r="L451" s="21">
        <v>0.67900000000000005</v>
      </c>
      <c r="M451" s="21">
        <v>6.5</v>
      </c>
      <c r="N451" s="21">
        <v>2.4</v>
      </c>
      <c r="O451" s="21">
        <v>0.7</v>
      </c>
      <c r="P451" s="21">
        <v>1.5</v>
      </c>
      <c r="Q451" s="21">
        <v>1.7</v>
      </c>
      <c r="R451" s="21">
        <v>2.2000000000000002</v>
      </c>
      <c r="S451" s="21">
        <v>13</v>
      </c>
      <c r="T451" s="21">
        <v>0</v>
      </c>
      <c r="U451" s="21">
        <v>-3.3</v>
      </c>
      <c r="V451" s="21">
        <v>12.9</v>
      </c>
      <c r="W451" s="21">
        <v>-7.0000000000000001E-3</v>
      </c>
      <c r="X451" s="4">
        <v>-0.6</v>
      </c>
    </row>
    <row r="452" spans="1:24" x14ac:dyDescent="0.35">
      <c r="A452" s="21">
        <v>23</v>
      </c>
      <c r="B452" s="21">
        <v>66</v>
      </c>
      <c r="C452" s="21">
        <v>20.399999999999999</v>
      </c>
      <c r="D452" s="21">
        <v>5.0999999999999996</v>
      </c>
      <c r="E452" s="21">
        <v>0.47499999999999998</v>
      </c>
      <c r="F452" s="21">
        <v>2.2000000000000002</v>
      </c>
      <c r="G452" s="21">
        <v>0.42299999999999999</v>
      </c>
      <c r="H452" s="21">
        <v>3</v>
      </c>
      <c r="I452" s="21">
        <v>0.51300000000000001</v>
      </c>
      <c r="J452" s="21">
        <v>0.56399999999999995</v>
      </c>
      <c r="K452" s="21">
        <v>1.7</v>
      </c>
      <c r="L452" s="21">
        <v>0.67800000000000005</v>
      </c>
      <c r="M452" s="21">
        <v>3.9</v>
      </c>
      <c r="N452" s="21">
        <v>2.4</v>
      </c>
      <c r="O452" s="21">
        <v>0.9</v>
      </c>
      <c r="P452" s="21">
        <v>0.3</v>
      </c>
      <c r="Q452" s="21">
        <v>1.3</v>
      </c>
      <c r="R452" s="21">
        <v>2</v>
      </c>
      <c r="S452" s="21">
        <v>6.9</v>
      </c>
      <c r="T452" s="21">
        <v>2</v>
      </c>
      <c r="U452" s="21">
        <v>0.2</v>
      </c>
      <c r="V452" s="21">
        <v>12.6</v>
      </c>
      <c r="W452" s="21">
        <v>0.104</v>
      </c>
      <c r="X452" s="4">
        <v>1.2</v>
      </c>
    </row>
    <row r="453" spans="1:24" x14ac:dyDescent="0.35">
      <c r="A453" s="21">
        <v>26</v>
      </c>
      <c r="B453" s="21">
        <v>57</v>
      </c>
      <c r="C453" s="21">
        <v>27.9</v>
      </c>
      <c r="D453" s="21">
        <v>8.4</v>
      </c>
      <c r="E453" s="21">
        <v>0.58099999999999996</v>
      </c>
      <c r="F453" s="21">
        <v>0.3</v>
      </c>
      <c r="G453" s="21">
        <v>0</v>
      </c>
      <c r="H453" s="21">
        <v>8.1</v>
      </c>
      <c r="I453" s="21">
        <v>0.60499999999999998</v>
      </c>
      <c r="J453" s="21">
        <v>0.58099999999999996</v>
      </c>
      <c r="K453" s="21">
        <v>2.1</v>
      </c>
      <c r="L453" s="21">
        <v>0.67500000000000004</v>
      </c>
      <c r="M453" s="21">
        <v>10.7</v>
      </c>
      <c r="N453" s="21">
        <v>3.8</v>
      </c>
      <c r="O453" s="21">
        <v>0.8</v>
      </c>
      <c r="P453" s="21">
        <v>1.1000000000000001</v>
      </c>
      <c r="Q453" s="21">
        <v>1.7</v>
      </c>
      <c r="R453" s="21">
        <v>3</v>
      </c>
      <c r="S453" s="21">
        <v>11.2</v>
      </c>
      <c r="T453" s="21">
        <v>6</v>
      </c>
      <c r="U453" s="21">
        <v>3.2</v>
      </c>
      <c r="V453" s="21">
        <v>18.899999999999999</v>
      </c>
      <c r="W453" s="21">
        <v>0.20499999999999999</v>
      </c>
      <c r="X453" s="4">
        <v>1.7</v>
      </c>
    </row>
    <row r="454" spans="1:24" x14ac:dyDescent="0.35">
      <c r="A454" s="21">
        <v>29</v>
      </c>
      <c r="B454" s="21">
        <v>42</v>
      </c>
      <c r="C454" s="21">
        <v>11.9</v>
      </c>
      <c r="D454" s="21">
        <v>3.6</v>
      </c>
      <c r="E454" s="21">
        <v>0.53300000000000003</v>
      </c>
      <c r="F454" s="21">
        <v>0.6</v>
      </c>
      <c r="G454" s="21">
        <v>0.42299999999999999</v>
      </c>
      <c r="H454" s="21">
        <v>3</v>
      </c>
      <c r="I454" s="21">
        <v>0.55600000000000005</v>
      </c>
      <c r="J454" s="21">
        <v>0.56899999999999995</v>
      </c>
      <c r="K454" s="21">
        <v>1</v>
      </c>
      <c r="L454" s="21">
        <v>0.67500000000000004</v>
      </c>
      <c r="M454" s="21">
        <v>3.3</v>
      </c>
      <c r="N454" s="21">
        <v>0.9</v>
      </c>
      <c r="O454" s="21">
        <v>0.3</v>
      </c>
      <c r="P454" s="21">
        <v>0.2</v>
      </c>
      <c r="Q454" s="21">
        <v>0.5</v>
      </c>
      <c r="R454" s="21">
        <v>1.2</v>
      </c>
      <c r="S454" s="21">
        <v>4.8</v>
      </c>
      <c r="T454" s="21">
        <v>3</v>
      </c>
      <c r="U454" s="21">
        <v>0.4</v>
      </c>
      <c r="V454" s="21">
        <v>16</v>
      </c>
      <c r="W454" s="21">
        <v>0.159</v>
      </c>
      <c r="X454" s="4">
        <v>0.3</v>
      </c>
    </row>
    <row r="455" spans="1:24" x14ac:dyDescent="0.35">
      <c r="A455" s="21">
        <v>32</v>
      </c>
      <c r="B455" s="21">
        <v>72</v>
      </c>
      <c r="C455" s="21">
        <v>33.200000000000003</v>
      </c>
      <c r="D455" s="21">
        <v>7.1</v>
      </c>
      <c r="E455" s="21">
        <v>0.66900000000000004</v>
      </c>
      <c r="F455" s="21">
        <v>0</v>
      </c>
      <c r="H455" s="21">
        <v>7.1</v>
      </c>
      <c r="I455" s="21">
        <v>0.66900000000000004</v>
      </c>
      <c r="J455" s="21">
        <v>0.66900000000000004</v>
      </c>
      <c r="K455" s="21">
        <v>3.8</v>
      </c>
      <c r="L455" s="21">
        <v>0.67400000000000004</v>
      </c>
      <c r="M455" s="21">
        <v>10.9</v>
      </c>
      <c r="N455" s="21">
        <v>1.8</v>
      </c>
      <c r="O455" s="21">
        <v>0.8</v>
      </c>
      <c r="P455" s="21">
        <v>1.4</v>
      </c>
      <c r="Q455" s="21">
        <v>1.2</v>
      </c>
      <c r="R455" s="21">
        <v>2.5</v>
      </c>
      <c r="S455" s="21">
        <v>12</v>
      </c>
      <c r="T455" s="21">
        <v>11</v>
      </c>
      <c r="U455" s="21">
        <v>1.9</v>
      </c>
      <c r="V455" s="21">
        <v>18.3</v>
      </c>
      <c r="W455" s="21">
        <v>0.20399999999999999</v>
      </c>
      <c r="X455" s="4">
        <v>-0.2</v>
      </c>
    </row>
    <row r="456" spans="1:24" x14ac:dyDescent="0.35">
      <c r="A456" s="21">
        <v>29</v>
      </c>
      <c r="B456" s="21">
        <v>57</v>
      </c>
      <c r="C456" s="21">
        <v>29.6</v>
      </c>
      <c r="D456" s="21">
        <v>10.199999999999999</v>
      </c>
      <c r="E456" s="21">
        <v>0.627</v>
      </c>
      <c r="F456" s="21">
        <v>0.1</v>
      </c>
      <c r="G456" s="21">
        <v>0.33300000000000002</v>
      </c>
      <c r="H456" s="21">
        <v>10.1</v>
      </c>
      <c r="I456" s="21">
        <v>0.628</v>
      </c>
      <c r="J456" s="21">
        <v>0.628</v>
      </c>
      <c r="K456" s="21">
        <v>2.5</v>
      </c>
      <c r="L456" s="21">
        <v>0.67400000000000004</v>
      </c>
      <c r="M456" s="21">
        <v>9.6</v>
      </c>
      <c r="N456" s="21">
        <v>2.8</v>
      </c>
      <c r="O456" s="21">
        <v>1.2</v>
      </c>
      <c r="P456" s="21">
        <v>1.2</v>
      </c>
      <c r="Q456" s="21">
        <v>1.9</v>
      </c>
      <c r="R456" s="21">
        <v>3.1</v>
      </c>
      <c r="S456" s="21">
        <v>14.5</v>
      </c>
      <c r="T456" s="21">
        <v>8</v>
      </c>
      <c r="U456" s="21">
        <v>2</v>
      </c>
      <c r="V456" s="21">
        <v>20</v>
      </c>
      <c r="W456" s="21">
        <v>0.158</v>
      </c>
      <c r="X456" s="4">
        <v>1.7</v>
      </c>
    </row>
    <row r="457" spans="1:24" x14ac:dyDescent="0.35">
      <c r="A457" s="21">
        <v>23</v>
      </c>
      <c r="B457" s="21">
        <v>55</v>
      </c>
      <c r="C457" s="21">
        <v>14.2</v>
      </c>
      <c r="D457" s="21">
        <v>3.7</v>
      </c>
      <c r="E457" s="21">
        <v>0.438</v>
      </c>
      <c r="F457" s="21">
        <v>1.7</v>
      </c>
      <c r="G457" s="21">
        <v>0.33700000000000002</v>
      </c>
      <c r="H457" s="21">
        <v>2</v>
      </c>
      <c r="I457" s="21">
        <v>0.52800000000000002</v>
      </c>
      <c r="J457" s="21">
        <v>0.51700000000000002</v>
      </c>
      <c r="K457" s="21">
        <v>1.1000000000000001</v>
      </c>
      <c r="L457" s="21">
        <v>0.67200000000000004</v>
      </c>
      <c r="M457" s="21">
        <v>1.7</v>
      </c>
      <c r="N457" s="21">
        <v>1.2</v>
      </c>
      <c r="O457" s="21">
        <v>0.6</v>
      </c>
      <c r="P457" s="21">
        <v>0.1</v>
      </c>
      <c r="Q457" s="21">
        <v>0.4</v>
      </c>
      <c r="R457" s="21">
        <v>1.7</v>
      </c>
      <c r="S457" s="21">
        <v>4.5999999999999996</v>
      </c>
      <c r="T457" s="21">
        <v>0</v>
      </c>
      <c r="U457" s="21">
        <v>-3.1</v>
      </c>
      <c r="V457" s="21">
        <v>10.199999999999999</v>
      </c>
      <c r="W457" s="21">
        <v>8.5999999999999993E-2</v>
      </c>
      <c r="X457" s="4">
        <v>0.4</v>
      </c>
    </row>
    <row r="458" spans="1:24" x14ac:dyDescent="0.35">
      <c r="A458" s="21">
        <v>21</v>
      </c>
      <c r="B458" s="21">
        <v>58</v>
      </c>
      <c r="C458" s="21">
        <v>15.6</v>
      </c>
      <c r="D458" s="21">
        <v>3.3</v>
      </c>
      <c r="E458" s="21">
        <v>0.70299999999999996</v>
      </c>
      <c r="F458" s="21">
        <v>0</v>
      </c>
      <c r="G458" s="21">
        <v>0</v>
      </c>
      <c r="H458" s="21">
        <v>3.3</v>
      </c>
      <c r="I458" s="21">
        <v>0.70699999999999996</v>
      </c>
      <c r="J458" s="21">
        <v>0.70299999999999996</v>
      </c>
      <c r="K458" s="21">
        <v>1.7</v>
      </c>
      <c r="L458" s="21">
        <v>0.67</v>
      </c>
      <c r="M458" s="21">
        <v>4.2</v>
      </c>
      <c r="N458" s="21">
        <v>0.5</v>
      </c>
      <c r="O458" s="21">
        <v>0.4</v>
      </c>
      <c r="P458" s="21">
        <v>1.2</v>
      </c>
      <c r="Q458" s="21">
        <v>1.1000000000000001</v>
      </c>
      <c r="R458" s="21">
        <v>2.2000000000000002</v>
      </c>
      <c r="S458" s="21">
        <v>5.8</v>
      </c>
      <c r="T458" s="21">
        <v>0</v>
      </c>
      <c r="U458" s="21">
        <v>-2.7</v>
      </c>
      <c r="V458" s="21">
        <v>16.5</v>
      </c>
      <c r="W458" s="21">
        <v>0.121</v>
      </c>
      <c r="X458" s="4">
        <v>3.6</v>
      </c>
    </row>
    <row r="459" spans="1:24" x14ac:dyDescent="0.35">
      <c r="A459" s="21">
        <v>21</v>
      </c>
      <c r="B459" s="21">
        <v>78</v>
      </c>
      <c r="C459" s="21">
        <v>26.1</v>
      </c>
      <c r="D459" s="21">
        <v>7</v>
      </c>
      <c r="E459" s="21">
        <v>0.69199999999999995</v>
      </c>
      <c r="F459" s="21">
        <v>0</v>
      </c>
      <c r="H459" s="21">
        <v>7</v>
      </c>
      <c r="I459" s="21">
        <v>0.69199999999999995</v>
      </c>
      <c r="J459" s="21">
        <v>0.69199999999999995</v>
      </c>
      <c r="K459" s="21">
        <v>3.1</v>
      </c>
      <c r="L459" s="21">
        <v>0.66900000000000004</v>
      </c>
      <c r="M459" s="21">
        <v>10.3</v>
      </c>
      <c r="N459" s="21">
        <v>2.7</v>
      </c>
      <c r="O459" s="21">
        <v>0.7</v>
      </c>
      <c r="P459" s="21">
        <v>1.1000000000000001</v>
      </c>
      <c r="Q459" s="21">
        <v>1.7</v>
      </c>
      <c r="R459" s="21">
        <v>3.2</v>
      </c>
      <c r="S459" s="21">
        <v>11.8</v>
      </c>
      <c r="T459" s="21">
        <v>2</v>
      </c>
      <c r="U459" s="21">
        <v>3.1</v>
      </c>
      <c r="V459" s="21">
        <v>21.4</v>
      </c>
      <c r="W459" s="21">
        <v>0.218</v>
      </c>
      <c r="X459" s="4">
        <v>1.6</v>
      </c>
    </row>
    <row r="460" spans="1:24" x14ac:dyDescent="0.35">
      <c r="A460" s="21">
        <v>22</v>
      </c>
      <c r="B460" s="21">
        <v>47</v>
      </c>
      <c r="C460" s="21">
        <v>24.3</v>
      </c>
      <c r="D460" s="21">
        <v>12.1</v>
      </c>
      <c r="E460" s="21">
        <v>0.45400000000000001</v>
      </c>
      <c r="F460" s="21">
        <v>3.2</v>
      </c>
      <c r="G460" s="21">
        <v>0.30499999999999999</v>
      </c>
      <c r="H460" s="21">
        <v>8.9</v>
      </c>
      <c r="I460" s="21">
        <v>0.50800000000000001</v>
      </c>
      <c r="J460" s="21">
        <v>0.495</v>
      </c>
      <c r="K460" s="21">
        <v>5</v>
      </c>
      <c r="L460" s="21">
        <v>0.66800000000000004</v>
      </c>
      <c r="M460" s="21">
        <v>4.5999999999999996</v>
      </c>
      <c r="N460" s="21">
        <v>2.2000000000000002</v>
      </c>
      <c r="O460" s="21">
        <v>0.8</v>
      </c>
      <c r="P460" s="21">
        <v>0.4</v>
      </c>
      <c r="Q460" s="21">
        <v>1.5</v>
      </c>
      <c r="R460" s="21">
        <v>1.9</v>
      </c>
      <c r="S460" s="21">
        <v>15.3</v>
      </c>
      <c r="T460" s="21">
        <v>3</v>
      </c>
      <c r="U460" s="21">
        <v>-0.6</v>
      </c>
      <c r="V460" s="21">
        <v>15.7</v>
      </c>
      <c r="W460" s="21">
        <v>0.08</v>
      </c>
      <c r="X460" s="4">
        <v>0.6</v>
      </c>
    </row>
    <row r="461" spans="1:24" x14ac:dyDescent="0.35">
      <c r="A461" s="21">
        <v>24</v>
      </c>
      <c r="B461" s="21">
        <v>1</v>
      </c>
      <c r="C461" s="21">
        <v>22</v>
      </c>
      <c r="D461" s="21">
        <v>9</v>
      </c>
      <c r="E461" s="21">
        <v>0.66700000000000004</v>
      </c>
      <c r="F461" s="21">
        <v>0</v>
      </c>
      <c r="H461" s="21">
        <v>9</v>
      </c>
      <c r="I461" s="21">
        <v>0.66700000000000004</v>
      </c>
      <c r="J461" s="21">
        <v>0.66700000000000004</v>
      </c>
      <c r="K461" s="21">
        <v>3</v>
      </c>
      <c r="L461" s="21">
        <v>0.66700000000000004</v>
      </c>
      <c r="M461" s="21">
        <v>8</v>
      </c>
      <c r="N461" s="21">
        <v>0</v>
      </c>
      <c r="O461" s="21">
        <v>0</v>
      </c>
      <c r="P461" s="21">
        <v>0</v>
      </c>
      <c r="Q461" s="21">
        <v>2</v>
      </c>
      <c r="R461" s="21">
        <v>3</v>
      </c>
      <c r="S461" s="21">
        <v>14</v>
      </c>
      <c r="T461" s="21">
        <v>0</v>
      </c>
      <c r="U461" s="21">
        <v>-8.9</v>
      </c>
      <c r="V461" s="21">
        <v>19.5</v>
      </c>
      <c r="W461" s="21">
        <v>0.128</v>
      </c>
      <c r="X461" s="4">
        <v>0.1</v>
      </c>
    </row>
    <row r="462" spans="1:24" x14ac:dyDescent="0.35">
      <c r="A462" s="21">
        <v>26</v>
      </c>
      <c r="B462" s="21">
        <v>9</v>
      </c>
      <c r="C462" s="21">
        <v>21.8</v>
      </c>
      <c r="D462" s="21">
        <v>4.4000000000000004</v>
      </c>
      <c r="E462" s="21">
        <v>0.5</v>
      </c>
      <c r="F462" s="21">
        <v>3.1</v>
      </c>
      <c r="G462" s="21">
        <v>0.39300000000000002</v>
      </c>
      <c r="H462" s="21">
        <v>1.3</v>
      </c>
      <c r="I462" s="21">
        <v>0.75</v>
      </c>
      <c r="J462" s="21">
        <v>0.63800000000000001</v>
      </c>
      <c r="K462" s="21">
        <v>0.3</v>
      </c>
      <c r="L462" s="21">
        <v>0.66700000000000004</v>
      </c>
      <c r="M462" s="21">
        <v>5.2</v>
      </c>
      <c r="N462" s="21">
        <v>1.7</v>
      </c>
      <c r="O462" s="21">
        <v>0.6</v>
      </c>
      <c r="P462" s="21">
        <v>0.4</v>
      </c>
      <c r="Q462" s="21">
        <v>0.3</v>
      </c>
      <c r="R462" s="21">
        <v>0.6</v>
      </c>
      <c r="S462" s="21">
        <v>5.9</v>
      </c>
      <c r="T462" s="21">
        <v>4</v>
      </c>
      <c r="U462" s="21">
        <v>-0.2</v>
      </c>
      <c r="V462" s="21">
        <v>15.3</v>
      </c>
      <c r="W462" s="21">
        <v>0.14499999999999999</v>
      </c>
      <c r="X462" s="4">
        <v>-0.3</v>
      </c>
    </row>
    <row r="463" spans="1:24" x14ac:dyDescent="0.35">
      <c r="A463" s="21">
        <v>31</v>
      </c>
      <c r="B463" s="21">
        <v>63</v>
      </c>
      <c r="C463" s="21">
        <v>28.9</v>
      </c>
      <c r="D463" s="21">
        <v>6.9</v>
      </c>
      <c r="E463" s="21">
        <v>0.44800000000000001</v>
      </c>
      <c r="F463" s="21">
        <v>5</v>
      </c>
      <c r="G463" s="21">
        <v>0.41099999999999998</v>
      </c>
      <c r="H463" s="21">
        <v>1.9</v>
      </c>
      <c r="I463" s="21">
        <v>0.54500000000000004</v>
      </c>
      <c r="J463" s="21">
        <v>0.59699999999999998</v>
      </c>
      <c r="K463" s="21">
        <v>0.7</v>
      </c>
      <c r="L463" s="21">
        <v>0.66700000000000004</v>
      </c>
      <c r="M463" s="21">
        <v>3.9</v>
      </c>
      <c r="N463" s="21">
        <v>1.4</v>
      </c>
      <c r="O463" s="21">
        <v>0.9</v>
      </c>
      <c r="P463" s="21">
        <v>0.4</v>
      </c>
      <c r="Q463" s="21">
        <v>0.9</v>
      </c>
      <c r="R463" s="21">
        <v>2.2000000000000002</v>
      </c>
      <c r="S463" s="21">
        <v>8.6999999999999993</v>
      </c>
      <c r="T463" s="21">
        <v>8</v>
      </c>
      <c r="U463" s="21">
        <v>-1</v>
      </c>
      <c r="V463" s="21">
        <v>10.1</v>
      </c>
      <c r="W463" s="21">
        <v>7.8E-2</v>
      </c>
      <c r="X463" s="4">
        <v>-0.4</v>
      </c>
    </row>
    <row r="464" spans="1:24" x14ac:dyDescent="0.35">
      <c r="A464" s="21">
        <v>27</v>
      </c>
      <c r="B464" s="21">
        <v>50</v>
      </c>
      <c r="C464" s="21">
        <v>15.2</v>
      </c>
      <c r="D464" s="21">
        <v>4.5999999999999996</v>
      </c>
      <c r="E464" s="21">
        <v>0.46100000000000002</v>
      </c>
      <c r="F464" s="21">
        <v>3.1</v>
      </c>
      <c r="G464" s="21">
        <v>0.39700000000000002</v>
      </c>
      <c r="H464" s="21">
        <v>1.5</v>
      </c>
      <c r="I464" s="21">
        <v>0.59499999999999997</v>
      </c>
      <c r="J464" s="21">
        <v>0.59599999999999997</v>
      </c>
      <c r="K464" s="21">
        <v>0.4</v>
      </c>
      <c r="L464" s="21">
        <v>0.66700000000000004</v>
      </c>
      <c r="M464" s="21">
        <v>1.2</v>
      </c>
      <c r="N464" s="21">
        <v>0.5</v>
      </c>
      <c r="O464" s="21">
        <v>0.5</v>
      </c>
      <c r="P464" s="21">
        <v>0</v>
      </c>
      <c r="Q464" s="21">
        <v>0.4</v>
      </c>
      <c r="R464" s="21">
        <v>1</v>
      </c>
      <c r="S464" s="21">
        <v>5.7</v>
      </c>
      <c r="T464" s="21">
        <v>6</v>
      </c>
      <c r="U464" s="21">
        <v>-2.4</v>
      </c>
      <c r="V464" s="21">
        <v>9.6999999999999993</v>
      </c>
      <c r="W464" s="21">
        <v>6.5000000000000002E-2</v>
      </c>
      <c r="X464" s="4">
        <v>-0.5</v>
      </c>
    </row>
    <row r="465" spans="1:24" x14ac:dyDescent="0.35">
      <c r="A465" s="21">
        <v>21</v>
      </c>
      <c r="B465" s="21">
        <v>75</v>
      </c>
      <c r="C465" s="21">
        <v>15.8</v>
      </c>
      <c r="D465" s="21">
        <v>4.8</v>
      </c>
      <c r="E465" s="21">
        <v>0.47199999999999998</v>
      </c>
      <c r="F465" s="21">
        <v>2.5</v>
      </c>
      <c r="G465" s="21">
        <v>0.40500000000000003</v>
      </c>
      <c r="H465" s="21">
        <v>2.2999999999999998</v>
      </c>
      <c r="I465" s="21">
        <v>0.54300000000000004</v>
      </c>
      <c r="J465" s="21">
        <v>0.57599999999999996</v>
      </c>
      <c r="K465" s="21">
        <v>0.9</v>
      </c>
      <c r="L465" s="21">
        <v>0.66700000000000004</v>
      </c>
      <c r="M465" s="21">
        <v>3.1</v>
      </c>
      <c r="N465" s="21">
        <v>1.5</v>
      </c>
      <c r="O465" s="21">
        <v>0.7</v>
      </c>
      <c r="P465" s="21">
        <v>0.3</v>
      </c>
      <c r="Q465" s="21">
        <v>1</v>
      </c>
      <c r="R465" s="21">
        <v>1.5</v>
      </c>
      <c r="S465" s="21">
        <v>6.1</v>
      </c>
      <c r="T465" s="21">
        <v>1</v>
      </c>
      <c r="U465" s="21">
        <v>-0.9</v>
      </c>
      <c r="V465" s="21">
        <v>11.9</v>
      </c>
      <c r="W465" s="21">
        <v>6.5000000000000002E-2</v>
      </c>
      <c r="X465" s="4">
        <v>1.1000000000000001</v>
      </c>
    </row>
    <row r="466" spans="1:24" x14ac:dyDescent="0.35">
      <c r="A466" s="21">
        <v>26</v>
      </c>
      <c r="B466" s="21">
        <v>40</v>
      </c>
      <c r="C466" s="21">
        <v>30.2</v>
      </c>
      <c r="D466" s="21">
        <v>11.7</v>
      </c>
      <c r="E466" s="21">
        <v>0.56599999999999995</v>
      </c>
      <c r="F466" s="21">
        <v>0.8</v>
      </c>
      <c r="G466" s="21">
        <v>0.188</v>
      </c>
      <c r="H466" s="21">
        <v>10.9</v>
      </c>
      <c r="I466" s="21">
        <v>0.59399999999999997</v>
      </c>
      <c r="J466" s="21">
        <v>0.57299999999999995</v>
      </c>
      <c r="K466" s="21">
        <v>1.5</v>
      </c>
      <c r="L466" s="21">
        <v>0.66700000000000004</v>
      </c>
      <c r="M466" s="21">
        <v>10.199999999999999</v>
      </c>
      <c r="N466" s="21">
        <v>1.6</v>
      </c>
      <c r="O466" s="21">
        <v>0.8</v>
      </c>
      <c r="P466" s="21">
        <v>1</v>
      </c>
      <c r="Q466" s="21">
        <v>1.7</v>
      </c>
      <c r="R466" s="21">
        <v>2.2000000000000002</v>
      </c>
      <c r="S466" s="21">
        <v>14.4</v>
      </c>
      <c r="T466" s="21">
        <v>6</v>
      </c>
      <c r="U466" s="21">
        <v>-0.7</v>
      </c>
      <c r="V466" s="21">
        <v>17.7</v>
      </c>
      <c r="W466" s="21">
        <v>0.113</v>
      </c>
      <c r="X466" s="4">
        <v>1.2</v>
      </c>
    </row>
    <row r="467" spans="1:24" x14ac:dyDescent="0.35">
      <c r="A467" s="21">
        <v>34</v>
      </c>
      <c r="B467" s="21">
        <v>26</v>
      </c>
      <c r="C467" s="21">
        <v>12.1</v>
      </c>
      <c r="D467" s="21">
        <v>3.5</v>
      </c>
      <c r="E467" s="21">
        <v>0.42199999999999999</v>
      </c>
      <c r="F467" s="21">
        <v>2.5</v>
      </c>
      <c r="G467" s="21">
        <v>0.36399999999999999</v>
      </c>
      <c r="H467" s="21">
        <v>0.9</v>
      </c>
      <c r="I467" s="21">
        <v>0.58299999999999996</v>
      </c>
      <c r="J467" s="21">
        <v>0.55600000000000005</v>
      </c>
      <c r="K467" s="21">
        <v>0.5</v>
      </c>
      <c r="L467" s="21">
        <v>0.66700000000000004</v>
      </c>
      <c r="M467" s="21">
        <v>2.8</v>
      </c>
      <c r="N467" s="21">
        <v>0.7</v>
      </c>
      <c r="O467" s="21">
        <v>0.3</v>
      </c>
      <c r="P467" s="21">
        <v>0.5</v>
      </c>
      <c r="Q467" s="21">
        <v>0.3</v>
      </c>
      <c r="R467" s="21">
        <v>1.3</v>
      </c>
      <c r="S467" s="21">
        <v>4.2</v>
      </c>
      <c r="T467" s="21">
        <v>7</v>
      </c>
      <c r="U467" s="21">
        <v>-0.9</v>
      </c>
      <c r="V467" s="21">
        <v>12.9</v>
      </c>
      <c r="W467" s="21">
        <v>0.122</v>
      </c>
      <c r="X467" s="4">
        <v>-0.5</v>
      </c>
    </row>
    <row r="468" spans="1:24" x14ac:dyDescent="0.35">
      <c r="A468" s="21">
        <v>25</v>
      </c>
      <c r="B468" s="21">
        <v>5</v>
      </c>
      <c r="C468" s="21">
        <v>12.4</v>
      </c>
      <c r="D468" s="21">
        <v>2.4</v>
      </c>
      <c r="E468" s="21">
        <v>0.5</v>
      </c>
      <c r="F468" s="21">
        <v>1</v>
      </c>
      <c r="G468" s="21">
        <v>0.2</v>
      </c>
      <c r="H468" s="21">
        <v>1.4</v>
      </c>
      <c r="I468" s="21">
        <v>0.71399999999999997</v>
      </c>
      <c r="J468" s="21">
        <v>0.54200000000000004</v>
      </c>
      <c r="K468" s="21">
        <v>1.2</v>
      </c>
      <c r="L468" s="21">
        <v>0.66700000000000004</v>
      </c>
      <c r="M468" s="21">
        <v>1</v>
      </c>
      <c r="N468" s="21">
        <v>2</v>
      </c>
      <c r="O468" s="21">
        <v>0.8</v>
      </c>
      <c r="P468" s="21">
        <v>0.4</v>
      </c>
      <c r="Q468" s="21">
        <v>1.6</v>
      </c>
      <c r="R468" s="21">
        <v>0.4</v>
      </c>
      <c r="S468" s="21">
        <v>3.4</v>
      </c>
      <c r="T468" s="21">
        <v>2</v>
      </c>
      <c r="U468" s="21">
        <v>-5.4</v>
      </c>
      <c r="V468" s="21">
        <v>9.6999999999999993</v>
      </c>
      <c r="W468" s="21">
        <v>7.0000000000000001E-3</v>
      </c>
      <c r="X468" s="4">
        <v>-0.1</v>
      </c>
    </row>
    <row r="469" spans="1:24" x14ac:dyDescent="0.35">
      <c r="A469" s="21">
        <v>19</v>
      </c>
      <c r="B469" s="21">
        <v>18</v>
      </c>
      <c r="C469" s="21">
        <v>6.2</v>
      </c>
      <c r="D469" s="21">
        <v>1.7</v>
      </c>
      <c r="E469" s="21">
        <v>0.32300000000000001</v>
      </c>
      <c r="F469" s="21">
        <v>1.1000000000000001</v>
      </c>
      <c r="G469" s="21">
        <v>0.316</v>
      </c>
      <c r="H469" s="21">
        <v>0.7</v>
      </c>
      <c r="I469" s="21">
        <v>0.33300000000000002</v>
      </c>
      <c r="J469" s="21">
        <v>0.41899999999999998</v>
      </c>
      <c r="K469" s="21">
        <v>0.3</v>
      </c>
      <c r="L469" s="21">
        <v>0.66700000000000004</v>
      </c>
      <c r="M469" s="21">
        <v>1</v>
      </c>
      <c r="N469" s="21">
        <v>0.3</v>
      </c>
      <c r="O469" s="21">
        <v>0.2</v>
      </c>
      <c r="P469" s="21">
        <v>0.1</v>
      </c>
      <c r="Q469" s="21">
        <v>0.2</v>
      </c>
      <c r="R469" s="21">
        <v>0.4</v>
      </c>
      <c r="S469" s="21">
        <v>1.7</v>
      </c>
      <c r="T469" s="21">
        <v>0</v>
      </c>
      <c r="U469" s="21">
        <v>-6.5</v>
      </c>
      <c r="V469" s="21">
        <v>6.3</v>
      </c>
      <c r="W469" s="21">
        <v>2E-3</v>
      </c>
      <c r="X469" s="4">
        <v>1.7</v>
      </c>
    </row>
    <row r="470" spans="1:24" x14ac:dyDescent="0.35">
      <c r="A470" s="21">
        <v>23</v>
      </c>
      <c r="B470" s="21">
        <v>14</v>
      </c>
      <c r="C470" s="21">
        <v>4.9000000000000004</v>
      </c>
      <c r="D470" s="21">
        <v>2.2000000000000002</v>
      </c>
      <c r="E470" s="21">
        <v>0.35499999999999998</v>
      </c>
      <c r="F470" s="21">
        <v>0.8</v>
      </c>
      <c r="G470" s="21">
        <v>0.182</v>
      </c>
      <c r="H470" s="21">
        <v>1.4</v>
      </c>
      <c r="I470" s="21">
        <v>0.45</v>
      </c>
      <c r="J470" s="21">
        <v>0.38700000000000001</v>
      </c>
      <c r="K470" s="21">
        <v>0.4</v>
      </c>
      <c r="L470" s="21">
        <v>0.66700000000000004</v>
      </c>
      <c r="M470" s="21">
        <v>0.6</v>
      </c>
      <c r="N470" s="21">
        <v>0.6</v>
      </c>
      <c r="O470" s="21">
        <v>0.4</v>
      </c>
      <c r="P470" s="21">
        <v>0.2</v>
      </c>
      <c r="Q470" s="21">
        <v>0.4</v>
      </c>
      <c r="R470" s="21">
        <v>0.1</v>
      </c>
      <c r="S470" s="21">
        <v>2</v>
      </c>
      <c r="T470" s="21">
        <v>3</v>
      </c>
      <c r="U470" s="21">
        <v>-7.9</v>
      </c>
      <c r="V470" s="21">
        <v>9.4</v>
      </c>
      <c r="W470" s="21">
        <v>-7.2999999999999995E-2</v>
      </c>
      <c r="X470" s="4">
        <v>0.4</v>
      </c>
    </row>
    <row r="471" spans="1:24" x14ac:dyDescent="0.35">
      <c r="A471" s="21">
        <v>30</v>
      </c>
      <c r="B471" s="21">
        <v>51</v>
      </c>
      <c r="C471" s="21">
        <v>20.8</v>
      </c>
      <c r="D471" s="21">
        <v>6.9</v>
      </c>
      <c r="E471" s="21">
        <v>0.47699999999999998</v>
      </c>
      <c r="F471" s="21">
        <v>2.1</v>
      </c>
      <c r="G471" s="21">
        <v>0.30499999999999999</v>
      </c>
      <c r="H471" s="21">
        <v>4.8</v>
      </c>
      <c r="I471" s="21">
        <v>0.55100000000000005</v>
      </c>
      <c r="J471" s="21">
        <v>0.52300000000000002</v>
      </c>
      <c r="K471" s="21">
        <v>2.5</v>
      </c>
      <c r="L471" s="21">
        <v>0.66400000000000003</v>
      </c>
      <c r="M471" s="21">
        <v>7.8</v>
      </c>
      <c r="N471" s="21">
        <v>2.2999999999999998</v>
      </c>
      <c r="O471" s="21">
        <v>0.8</v>
      </c>
      <c r="P471" s="21">
        <v>0.7</v>
      </c>
      <c r="Q471" s="21">
        <v>1.9</v>
      </c>
      <c r="R471" s="21">
        <v>2.5</v>
      </c>
      <c r="S471" s="21">
        <v>8.9</v>
      </c>
      <c r="T471" s="21">
        <v>10</v>
      </c>
      <c r="U471" s="21">
        <v>-1.3</v>
      </c>
      <c r="V471" s="21">
        <v>15.2</v>
      </c>
      <c r="W471" s="21">
        <v>6.6000000000000003E-2</v>
      </c>
      <c r="X471" s="4">
        <v>2.9</v>
      </c>
    </row>
    <row r="472" spans="1:24" x14ac:dyDescent="0.35">
      <c r="A472" s="21">
        <v>27</v>
      </c>
      <c r="B472" s="21">
        <v>61</v>
      </c>
      <c r="C472" s="21">
        <v>12.2</v>
      </c>
      <c r="D472" s="21">
        <v>3.2</v>
      </c>
      <c r="E472" s="21">
        <v>0.59299999999999997</v>
      </c>
      <c r="F472" s="21">
        <v>0.1</v>
      </c>
      <c r="G472" s="21">
        <v>0.5</v>
      </c>
      <c r="H472" s="21">
        <v>3.1</v>
      </c>
      <c r="I472" s="21">
        <v>0.59599999999999997</v>
      </c>
      <c r="J472" s="21">
        <v>0.60099999999999998</v>
      </c>
      <c r="K472" s="21">
        <v>1.2</v>
      </c>
      <c r="L472" s="21">
        <v>0.66200000000000003</v>
      </c>
      <c r="M472" s="21">
        <v>3.7</v>
      </c>
      <c r="N472" s="21">
        <v>0.9</v>
      </c>
      <c r="O472" s="21">
        <v>0.2</v>
      </c>
      <c r="P472" s="21">
        <v>0.6</v>
      </c>
      <c r="Q472" s="21">
        <v>0.7</v>
      </c>
      <c r="R472" s="21">
        <v>1</v>
      </c>
      <c r="S472" s="21">
        <v>4.5999999999999996</v>
      </c>
      <c r="T472" s="21">
        <v>6</v>
      </c>
      <c r="U472" s="21">
        <v>-0.7</v>
      </c>
      <c r="V472" s="21">
        <v>15.6</v>
      </c>
      <c r="W472" s="21">
        <v>0.107</v>
      </c>
      <c r="X472" s="4">
        <v>4.9000000000000004</v>
      </c>
    </row>
    <row r="473" spans="1:24" x14ac:dyDescent="0.35">
      <c r="A473" s="21">
        <v>27</v>
      </c>
      <c r="B473" s="21">
        <v>80</v>
      </c>
      <c r="C473" s="21">
        <v>32.799999999999997</v>
      </c>
      <c r="D473" s="21">
        <v>11.8</v>
      </c>
      <c r="E473" s="21">
        <v>0.628</v>
      </c>
      <c r="F473" s="21">
        <v>0</v>
      </c>
      <c r="H473" s="21">
        <v>11.8</v>
      </c>
      <c r="I473" s="21">
        <v>0.628</v>
      </c>
      <c r="J473" s="21">
        <v>0.628</v>
      </c>
      <c r="K473" s="21">
        <v>3</v>
      </c>
      <c r="L473" s="21">
        <v>0.66100000000000003</v>
      </c>
      <c r="M473" s="21">
        <v>12.6</v>
      </c>
      <c r="N473" s="21">
        <v>2.7</v>
      </c>
      <c r="O473" s="21">
        <v>0.7</v>
      </c>
      <c r="P473" s="21">
        <v>1.1000000000000001</v>
      </c>
      <c r="Q473" s="21">
        <v>1.6</v>
      </c>
      <c r="R473" s="21">
        <v>2.1</v>
      </c>
      <c r="S473" s="21">
        <v>16.8</v>
      </c>
      <c r="T473" s="21">
        <v>8</v>
      </c>
      <c r="U473" s="21">
        <v>3.1</v>
      </c>
      <c r="V473" s="21">
        <v>22.3</v>
      </c>
      <c r="W473" s="21">
        <v>0.215</v>
      </c>
      <c r="X473" s="4">
        <v>0</v>
      </c>
    </row>
    <row r="474" spans="1:24" x14ac:dyDescent="0.35">
      <c r="A474" s="21">
        <v>36</v>
      </c>
      <c r="B474" s="21">
        <v>75</v>
      </c>
      <c r="C474" s="21">
        <v>27.9</v>
      </c>
      <c r="D474" s="21">
        <v>11.1</v>
      </c>
      <c r="E474" s="21">
        <v>0.44900000000000001</v>
      </c>
      <c r="F474" s="21">
        <v>3.9</v>
      </c>
      <c r="G474" s="21">
        <v>0.32300000000000001</v>
      </c>
      <c r="H474" s="21">
        <v>7.2</v>
      </c>
      <c r="I474" s="21">
        <v>0.51700000000000002</v>
      </c>
      <c r="J474" s="21">
        <v>0.505</v>
      </c>
      <c r="K474" s="21">
        <v>3.1</v>
      </c>
      <c r="L474" s="21">
        <v>0.66100000000000003</v>
      </c>
      <c r="M474" s="21">
        <v>4.9000000000000004</v>
      </c>
      <c r="N474" s="21">
        <v>6.1</v>
      </c>
      <c r="O474" s="21">
        <v>1.4</v>
      </c>
      <c r="P474" s="21">
        <v>0.5</v>
      </c>
      <c r="Q474" s="21">
        <v>3.2</v>
      </c>
      <c r="R474" s="21">
        <v>2.5</v>
      </c>
      <c r="S474" s="21">
        <v>13.3</v>
      </c>
      <c r="T474" s="21">
        <v>16</v>
      </c>
      <c r="U474" s="21">
        <v>-1.1000000000000001</v>
      </c>
      <c r="V474" s="21">
        <v>14.3</v>
      </c>
      <c r="W474" s="21">
        <v>4.4999999999999998E-2</v>
      </c>
      <c r="X474" s="4">
        <v>3.4</v>
      </c>
    </row>
    <row r="475" spans="1:24" x14ac:dyDescent="0.35">
      <c r="A475" s="21">
        <v>32</v>
      </c>
      <c r="B475" s="21">
        <v>51</v>
      </c>
      <c r="C475" s="21">
        <v>7.8</v>
      </c>
      <c r="D475" s="21">
        <v>1.7</v>
      </c>
      <c r="E475" s="21">
        <v>0.48899999999999999</v>
      </c>
      <c r="F475" s="21">
        <v>0.6</v>
      </c>
      <c r="G475" s="21">
        <v>0.32300000000000001</v>
      </c>
      <c r="H475" s="21">
        <v>1.1000000000000001</v>
      </c>
      <c r="I475" s="21">
        <v>0.57899999999999996</v>
      </c>
      <c r="J475" s="21">
        <v>0.54500000000000004</v>
      </c>
      <c r="K475" s="21">
        <v>1</v>
      </c>
      <c r="L475" s="21">
        <v>0.66</v>
      </c>
      <c r="M475" s="21">
        <v>1.3</v>
      </c>
      <c r="N475" s="21">
        <v>0.3</v>
      </c>
      <c r="O475" s="21">
        <v>0.2</v>
      </c>
      <c r="P475" s="21">
        <v>0</v>
      </c>
      <c r="Q475" s="21">
        <v>0.2</v>
      </c>
      <c r="R475" s="21">
        <v>0.6</v>
      </c>
      <c r="S475" s="21">
        <v>2.5</v>
      </c>
      <c r="T475" s="21">
        <v>4</v>
      </c>
      <c r="U475" s="21">
        <v>-4.5</v>
      </c>
      <c r="V475" s="21">
        <v>10.199999999999999</v>
      </c>
      <c r="W475" s="21">
        <v>5.8000000000000003E-2</v>
      </c>
      <c r="X475" s="4">
        <v>0.2</v>
      </c>
    </row>
    <row r="476" spans="1:24" x14ac:dyDescent="0.35">
      <c r="A476" s="21">
        <v>25</v>
      </c>
      <c r="B476" s="21">
        <v>31</v>
      </c>
      <c r="C476" s="21">
        <v>8.5</v>
      </c>
      <c r="D476" s="21">
        <v>3.4</v>
      </c>
      <c r="E476" s="21">
        <v>0.51900000000000002</v>
      </c>
      <c r="F476" s="21">
        <v>0.6</v>
      </c>
      <c r="G476" s="21">
        <v>0.158</v>
      </c>
      <c r="H476" s="21">
        <v>2.8</v>
      </c>
      <c r="I476" s="21">
        <v>0.59799999999999998</v>
      </c>
      <c r="J476" s="21">
        <v>0.53300000000000003</v>
      </c>
      <c r="K476" s="21">
        <v>1.1000000000000001</v>
      </c>
      <c r="L476" s="21">
        <v>0.65700000000000003</v>
      </c>
      <c r="M476" s="21">
        <v>2.7</v>
      </c>
      <c r="N476" s="21">
        <v>0.4</v>
      </c>
      <c r="O476" s="21">
        <v>0.3</v>
      </c>
      <c r="P476" s="21">
        <v>0.3</v>
      </c>
      <c r="Q476" s="21">
        <v>0.4</v>
      </c>
      <c r="R476" s="21">
        <v>0.6</v>
      </c>
      <c r="S476" s="21">
        <v>4.4000000000000004</v>
      </c>
      <c r="T476" s="21">
        <v>6</v>
      </c>
      <c r="U476" s="21">
        <v>-1.2</v>
      </c>
      <c r="V476" s="21">
        <v>18.399999999999999</v>
      </c>
      <c r="W476" s="21">
        <v>0.108</v>
      </c>
      <c r="X476" s="4">
        <v>-0.1</v>
      </c>
    </row>
    <row r="477" spans="1:24" x14ac:dyDescent="0.35">
      <c r="A477" s="21">
        <v>22</v>
      </c>
      <c r="B477" s="21">
        <v>39</v>
      </c>
      <c r="C477" s="21">
        <v>13.2</v>
      </c>
      <c r="D477" s="21">
        <v>3.3</v>
      </c>
      <c r="E477" s="21">
        <v>0.45700000000000002</v>
      </c>
      <c r="F477" s="21">
        <v>1.3</v>
      </c>
      <c r="G477" s="21">
        <v>0.32700000000000001</v>
      </c>
      <c r="H477" s="21">
        <v>2.1</v>
      </c>
      <c r="I477" s="21">
        <v>0.53800000000000003</v>
      </c>
      <c r="J477" s="21">
        <v>0.51900000000000002</v>
      </c>
      <c r="K477" s="21">
        <v>0.9</v>
      </c>
      <c r="L477" s="21">
        <v>0.65700000000000003</v>
      </c>
      <c r="M477" s="21">
        <v>2.2000000000000002</v>
      </c>
      <c r="N477" s="21">
        <v>1.1000000000000001</v>
      </c>
      <c r="O477" s="21">
        <v>0.7</v>
      </c>
      <c r="P477" s="21">
        <v>0.3</v>
      </c>
      <c r="Q477" s="21">
        <v>0.6</v>
      </c>
      <c r="R477" s="21">
        <v>0.9</v>
      </c>
      <c r="S477" s="21">
        <v>4</v>
      </c>
      <c r="T477" s="21">
        <v>1</v>
      </c>
      <c r="U477" s="21">
        <v>-2.8</v>
      </c>
      <c r="V477" s="21">
        <v>11.4</v>
      </c>
      <c r="W477" s="21">
        <v>5.2999999999999999E-2</v>
      </c>
      <c r="X477" s="4">
        <v>-0.8</v>
      </c>
    </row>
    <row r="478" spans="1:24" x14ac:dyDescent="0.35">
      <c r="A478" s="21">
        <v>24</v>
      </c>
      <c r="B478" s="21">
        <v>30</v>
      </c>
      <c r="C478" s="21">
        <v>28.6</v>
      </c>
      <c r="D478" s="21">
        <v>16.899999999999999</v>
      </c>
      <c r="E478" s="21">
        <v>0.56699999999999995</v>
      </c>
      <c r="F478" s="21">
        <v>0.4</v>
      </c>
      <c r="G478" s="21">
        <v>0.23100000000000001</v>
      </c>
      <c r="H478" s="21">
        <v>16.5</v>
      </c>
      <c r="I478" s="21">
        <v>0.57599999999999996</v>
      </c>
      <c r="J478" s="21">
        <v>0.56999999999999995</v>
      </c>
      <c r="K478" s="21">
        <v>8</v>
      </c>
      <c r="L478" s="21">
        <v>0.65600000000000003</v>
      </c>
      <c r="M478" s="21">
        <v>7.2</v>
      </c>
      <c r="N478" s="21">
        <v>5.3</v>
      </c>
      <c r="O478" s="21">
        <v>1.2</v>
      </c>
      <c r="P478" s="21">
        <v>0.9</v>
      </c>
      <c r="Q478" s="21">
        <v>3</v>
      </c>
      <c r="R478" s="21">
        <v>2.7</v>
      </c>
      <c r="S478" s="21">
        <v>24.6</v>
      </c>
      <c r="T478" s="21">
        <v>5</v>
      </c>
      <c r="U478" s="21">
        <v>7</v>
      </c>
      <c r="V478" s="21">
        <v>27.3</v>
      </c>
      <c r="W478" s="21">
        <v>0.14099999999999999</v>
      </c>
      <c r="X478" s="4">
        <v>0.6</v>
      </c>
    </row>
    <row r="479" spans="1:24" x14ac:dyDescent="0.35">
      <c r="A479" s="21">
        <v>33</v>
      </c>
      <c r="B479" s="21">
        <v>55</v>
      </c>
      <c r="C479" s="21">
        <v>10</v>
      </c>
      <c r="D479" s="21">
        <v>1.1000000000000001</v>
      </c>
      <c r="E479" s="21">
        <v>0.68899999999999995</v>
      </c>
      <c r="F479" s="21">
        <v>0.1</v>
      </c>
      <c r="G479" s="21">
        <v>0.4</v>
      </c>
      <c r="H479" s="21">
        <v>1</v>
      </c>
      <c r="I479" s="21">
        <v>0.71399999999999997</v>
      </c>
      <c r="J479" s="21">
        <v>0.70499999999999996</v>
      </c>
      <c r="K479" s="21">
        <v>0.8</v>
      </c>
      <c r="L479" s="21">
        <v>0.65100000000000002</v>
      </c>
      <c r="M479" s="21">
        <v>2.1</v>
      </c>
      <c r="N479" s="21">
        <v>1</v>
      </c>
      <c r="O479" s="21">
        <v>0.3</v>
      </c>
      <c r="P479" s="21">
        <v>0.4</v>
      </c>
      <c r="Q479" s="21">
        <v>0.3</v>
      </c>
      <c r="R479" s="21">
        <v>1.4</v>
      </c>
      <c r="S479" s="21">
        <v>2.1</v>
      </c>
      <c r="T479" s="21">
        <v>10</v>
      </c>
      <c r="U479" s="21">
        <v>0</v>
      </c>
      <c r="V479" s="21">
        <v>12.9</v>
      </c>
      <c r="W479" s="21">
        <v>0.14699999999999999</v>
      </c>
      <c r="X479" s="4">
        <v>2.7</v>
      </c>
    </row>
    <row r="480" spans="1:24" x14ac:dyDescent="0.35">
      <c r="A480" s="21">
        <v>21</v>
      </c>
      <c r="B480" s="21">
        <v>72</v>
      </c>
      <c r="C480" s="21">
        <v>21.1</v>
      </c>
      <c r="D480" s="21">
        <v>7.2</v>
      </c>
      <c r="E480" s="21">
        <v>0.502</v>
      </c>
      <c r="F480" s="21">
        <v>3.1</v>
      </c>
      <c r="G480" s="21">
        <v>0.35</v>
      </c>
      <c r="H480" s="21">
        <v>4.0999999999999996</v>
      </c>
      <c r="I480" s="21">
        <v>0.61399999999999999</v>
      </c>
      <c r="J480" s="21">
        <v>0.57599999999999996</v>
      </c>
      <c r="K480" s="21">
        <v>2</v>
      </c>
      <c r="L480" s="21">
        <v>0.65</v>
      </c>
      <c r="M480" s="21">
        <v>6.1</v>
      </c>
      <c r="N480" s="21">
        <v>1.9</v>
      </c>
      <c r="O480" s="21">
        <v>0.7</v>
      </c>
      <c r="P480" s="21">
        <v>0.3</v>
      </c>
      <c r="Q480" s="21">
        <v>1.4</v>
      </c>
      <c r="R480" s="21">
        <v>2.4</v>
      </c>
      <c r="S480" s="21">
        <v>9.6</v>
      </c>
      <c r="T480" s="21">
        <v>0</v>
      </c>
      <c r="U480" s="21">
        <v>-1</v>
      </c>
      <c r="V480" s="21">
        <v>14.9</v>
      </c>
      <c r="W480" s="21">
        <v>7.8E-2</v>
      </c>
      <c r="X480" s="4">
        <v>0.5</v>
      </c>
    </row>
    <row r="481" spans="1:24" x14ac:dyDescent="0.35">
      <c r="A481" s="21">
        <v>34</v>
      </c>
      <c r="B481" s="21">
        <v>74</v>
      </c>
      <c r="C481" s="21">
        <v>17.600000000000001</v>
      </c>
      <c r="D481" s="21">
        <v>2.7</v>
      </c>
      <c r="E481" s="21">
        <v>0.61899999999999999</v>
      </c>
      <c r="F481" s="21">
        <v>0.1</v>
      </c>
      <c r="G481" s="21">
        <v>0</v>
      </c>
      <c r="H481" s="21">
        <v>2.7</v>
      </c>
      <c r="I481" s="21">
        <v>0.63100000000000001</v>
      </c>
      <c r="J481" s="21">
        <v>0.61899999999999999</v>
      </c>
      <c r="K481" s="21">
        <v>1.7</v>
      </c>
      <c r="L481" s="21">
        <v>0.64800000000000002</v>
      </c>
      <c r="M481" s="21">
        <v>6.1</v>
      </c>
      <c r="N481" s="21">
        <v>1.8</v>
      </c>
      <c r="O481" s="21">
        <v>0.4</v>
      </c>
      <c r="P481" s="21">
        <v>0.6</v>
      </c>
      <c r="Q481" s="21">
        <v>0.8</v>
      </c>
      <c r="R481" s="21">
        <v>2.1</v>
      </c>
      <c r="S481" s="21">
        <v>4.5</v>
      </c>
      <c r="T481" s="21">
        <v>11</v>
      </c>
      <c r="U481" s="21">
        <v>-0.6</v>
      </c>
      <c r="V481" s="21">
        <v>14.8</v>
      </c>
      <c r="W481" s="21">
        <v>0.13600000000000001</v>
      </c>
      <c r="X481" s="4">
        <v>1.9</v>
      </c>
    </row>
    <row r="482" spans="1:24" x14ac:dyDescent="0.35">
      <c r="A482" s="21">
        <v>22</v>
      </c>
      <c r="B482" s="21">
        <v>52</v>
      </c>
      <c r="C482" s="21">
        <v>11.2</v>
      </c>
      <c r="D482" s="21">
        <v>3.3</v>
      </c>
      <c r="E482" s="21">
        <v>0.40200000000000002</v>
      </c>
      <c r="F482" s="21">
        <v>1</v>
      </c>
      <c r="G482" s="21">
        <v>0.23499999999999999</v>
      </c>
      <c r="H482" s="21">
        <v>2.4</v>
      </c>
      <c r="I482" s="21">
        <v>0.47199999999999998</v>
      </c>
      <c r="J482" s="21">
        <v>0.437</v>
      </c>
      <c r="K482" s="21">
        <v>1.5</v>
      </c>
      <c r="L482" s="21">
        <v>0.64500000000000002</v>
      </c>
      <c r="M482" s="21">
        <v>2.4</v>
      </c>
      <c r="N482" s="21">
        <v>0.8</v>
      </c>
      <c r="O482" s="21">
        <v>0.5</v>
      </c>
      <c r="P482" s="21">
        <v>0.1</v>
      </c>
      <c r="Q482" s="21">
        <v>0.3</v>
      </c>
      <c r="R482" s="21">
        <v>0.5</v>
      </c>
      <c r="S482" s="21">
        <v>3.9</v>
      </c>
      <c r="T482" s="21">
        <v>1</v>
      </c>
      <c r="U482" s="21">
        <v>-2.1</v>
      </c>
      <c r="V482" s="21">
        <v>12.6</v>
      </c>
      <c r="W482" s="21">
        <v>7.1999999999999995E-2</v>
      </c>
      <c r="X482" s="4">
        <v>-1.4</v>
      </c>
    </row>
    <row r="483" spans="1:24" x14ac:dyDescent="0.35">
      <c r="A483" s="21">
        <v>22</v>
      </c>
      <c r="B483" s="21">
        <v>59</v>
      </c>
      <c r="C483" s="21">
        <v>22.5</v>
      </c>
      <c r="D483" s="21">
        <v>7.8</v>
      </c>
      <c r="E483" s="21">
        <v>0.53500000000000003</v>
      </c>
      <c r="F483" s="21">
        <v>0.8</v>
      </c>
      <c r="G483" s="21">
        <v>0.224</v>
      </c>
      <c r="H483" s="21">
        <v>7</v>
      </c>
      <c r="I483" s="21">
        <v>0.57199999999999995</v>
      </c>
      <c r="J483" s="21">
        <v>0.54700000000000004</v>
      </c>
      <c r="K483" s="21">
        <v>2.4</v>
      </c>
      <c r="L483" s="21">
        <v>0.64100000000000001</v>
      </c>
      <c r="M483" s="21">
        <v>5.0999999999999996</v>
      </c>
      <c r="N483" s="21">
        <v>2.2999999999999998</v>
      </c>
      <c r="O483" s="21">
        <v>1.7</v>
      </c>
      <c r="P483" s="21">
        <v>0.7</v>
      </c>
      <c r="Q483" s="21">
        <v>1.4</v>
      </c>
      <c r="R483" s="21">
        <v>2.8</v>
      </c>
      <c r="S483" s="21">
        <v>10.1</v>
      </c>
      <c r="T483" s="21">
        <v>1</v>
      </c>
      <c r="U483" s="21">
        <v>1.7</v>
      </c>
      <c r="V483" s="21">
        <v>17.2</v>
      </c>
      <c r="W483" s="21">
        <v>0.13800000000000001</v>
      </c>
      <c r="X483" s="4">
        <v>-0.1</v>
      </c>
    </row>
    <row r="484" spans="1:24" x14ac:dyDescent="0.35">
      <c r="A484" s="21">
        <v>24</v>
      </c>
      <c r="B484" s="21">
        <v>40</v>
      </c>
      <c r="C484" s="21">
        <v>7.6</v>
      </c>
      <c r="D484" s="21">
        <v>2.1</v>
      </c>
      <c r="E484" s="21">
        <v>0.65100000000000002</v>
      </c>
      <c r="F484" s="21">
        <v>0.2</v>
      </c>
      <c r="G484" s="21">
        <v>0.375</v>
      </c>
      <c r="H484" s="21">
        <v>1.9</v>
      </c>
      <c r="I484" s="21">
        <v>0.68</v>
      </c>
      <c r="J484" s="21">
        <v>0.66900000000000004</v>
      </c>
      <c r="K484" s="21">
        <v>0.9</v>
      </c>
      <c r="L484" s="21">
        <v>0.63900000000000001</v>
      </c>
      <c r="M484" s="21">
        <v>1.4</v>
      </c>
      <c r="N484" s="21">
        <v>0.3</v>
      </c>
      <c r="O484" s="21">
        <v>0.1</v>
      </c>
      <c r="P484" s="21">
        <v>0.3</v>
      </c>
      <c r="Q484" s="21">
        <v>0.4</v>
      </c>
      <c r="R484" s="21">
        <v>0.8</v>
      </c>
      <c r="S484" s="21">
        <v>3.4</v>
      </c>
      <c r="T484" s="21">
        <v>0</v>
      </c>
      <c r="U484" s="21">
        <v>-1.7</v>
      </c>
      <c r="V484" s="21">
        <v>15.2</v>
      </c>
      <c r="W484" s="21">
        <v>0.115</v>
      </c>
      <c r="X484" s="4">
        <v>0.3</v>
      </c>
    </row>
    <row r="485" spans="1:24" x14ac:dyDescent="0.35">
      <c r="A485" s="21">
        <v>25</v>
      </c>
      <c r="B485" s="21">
        <v>70</v>
      </c>
      <c r="C485" s="21">
        <v>20.399999999999999</v>
      </c>
      <c r="D485" s="21">
        <v>4.8</v>
      </c>
      <c r="E485" s="21">
        <v>0.61099999999999999</v>
      </c>
      <c r="F485" s="21">
        <v>0.4</v>
      </c>
      <c r="G485" s="21">
        <v>0.107</v>
      </c>
      <c r="H485" s="21">
        <v>4.4000000000000004</v>
      </c>
      <c r="I485" s="21">
        <v>0.65600000000000003</v>
      </c>
      <c r="J485" s="21">
        <v>0.61499999999999999</v>
      </c>
      <c r="K485" s="21">
        <v>1.9</v>
      </c>
      <c r="L485" s="21">
        <v>0.63900000000000001</v>
      </c>
      <c r="M485" s="21">
        <v>6.6</v>
      </c>
      <c r="N485" s="21">
        <v>2</v>
      </c>
      <c r="O485" s="21">
        <v>0.7</v>
      </c>
      <c r="P485" s="21">
        <v>1.4</v>
      </c>
      <c r="Q485" s="21">
        <v>1</v>
      </c>
      <c r="R485" s="21">
        <v>2.1</v>
      </c>
      <c r="S485" s="21">
        <v>7.2</v>
      </c>
      <c r="T485" s="21">
        <v>5</v>
      </c>
      <c r="U485" s="21">
        <v>2.5</v>
      </c>
      <c r="V485" s="21">
        <v>19.2</v>
      </c>
      <c r="W485" s="21">
        <v>0.19500000000000001</v>
      </c>
      <c r="X485" s="4">
        <v>0.3</v>
      </c>
    </row>
    <row r="486" spans="1:24" x14ac:dyDescent="0.35">
      <c r="A486" s="21">
        <v>24</v>
      </c>
      <c r="B486" s="21">
        <v>36</v>
      </c>
      <c r="C486" s="21">
        <v>10.4</v>
      </c>
      <c r="D486" s="21">
        <v>3.3</v>
      </c>
      <c r="E486" s="21">
        <v>0.58099999999999996</v>
      </c>
      <c r="F486" s="21">
        <v>0</v>
      </c>
      <c r="H486" s="21">
        <v>3.3</v>
      </c>
      <c r="I486" s="21">
        <v>0.58099999999999996</v>
      </c>
      <c r="J486" s="21">
        <v>0.58099999999999996</v>
      </c>
      <c r="K486" s="21">
        <v>0.9</v>
      </c>
      <c r="L486" s="21">
        <v>0.63600000000000001</v>
      </c>
      <c r="M486" s="21">
        <v>4.2</v>
      </c>
      <c r="N486" s="21">
        <v>0.5</v>
      </c>
      <c r="O486" s="21">
        <v>0.4</v>
      </c>
      <c r="P486" s="21">
        <v>0.8</v>
      </c>
      <c r="Q486" s="21">
        <v>0.6</v>
      </c>
      <c r="R486" s="21">
        <v>1.4</v>
      </c>
      <c r="S486" s="21">
        <v>4.4000000000000004</v>
      </c>
      <c r="T486" s="21">
        <v>3</v>
      </c>
      <c r="U486" s="21">
        <v>-1.1000000000000001</v>
      </c>
      <c r="V486" s="21">
        <v>19</v>
      </c>
      <c r="W486" s="21">
        <v>0.13600000000000001</v>
      </c>
      <c r="X486" s="4">
        <v>2.7</v>
      </c>
    </row>
    <row r="487" spans="1:24" x14ac:dyDescent="0.35">
      <c r="A487" s="21">
        <v>21</v>
      </c>
      <c r="B487" s="21">
        <v>35</v>
      </c>
      <c r="C487" s="21">
        <v>10.7</v>
      </c>
      <c r="D487" s="21">
        <v>3.2</v>
      </c>
      <c r="E487" s="21">
        <v>0.53100000000000003</v>
      </c>
      <c r="F487" s="21">
        <v>0.8</v>
      </c>
      <c r="G487" s="21">
        <v>0.25900000000000001</v>
      </c>
      <c r="H487" s="21">
        <v>2.5</v>
      </c>
      <c r="I487" s="21">
        <v>0.61599999999999999</v>
      </c>
      <c r="J487" s="21">
        <v>0.56200000000000006</v>
      </c>
      <c r="K487" s="21">
        <v>0.9</v>
      </c>
      <c r="L487" s="21">
        <v>0.63600000000000001</v>
      </c>
      <c r="M487" s="21">
        <v>2.4</v>
      </c>
      <c r="N487" s="21">
        <v>0.5</v>
      </c>
      <c r="O487" s="21">
        <v>0.3</v>
      </c>
      <c r="P487" s="21">
        <v>0.5</v>
      </c>
      <c r="Q487" s="21">
        <v>0.1</v>
      </c>
      <c r="R487" s="21">
        <v>1.3</v>
      </c>
      <c r="S487" s="21">
        <v>4.2</v>
      </c>
      <c r="T487" s="21">
        <v>2</v>
      </c>
      <c r="U487" s="21">
        <v>-2.2000000000000002</v>
      </c>
      <c r="V487" s="21">
        <v>14.6</v>
      </c>
      <c r="W487" s="21">
        <v>0.13100000000000001</v>
      </c>
      <c r="X487" s="4">
        <v>1.3</v>
      </c>
    </row>
    <row r="488" spans="1:24" x14ac:dyDescent="0.35">
      <c r="A488" s="21">
        <v>25</v>
      </c>
      <c r="B488" s="21">
        <v>8</v>
      </c>
      <c r="C488" s="21">
        <v>21</v>
      </c>
      <c r="D488" s="21">
        <v>9.1</v>
      </c>
      <c r="E488" s="21">
        <v>0.35599999999999998</v>
      </c>
      <c r="F488" s="21">
        <v>3.4</v>
      </c>
      <c r="G488" s="21">
        <v>0.29599999999999999</v>
      </c>
      <c r="H488" s="21">
        <v>5.8</v>
      </c>
      <c r="I488" s="21">
        <v>0.39100000000000001</v>
      </c>
      <c r="J488" s="21">
        <v>0.41099999999999998</v>
      </c>
      <c r="K488" s="21">
        <v>1.4</v>
      </c>
      <c r="L488" s="21">
        <v>0.63600000000000001</v>
      </c>
      <c r="M488" s="21">
        <v>2.5</v>
      </c>
      <c r="N488" s="21">
        <v>2.2999999999999998</v>
      </c>
      <c r="O488" s="21">
        <v>0.1</v>
      </c>
      <c r="P488" s="21">
        <v>0.5</v>
      </c>
      <c r="Q488" s="21">
        <v>1</v>
      </c>
      <c r="R488" s="21">
        <v>1.1000000000000001</v>
      </c>
      <c r="S488" s="21">
        <v>8.4</v>
      </c>
      <c r="T488" s="21">
        <v>5</v>
      </c>
      <c r="U488" s="21">
        <v>-5.7</v>
      </c>
      <c r="V488" s="21">
        <v>7.5</v>
      </c>
      <c r="W488" s="21">
        <v>-6.9000000000000006E-2</v>
      </c>
      <c r="X488" s="4">
        <v>1.5</v>
      </c>
    </row>
    <row r="489" spans="1:24" x14ac:dyDescent="0.35">
      <c r="A489" s="21">
        <v>29</v>
      </c>
      <c r="B489" s="21">
        <v>65</v>
      </c>
      <c r="C489" s="21">
        <v>29.8</v>
      </c>
      <c r="D489" s="21">
        <v>13</v>
      </c>
      <c r="E489" s="21">
        <v>0.436</v>
      </c>
      <c r="F489" s="21">
        <v>4.8</v>
      </c>
      <c r="G489" s="21">
        <v>0.307</v>
      </c>
      <c r="H489" s="21">
        <v>8.1999999999999993</v>
      </c>
      <c r="I489" s="21">
        <v>0.51200000000000001</v>
      </c>
      <c r="J489" s="21">
        <v>0.49299999999999999</v>
      </c>
      <c r="K489" s="21">
        <v>3.1</v>
      </c>
      <c r="L489" s="21">
        <v>0.63400000000000001</v>
      </c>
      <c r="M489" s="21">
        <v>5.7</v>
      </c>
      <c r="N489" s="21">
        <v>2.2999999999999998</v>
      </c>
      <c r="O489" s="21">
        <v>0.6</v>
      </c>
      <c r="P489" s="21">
        <v>0.3</v>
      </c>
      <c r="Q489" s="21">
        <v>2.2000000000000002</v>
      </c>
      <c r="R489" s="21">
        <v>1.8</v>
      </c>
      <c r="S489" s="21">
        <v>14.8</v>
      </c>
      <c r="T489" s="21">
        <v>7</v>
      </c>
      <c r="U489" s="21">
        <v>-4.9000000000000004</v>
      </c>
      <c r="V489" s="21">
        <v>10.6</v>
      </c>
      <c r="W489" s="21">
        <v>-2.4E-2</v>
      </c>
      <c r="X489" s="4">
        <v>1.8</v>
      </c>
    </row>
    <row r="490" spans="1:24" x14ac:dyDescent="0.35">
      <c r="A490" s="21">
        <v>20</v>
      </c>
      <c r="B490" s="21">
        <v>36</v>
      </c>
      <c r="C490" s="21">
        <v>23.1</v>
      </c>
      <c r="D490" s="21">
        <v>5.3</v>
      </c>
      <c r="E490" s="21">
        <v>0.70199999999999996</v>
      </c>
      <c r="F490" s="21">
        <v>0</v>
      </c>
      <c r="H490" s="21">
        <v>5.3</v>
      </c>
      <c r="I490" s="21">
        <v>0.70199999999999996</v>
      </c>
      <c r="J490" s="21">
        <v>0.70199999999999996</v>
      </c>
      <c r="K490" s="21">
        <v>2</v>
      </c>
      <c r="L490" s="21">
        <v>0.63</v>
      </c>
      <c r="M490" s="21">
        <v>7.5</v>
      </c>
      <c r="N490" s="21">
        <v>2.4</v>
      </c>
      <c r="O490" s="21">
        <v>0.6</v>
      </c>
      <c r="P490" s="21">
        <v>1.6</v>
      </c>
      <c r="Q490" s="21">
        <v>1.1000000000000001</v>
      </c>
      <c r="R490" s="21">
        <v>2.8</v>
      </c>
      <c r="S490" s="21">
        <v>8.6999999999999993</v>
      </c>
      <c r="T490" s="21">
        <v>1</v>
      </c>
      <c r="U490" s="21">
        <v>3.3</v>
      </c>
      <c r="V490" s="21">
        <v>20.100000000000001</v>
      </c>
      <c r="W490" s="21">
        <v>0.19900000000000001</v>
      </c>
      <c r="X490" s="4">
        <v>3.6</v>
      </c>
    </row>
    <row r="491" spans="1:24" x14ac:dyDescent="0.35">
      <c r="A491" s="21">
        <v>24</v>
      </c>
      <c r="B491" s="21">
        <v>58</v>
      </c>
      <c r="C491" s="21">
        <v>32.200000000000003</v>
      </c>
      <c r="D491" s="21">
        <v>16.899999999999999</v>
      </c>
      <c r="E491" s="21">
        <v>0.46800000000000003</v>
      </c>
      <c r="F491" s="21">
        <v>5.3</v>
      </c>
      <c r="G491" s="21">
        <v>0.35</v>
      </c>
      <c r="H491" s="21">
        <v>11.7</v>
      </c>
      <c r="I491" s="21">
        <v>0.52200000000000002</v>
      </c>
      <c r="J491" s="21">
        <v>0.52300000000000002</v>
      </c>
      <c r="K491" s="21">
        <v>5.4</v>
      </c>
      <c r="L491" s="21">
        <v>0.63</v>
      </c>
      <c r="M491" s="21">
        <v>6.3</v>
      </c>
      <c r="N491" s="21">
        <v>5.4</v>
      </c>
      <c r="O491" s="21">
        <v>0.8</v>
      </c>
      <c r="P491" s="21">
        <v>0.3</v>
      </c>
      <c r="Q491" s="21">
        <v>2.8</v>
      </c>
      <c r="R491" s="21">
        <v>2.4</v>
      </c>
      <c r="S491" s="21">
        <v>21.1</v>
      </c>
      <c r="T491" s="21">
        <v>5</v>
      </c>
      <c r="U491" s="21">
        <v>0.6</v>
      </c>
      <c r="V491" s="21">
        <v>16.5</v>
      </c>
      <c r="W491" s="21">
        <v>6.0999999999999999E-2</v>
      </c>
      <c r="X491" s="4">
        <v>3</v>
      </c>
    </row>
    <row r="492" spans="1:24" x14ac:dyDescent="0.35">
      <c r="A492" s="21">
        <v>26</v>
      </c>
      <c r="B492" s="21">
        <v>6</v>
      </c>
      <c r="C492" s="21">
        <v>20.2</v>
      </c>
      <c r="D492" s="21">
        <v>9</v>
      </c>
      <c r="E492" s="21">
        <v>0.40699999999999997</v>
      </c>
      <c r="F492" s="21">
        <v>5.8</v>
      </c>
      <c r="G492" s="21">
        <v>0.371</v>
      </c>
      <c r="H492" s="21">
        <v>3.2</v>
      </c>
      <c r="I492" s="21">
        <v>0.47399999999999998</v>
      </c>
      <c r="J492" s="21">
        <v>0.52800000000000002</v>
      </c>
      <c r="K492" s="21">
        <v>1.3</v>
      </c>
      <c r="L492" s="21">
        <v>0.625</v>
      </c>
      <c r="M492" s="21">
        <v>3.3</v>
      </c>
      <c r="N492" s="21">
        <v>2.8</v>
      </c>
      <c r="O492" s="21">
        <v>1.2</v>
      </c>
      <c r="P492" s="21">
        <v>0.3</v>
      </c>
      <c r="Q492" s="21">
        <v>1.7</v>
      </c>
      <c r="R492" s="21">
        <v>3</v>
      </c>
      <c r="S492" s="21">
        <v>10.3</v>
      </c>
      <c r="T492" s="21">
        <v>6</v>
      </c>
      <c r="U492" s="21">
        <v>-0.8</v>
      </c>
      <c r="V492" s="21">
        <v>13.3</v>
      </c>
      <c r="W492" s="21">
        <v>7.5999999999999998E-2</v>
      </c>
      <c r="X492" s="4">
        <v>0.4</v>
      </c>
    </row>
    <row r="493" spans="1:24" x14ac:dyDescent="0.35">
      <c r="A493" s="21">
        <v>24</v>
      </c>
      <c r="B493" s="21">
        <v>9</v>
      </c>
      <c r="C493" s="21">
        <v>28.2</v>
      </c>
      <c r="D493" s="21">
        <v>11.3</v>
      </c>
      <c r="E493" s="21">
        <v>0.441</v>
      </c>
      <c r="F493" s="21">
        <v>3.9</v>
      </c>
      <c r="G493" s="21">
        <v>0.25700000000000001</v>
      </c>
      <c r="H493" s="21">
        <v>7.4</v>
      </c>
      <c r="I493" s="21">
        <v>0.53700000000000003</v>
      </c>
      <c r="J493" s="21">
        <v>0.48499999999999999</v>
      </c>
      <c r="K493" s="21">
        <v>1.8</v>
      </c>
      <c r="L493" s="21">
        <v>0.625</v>
      </c>
      <c r="M493" s="21">
        <v>7.2</v>
      </c>
      <c r="N493" s="21">
        <v>2.2000000000000002</v>
      </c>
      <c r="O493" s="21">
        <v>0.4</v>
      </c>
      <c r="P493" s="21">
        <v>0.1</v>
      </c>
      <c r="Q493" s="21">
        <v>1.7</v>
      </c>
      <c r="R493" s="21">
        <v>2.2999999999999998</v>
      </c>
      <c r="S493" s="21">
        <v>12.1</v>
      </c>
      <c r="T493" s="21">
        <v>0</v>
      </c>
      <c r="U493" s="21">
        <v>-6.7</v>
      </c>
      <c r="V493" s="21">
        <v>11</v>
      </c>
      <c r="W493" s="21">
        <v>8.9999999999999993E-3</v>
      </c>
      <c r="X493" s="4">
        <v>0.1</v>
      </c>
    </row>
    <row r="494" spans="1:24" x14ac:dyDescent="0.35">
      <c r="A494" s="21">
        <v>25</v>
      </c>
      <c r="B494" s="21">
        <v>20</v>
      </c>
      <c r="C494" s="21">
        <v>7.4</v>
      </c>
      <c r="D494" s="21">
        <v>3.1</v>
      </c>
      <c r="E494" s="21">
        <v>0.435</v>
      </c>
      <c r="F494" s="21">
        <v>1.3</v>
      </c>
      <c r="G494" s="21">
        <v>0.23100000000000001</v>
      </c>
      <c r="H494" s="21">
        <v>1.8</v>
      </c>
      <c r="I494" s="21">
        <v>0.58299999999999996</v>
      </c>
      <c r="J494" s="21">
        <v>0.48399999999999999</v>
      </c>
      <c r="K494" s="21">
        <v>0.4</v>
      </c>
      <c r="L494" s="21">
        <v>0.625</v>
      </c>
      <c r="M494" s="21">
        <v>0.7</v>
      </c>
      <c r="N494" s="21">
        <v>0.5</v>
      </c>
      <c r="O494" s="21">
        <v>0.4</v>
      </c>
      <c r="P494" s="21">
        <v>0.2</v>
      </c>
      <c r="Q494" s="21">
        <v>0.7</v>
      </c>
      <c r="R494" s="21">
        <v>0.8</v>
      </c>
      <c r="S494" s="21">
        <v>3.3</v>
      </c>
      <c r="T494" s="21">
        <v>2</v>
      </c>
      <c r="U494" s="21">
        <v>-5.7</v>
      </c>
      <c r="V494" s="21">
        <v>8.6</v>
      </c>
      <c r="W494" s="21">
        <v>-7.0000000000000001E-3</v>
      </c>
      <c r="X494" s="4">
        <v>1.2</v>
      </c>
    </row>
    <row r="495" spans="1:24" x14ac:dyDescent="0.35">
      <c r="A495" s="21">
        <v>20</v>
      </c>
      <c r="B495" s="21">
        <v>73</v>
      </c>
      <c r="C495" s="21">
        <v>26.8</v>
      </c>
      <c r="D495" s="21">
        <v>6.7</v>
      </c>
      <c r="E495" s="21">
        <v>0.54700000000000004</v>
      </c>
      <c r="F495" s="21">
        <v>0</v>
      </c>
      <c r="G495" s="21">
        <v>0</v>
      </c>
      <c r="H495" s="21">
        <v>6.7</v>
      </c>
      <c r="I495" s="21">
        <v>0.54800000000000004</v>
      </c>
      <c r="J495" s="21">
        <v>0.54700000000000004</v>
      </c>
      <c r="K495" s="21">
        <v>2.8</v>
      </c>
      <c r="L495" s="21">
        <v>0.623</v>
      </c>
      <c r="M495" s="21">
        <v>8.1999999999999993</v>
      </c>
      <c r="N495" s="21">
        <v>1.4</v>
      </c>
      <c r="O495" s="21">
        <v>0.5</v>
      </c>
      <c r="P495" s="21">
        <v>1.3</v>
      </c>
      <c r="Q495" s="21">
        <v>1.1000000000000001</v>
      </c>
      <c r="R495" s="21">
        <v>2</v>
      </c>
      <c r="S495" s="21">
        <v>9.1</v>
      </c>
      <c r="T495" s="21">
        <v>0</v>
      </c>
      <c r="U495" s="21">
        <v>-3</v>
      </c>
      <c r="V495" s="21">
        <v>15.4</v>
      </c>
      <c r="W495" s="21">
        <v>8.8999999999999996E-2</v>
      </c>
      <c r="X495" s="4">
        <v>0.5</v>
      </c>
    </row>
    <row r="496" spans="1:24" x14ac:dyDescent="0.35">
      <c r="A496" s="21">
        <v>21</v>
      </c>
      <c r="B496" s="21">
        <v>58</v>
      </c>
      <c r="C496" s="21">
        <v>11.8</v>
      </c>
      <c r="D496" s="21">
        <v>3.2</v>
      </c>
      <c r="E496" s="21">
        <v>0.435</v>
      </c>
      <c r="F496" s="21">
        <v>1</v>
      </c>
      <c r="G496" s="21">
        <v>0.29299999999999998</v>
      </c>
      <c r="H496" s="21">
        <v>2.2000000000000002</v>
      </c>
      <c r="I496" s="21">
        <v>0.5</v>
      </c>
      <c r="J496" s="21">
        <v>0.48099999999999998</v>
      </c>
      <c r="K496" s="21">
        <v>1.1000000000000001</v>
      </c>
      <c r="L496" s="21">
        <v>0.623</v>
      </c>
      <c r="M496" s="21">
        <v>1.1000000000000001</v>
      </c>
      <c r="N496" s="21">
        <v>2</v>
      </c>
      <c r="O496" s="21">
        <v>0.6</v>
      </c>
      <c r="P496" s="21">
        <v>0.1</v>
      </c>
      <c r="Q496" s="21">
        <v>0.9</v>
      </c>
      <c r="R496" s="21">
        <v>0.8</v>
      </c>
      <c r="S496" s="21">
        <v>3.7</v>
      </c>
      <c r="T496" s="21">
        <v>2</v>
      </c>
      <c r="U496" s="21">
        <v>-4.2</v>
      </c>
      <c r="V496" s="21">
        <v>9.9</v>
      </c>
      <c r="W496" s="21">
        <v>1.0999999999999999E-2</v>
      </c>
      <c r="X496" s="4">
        <v>1.2</v>
      </c>
    </row>
    <row r="497" spans="1:24" x14ac:dyDescent="0.35">
      <c r="A497" s="21">
        <v>24</v>
      </c>
      <c r="B497" s="21">
        <v>56</v>
      </c>
      <c r="C497" s="21">
        <v>19.5</v>
      </c>
      <c r="D497" s="21">
        <v>4</v>
      </c>
      <c r="E497" s="21">
        <v>0.72199999999999998</v>
      </c>
      <c r="F497" s="21">
        <v>0.1</v>
      </c>
      <c r="G497" s="21">
        <v>0</v>
      </c>
      <c r="H497" s="21">
        <v>3.9</v>
      </c>
      <c r="I497" s="21">
        <v>0.73199999999999998</v>
      </c>
      <c r="J497" s="21">
        <v>0.72199999999999998</v>
      </c>
      <c r="K497" s="21">
        <v>1.8</v>
      </c>
      <c r="L497" s="21">
        <v>0.622</v>
      </c>
      <c r="M497" s="21">
        <v>4.8</v>
      </c>
      <c r="N497" s="21">
        <v>1</v>
      </c>
      <c r="O497" s="21">
        <v>0.6</v>
      </c>
      <c r="P497" s="21">
        <v>0.9</v>
      </c>
      <c r="Q497" s="21">
        <v>0.8</v>
      </c>
      <c r="R497" s="21">
        <v>2.4</v>
      </c>
      <c r="S497" s="21">
        <v>6.8</v>
      </c>
      <c r="T497" s="21">
        <v>5</v>
      </c>
      <c r="U497" s="21">
        <v>-0.3</v>
      </c>
      <c r="V497" s="21">
        <v>15.8</v>
      </c>
      <c r="W497" s="21">
        <v>0.16200000000000001</v>
      </c>
      <c r="X497" s="4">
        <v>3.4</v>
      </c>
    </row>
    <row r="498" spans="1:24" x14ac:dyDescent="0.35">
      <c r="A498" s="21">
        <v>31</v>
      </c>
      <c r="B498" s="21">
        <v>40</v>
      </c>
      <c r="C498" s="21">
        <v>18.8</v>
      </c>
      <c r="D498" s="21">
        <v>5.9</v>
      </c>
      <c r="E498" s="21">
        <v>0.5</v>
      </c>
      <c r="F498" s="21">
        <v>0.5</v>
      </c>
      <c r="G498" s="21">
        <v>0.15</v>
      </c>
      <c r="H498" s="21">
        <v>5.4</v>
      </c>
      <c r="I498" s="21">
        <v>0.53300000000000003</v>
      </c>
      <c r="J498" s="21">
        <v>0.50600000000000001</v>
      </c>
      <c r="K498" s="21">
        <v>2.2999999999999998</v>
      </c>
      <c r="L498" s="21">
        <v>0.622</v>
      </c>
      <c r="M498" s="21">
        <v>7.8</v>
      </c>
      <c r="N498" s="21">
        <v>0.9</v>
      </c>
      <c r="O498" s="21">
        <v>1</v>
      </c>
      <c r="P498" s="21">
        <v>0.5</v>
      </c>
      <c r="Q498" s="21">
        <v>1.4</v>
      </c>
      <c r="R498" s="21">
        <v>2.4</v>
      </c>
      <c r="S498" s="21">
        <v>7.3</v>
      </c>
      <c r="T498" s="21">
        <v>12</v>
      </c>
      <c r="U498" s="21">
        <v>-3.2</v>
      </c>
      <c r="V498" s="21">
        <v>16</v>
      </c>
      <c r="W498" s="21">
        <v>7.8E-2</v>
      </c>
      <c r="X498" s="4">
        <v>0.9</v>
      </c>
    </row>
    <row r="499" spans="1:24" x14ac:dyDescent="0.35">
      <c r="A499" s="21">
        <v>29</v>
      </c>
      <c r="B499" s="21">
        <v>45</v>
      </c>
      <c r="C499" s="21">
        <v>27.1</v>
      </c>
      <c r="D499" s="21">
        <v>6.8</v>
      </c>
      <c r="E499" s="21">
        <v>0.42399999999999999</v>
      </c>
      <c r="F499" s="21">
        <v>2.2999999999999998</v>
      </c>
      <c r="G499" s="21">
        <v>0.35899999999999999</v>
      </c>
      <c r="H499" s="21">
        <v>4.5</v>
      </c>
      <c r="I499" s="21">
        <v>0.45800000000000002</v>
      </c>
      <c r="J499" s="21">
        <v>0.48499999999999999</v>
      </c>
      <c r="K499" s="21">
        <v>2.2000000000000002</v>
      </c>
      <c r="L499" s="21">
        <v>0.622</v>
      </c>
      <c r="M499" s="21">
        <v>3.9</v>
      </c>
      <c r="N499" s="21">
        <v>2.1</v>
      </c>
      <c r="O499" s="21">
        <v>1</v>
      </c>
      <c r="P499" s="21">
        <v>0.5</v>
      </c>
      <c r="Q499" s="21">
        <v>1.2</v>
      </c>
      <c r="R499" s="21">
        <v>1.9</v>
      </c>
      <c r="S499" s="21">
        <v>7.9</v>
      </c>
      <c r="T499" s="21">
        <v>5</v>
      </c>
      <c r="U499" s="21">
        <v>-3.2</v>
      </c>
      <c r="V499" s="21">
        <v>9.6</v>
      </c>
      <c r="W499" s="21">
        <v>2.5000000000000001E-2</v>
      </c>
      <c r="X499" s="4">
        <v>1.6</v>
      </c>
    </row>
    <row r="500" spans="1:24" x14ac:dyDescent="0.35">
      <c r="A500" s="21">
        <v>30</v>
      </c>
      <c r="B500" s="21">
        <v>67</v>
      </c>
      <c r="C500" s="21">
        <v>34.200000000000003</v>
      </c>
      <c r="D500" s="21">
        <v>19.7</v>
      </c>
      <c r="E500" s="21">
        <v>0.60099999999999998</v>
      </c>
      <c r="F500" s="21">
        <v>0.9</v>
      </c>
      <c r="G500" s="21">
        <v>0.222</v>
      </c>
      <c r="H500" s="21">
        <v>18.7</v>
      </c>
      <c r="I500" s="21">
        <v>0.62</v>
      </c>
      <c r="J500" s="21">
        <v>0.60699999999999998</v>
      </c>
      <c r="K500" s="21">
        <v>10.6</v>
      </c>
      <c r="L500" s="21">
        <v>0.61699999999999999</v>
      </c>
      <c r="M500" s="21">
        <v>11.9</v>
      </c>
      <c r="N500" s="21">
        <v>6.5</v>
      </c>
      <c r="O500" s="21">
        <v>0.9</v>
      </c>
      <c r="P500" s="21">
        <v>1.2</v>
      </c>
      <c r="Q500" s="21">
        <v>3.1</v>
      </c>
      <c r="R500" s="21">
        <v>2.2999999999999998</v>
      </c>
      <c r="S500" s="21">
        <v>30.4</v>
      </c>
      <c r="T500" s="21">
        <v>11</v>
      </c>
      <c r="U500" s="21">
        <v>9.5</v>
      </c>
      <c r="V500" s="21">
        <v>30.5</v>
      </c>
      <c r="W500" s="21">
        <v>0.24099999999999999</v>
      </c>
      <c r="X500" s="4">
        <v>1.7</v>
      </c>
    </row>
    <row r="501" spans="1:24" x14ac:dyDescent="0.35">
      <c r="A501" s="21">
        <v>26</v>
      </c>
      <c r="B501" s="21">
        <v>53</v>
      </c>
      <c r="C501" s="21">
        <v>11.9</v>
      </c>
      <c r="D501" s="21">
        <v>1.3</v>
      </c>
      <c r="E501" s="21">
        <v>0.63400000000000001</v>
      </c>
      <c r="F501" s="21">
        <v>0</v>
      </c>
      <c r="H501" s="21">
        <v>1.3</v>
      </c>
      <c r="I501" s="21">
        <v>0.63400000000000001</v>
      </c>
      <c r="J501" s="21">
        <v>0.63400000000000001</v>
      </c>
      <c r="K501" s="21">
        <v>0.2</v>
      </c>
      <c r="L501" s="21">
        <v>0.61499999999999999</v>
      </c>
      <c r="M501" s="21">
        <v>3.7</v>
      </c>
      <c r="N501" s="21">
        <v>0.6</v>
      </c>
      <c r="O501" s="21">
        <v>0.2</v>
      </c>
      <c r="P501" s="21">
        <v>0.4</v>
      </c>
      <c r="Q501" s="21">
        <v>0.6</v>
      </c>
      <c r="R501" s="21">
        <v>1.2</v>
      </c>
      <c r="S501" s="21">
        <v>1.8</v>
      </c>
      <c r="T501" s="21">
        <v>3</v>
      </c>
      <c r="U501" s="21">
        <v>-3</v>
      </c>
      <c r="V501" s="21">
        <v>10</v>
      </c>
      <c r="W501" s="21">
        <v>9.6000000000000002E-2</v>
      </c>
      <c r="X501" s="4">
        <v>2.4</v>
      </c>
    </row>
    <row r="502" spans="1:24" x14ac:dyDescent="0.35">
      <c r="A502" s="21">
        <v>25</v>
      </c>
      <c r="B502" s="21">
        <v>33</v>
      </c>
      <c r="C502" s="21">
        <v>17.8</v>
      </c>
      <c r="D502" s="21">
        <v>2.8</v>
      </c>
      <c r="E502" s="21">
        <v>0.40400000000000003</v>
      </c>
      <c r="F502" s="21">
        <v>1.4</v>
      </c>
      <c r="G502" s="21">
        <v>0.27700000000000002</v>
      </c>
      <c r="H502" s="21">
        <v>1.4</v>
      </c>
      <c r="I502" s="21">
        <v>0.53200000000000003</v>
      </c>
      <c r="J502" s="21">
        <v>0.47299999999999998</v>
      </c>
      <c r="K502" s="21">
        <v>0.8</v>
      </c>
      <c r="L502" s="21">
        <v>0.61499999999999999</v>
      </c>
      <c r="M502" s="21">
        <v>2</v>
      </c>
      <c r="N502" s="21">
        <v>0.7</v>
      </c>
      <c r="O502" s="21">
        <v>1</v>
      </c>
      <c r="P502" s="21">
        <v>0.3</v>
      </c>
      <c r="Q502" s="21">
        <v>0.4</v>
      </c>
      <c r="R502" s="21">
        <v>1.3</v>
      </c>
      <c r="S502" s="21">
        <v>3.2</v>
      </c>
      <c r="T502" s="21">
        <v>5</v>
      </c>
      <c r="U502" s="21">
        <v>-2.7</v>
      </c>
      <c r="V502" s="21">
        <v>7.4</v>
      </c>
      <c r="W502" s="21">
        <v>5.3999999999999999E-2</v>
      </c>
      <c r="X502" s="4">
        <v>0.1</v>
      </c>
    </row>
    <row r="503" spans="1:24" x14ac:dyDescent="0.35">
      <c r="A503" s="21">
        <v>24</v>
      </c>
      <c r="B503" s="21">
        <v>57</v>
      </c>
      <c r="C503" s="21">
        <v>10.7</v>
      </c>
      <c r="D503" s="21">
        <v>2.5</v>
      </c>
      <c r="E503" s="21">
        <v>0.496</v>
      </c>
      <c r="F503" s="21">
        <v>0.9</v>
      </c>
      <c r="G503" s="21">
        <v>0.32700000000000001</v>
      </c>
      <c r="H503" s="21">
        <v>1.6</v>
      </c>
      <c r="I503" s="21">
        <v>0.59599999999999997</v>
      </c>
      <c r="J503" s="21">
        <v>0.55700000000000005</v>
      </c>
      <c r="K503" s="21">
        <v>0.8</v>
      </c>
      <c r="L503" s="21">
        <v>0.61399999999999999</v>
      </c>
      <c r="M503" s="21">
        <v>1.6</v>
      </c>
      <c r="N503" s="21">
        <v>0.4</v>
      </c>
      <c r="O503" s="21">
        <v>0.4</v>
      </c>
      <c r="P503" s="21">
        <v>0.7</v>
      </c>
      <c r="Q503" s="21">
        <v>0.2</v>
      </c>
      <c r="R503" s="21">
        <v>1.1000000000000001</v>
      </c>
      <c r="S503" s="21">
        <v>3.2</v>
      </c>
      <c r="T503" s="21">
        <v>4</v>
      </c>
      <c r="U503" s="21">
        <v>-1.3</v>
      </c>
      <c r="V503" s="21">
        <v>12</v>
      </c>
      <c r="W503" s="21">
        <v>9.7000000000000003E-2</v>
      </c>
      <c r="X503" s="4">
        <v>2.2999999999999998</v>
      </c>
    </row>
    <row r="504" spans="1:24" x14ac:dyDescent="0.35">
      <c r="A504" s="21">
        <v>23</v>
      </c>
      <c r="B504" s="21">
        <v>54</v>
      </c>
      <c r="C504" s="21">
        <v>10.199999999999999</v>
      </c>
      <c r="D504" s="21">
        <v>2.5</v>
      </c>
      <c r="E504" s="21">
        <v>0.38300000000000001</v>
      </c>
      <c r="F504" s="21">
        <v>1.2</v>
      </c>
      <c r="G504" s="21">
        <v>0.254</v>
      </c>
      <c r="H504" s="21">
        <v>1.3</v>
      </c>
      <c r="I504" s="21">
        <v>0.5</v>
      </c>
      <c r="J504" s="21">
        <v>0.44400000000000001</v>
      </c>
      <c r="K504" s="21">
        <v>0.5</v>
      </c>
      <c r="L504" s="21">
        <v>0.60699999999999998</v>
      </c>
      <c r="M504" s="21">
        <v>2.2000000000000002</v>
      </c>
      <c r="N504" s="21">
        <v>1.1000000000000001</v>
      </c>
      <c r="O504" s="21">
        <v>0.3</v>
      </c>
      <c r="P504" s="21">
        <v>0.1</v>
      </c>
      <c r="Q504" s="21">
        <v>0.5</v>
      </c>
      <c r="R504" s="21">
        <v>1</v>
      </c>
      <c r="S504" s="21">
        <v>2.5</v>
      </c>
      <c r="T504" s="21">
        <v>0</v>
      </c>
      <c r="U504" s="21">
        <v>-4</v>
      </c>
      <c r="V504" s="21">
        <v>8.1</v>
      </c>
      <c r="W504" s="21">
        <v>6.7000000000000004E-2</v>
      </c>
      <c r="X504" s="4">
        <v>0.7</v>
      </c>
    </row>
    <row r="505" spans="1:24" x14ac:dyDescent="0.35">
      <c r="A505" s="21">
        <v>27</v>
      </c>
      <c r="B505" s="21">
        <v>11</v>
      </c>
      <c r="C505" s="21">
        <v>11.5</v>
      </c>
      <c r="D505" s="21">
        <v>2</v>
      </c>
      <c r="E505" s="21">
        <v>0.63600000000000001</v>
      </c>
      <c r="F505" s="21">
        <v>0</v>
      </c>
      <c r="H505" s="21">
        <v>2</v>
      </c>
      <c r="I505" s="21">
        <v>0.63600000000000001</v>
      </c>
      <c r="J505" s="21">
        <v>0.63600000000000001</v>
      </c>
      <c r="K505" s="21">
        <v>0.9</v>
      </c>
      <c r="L505" s="21">
        <v>0.6</v>
      </c>
      <c r="M505" s="21">
        <v>3.5</v>
      </c>
      <c r="N505" s="21">
        <v>0.5</v>
      </c>
      <c r="O505" s="21">
        <v>0.1</v>
      </c>
      <c r="P505" s="21">
        <v>0.3</v>
      </c>
      <c r="Q505" s="21">
        <v>0.4</v>
      </c>
      <c r="R505" s="21">
        <v>1.4</v>
      </c>
      <c r="S505" s="21">
        <v>3.1</v>
      </c>
      <c r="T505" s="21">
        <v>0</v>
      </c>
      <c r="U505" s="21">
        <v>-5.4</v>
      </c>
      <c r="V505" s="21">
        <v>12.1</v>
      </c>
      <c r="W505" s="21">
        <v>0.10199999999999999</v>
      </c>
      <c r="X505" s="4">
        <v>1</v>
      </c>
    </row>
    <row r="506" spans="1:24" x14ac:dyDescent="0.35">
      <c r="A506" s="21">
        <v>33</v>
      </c>
      <c r="B506" s="21">
        <v>42</v>
      </c>
      <c r="C506" s="21">
        <v>8.1</v>
      </c>
      <c r="D506" s="21">
        <v>2.8</v>
      </c>
      <c r="E506" s="21">
        <v>0.42699999999999999</v>
      </c>
      <c r="F506" s="21">
        <v>2.4</v>
      </c>
      <c r="G506" s="21">
        <v>0.436</v>
      </c>
      <c r="H506" s="21">
        <v>0.4</v>
      </c>
      <c r="I506" s="21">
        <v>0.375</v>
      </c>
      <c r="J506" s="21">
        <v>0.61499999999999999</v>
      </c>
      <c r="K506" s="21">
        <v>0.1</v>
      </c>
      <c r="L506" s="21">
        <v>0.6</v>
      </c>
      <c r="M506" s="21">
        <v>0.5</v>
      </c>
      <c r="N506" s="21">
        <v>0.2</v>
      </c>
      <c r="O506" s="21">
        <v>0.1</v>
      </c>
      <c r="P506" s="21">
        <v>0</v>
      </c>
      <c r="Q506" s="21">
        <v>0.1</v>
      </c>
      <c r="R506" s="21">
        <v>0.7</v>
      </c>
      <c r="S506" s="21">
        <v>3.5</v>
      </c>
      <c r="T506" s="21">
        <v>10</v>
      </c>
      <c r="U506" s="21">
        <v>-3.2</v>
      </c>
      <c r="V506" s="21">
        <v>9.5</v>
      </c>
      <c r="W506" s="21">
        <v>6.0999999999999999E-2</v>
      </c>
      <c r="X506" s="4">
        <v>0.1</v>
      </c>
    </row>
    <row r="507" spans="1:24" x14ac:dyDescent="0.35">
      <c r="A507" s="21">
        <v>20</v>
      </c>
      <c r="B507" s="21">
        <v>20</v>
      </c>
      <c r="C507" s="21">
        <v>12.3</v>
      </c>
      <c r="D507" s="21">
        <v>4.8</v>
      </c>
      <c r="E507" s="21">
        <v>0.40600000000000003</v>
      </c>
      <c r="F507" s="21">
        <v>3.7</v>
      </c>
      <c r="G507" s="21">
        <v>0.44600000000000001</v>
      </c>
      <c r="H507" s="21">
        <v>1.1000000000000001</v>
      </c>
      <c r="I507" s="21">
        <v>0.27300000000000002</v>
      </c>
      <c r="J507" s="21">
        <v>0.57799999999999996</v>
      </c>
      <c r="K507" s="21">
        <v>0.3</v>
      </c>
      <c r="L507" s="21">
        <v>0.6</v>
      </c>
      <c r="M507" s="21">
        <v>1.5</v>
      </c>
      <c r="N507" s="21">
        <v>0.6</v>
      </c>
      <c r="O507" s="21">
        <v>0.3</v>
      </c>
      <c r="P507" s="21">
        <v>0.1</v>
      </c>
      <c r="Q507" s="21">
        <v>0.8</v>
      </c>
      <c r="R507" s="21">
        <v>1.1000000000000001</v>
      </c>
      <c r="S507" s="21">
        <v>5.7</v>
      </c>
      <c r="T507" s="21">
        <v>1</v>
      </c>
      <c r="U507" s="21">
        <v>-3.7</v>
      </c>
      <c r="V507" s="21">
        <v>9.4</v>
      </c>
      <c r="W507" s="21">
        <v>0.01</v>
      </c>
      <c r="X507" s="4">
        <v>0.5</v>
      </c>
    </row>
    <row r="508" spans="1:24" x14ac:dyDescent="0.35">
      <c r="A508" s="21">
        <v>39</v>
      </c>
      <c r="B508" s="21">
        <v>37</v>
      </c>
      <c r="C508" s="21">
        <v>11.1</v>
      </c>
      <c r="D508" s="21">
        <v>2.6</v>
      </c>
      <c r="E508" s="21">
        <v>0.495</v>
      </c>
      <c r="F508" s="21">
        <v>0.1</v>
      </c>
      <c r="G508" s="21">
        <v>0.5</v>
      </c>
      <c r="H508" s="21">
        <v>2.5</v>
      </c>
      <c r="I508" s="21">
        <v>0.495</v>
      </c>
      <c r="J508" s="21">
        <v>0.5</v>
      </c>
      <c r="K508" s="21">
        <v>0.5</v>
      </c>
      <c r="L508" s="21">
        <v>0.6</v>
      </c>
      <c r="M508" s="21">
        <v>3.2</v>
      </c>
      <c r="N508" s="21">
        <v>0.6</v>
      </c>
      <c r="O508" s="21">
        <v>0.2</v>
      </c>
      <c r="P508" s="21">
        <v>0.5</v>
      </c>
      <c r="Q508" s="21">
        <v>0.7</v>
      </c>
      <c r="R508" s="21">
        <v>1.5</v>
      </c>
      <c r="S508" s="21">
        <v>2.9</v>
      </c>
      <c r="T508" s="21">
        <v>15</v>
      </c>
      <c r="U508" s="21">
        <v>-5.3</v>
      </c>
      <c r="V508" s="21">
        <v>10.8</v>
      </c>
      <c r="W508" s="21">
        <v>4.2999999999999997E-2</v>
      </c>
      <c r="X508" s="4">
        <v>1.8</v>
      </c>
    </row>
    <row r="509" spans="1:24" x14ac:dyDescent="0.35">
      <c r="A509" s="21">
        <v>22</v>
      </c>
      <c r="B509" s="21">
        <v>34</v>
      </c>
      <c r="C509" s="21">
        <v>7.1</v>
      </c>
      <c r="D509" s="21">
        <v>2.2999999999999998</v>
      </c>
      <c r="E509" s="21">
        <v>0.41</v>
      </c>
      <c r="F509" s="21">
        <v>0.9</v>
      </c>
      <c r="G509" s="21">
        <v>0.24099999999999999</v>
      </c>
      <c r="H509" s="21">
        <v>1.4</v>
      </c>
      <c r="I509" s="21">
        <v>0.51</v>
      </c>
      <c r="J509" s="21">
        <v>0.45500000000000002</v>
      </c>
      <c r="K509" s="21">
        <v>0.4</v>
      </c>
      <c r="L509" s="21">
        <v>0.6</v>
      </c>
      <c r="M509" s="21">
        <v>1.1000000000000001</v>
      </c>
      <c r="N509" s="21">
        <v>0.3</v>
      </c>
      <c r="O509" s="21">
        <v>0.4</v>
      </c>
      <c r="P509" s="21">
        <v>0.2</v>
      </c>
      <c r="Q509" s="21">
        <v>0.2</v>
      </c>
      <c r="R509" s="21">
        <v>0.5</v>
      </c>
      <c r="S509" s="21">
        <v>2.4</v>
      </c>
      <c r="T509" s="21">
        <v>2</v>
      </c>
      <c r="U509" s="21">
        <v>-2.8</v>
      </c>
      <c r="V509" s="21">
        <v>10.199999999999999</v>
      </c>
      <c r="W509" s="21">
        <v>0.01</v>
      </c>
      <c r="X509" s="4">
        <v>2.4</v>
      </c>
    </row>
    <row r="510" spans="1:24" x14ac:dyDescent="0.35">
      <c r="A510" s="21">
        <v>32</v>
      </c>
      <c r="B510" s="21">
        <v>40</v>
      </c>
      <c r="C510" s="21">
        <v>15.9</v>
      </c>
      <c r="D510" s="21">
        <v>3.3</v>
      </c>
      <c r="E510" s="21">
        <v>0.34399999999999997</v>
      </c>
      <c r="F510" s="21">
        <v>1.8</v>
      </c>
      <c r="G510" s="21">
        <v>0.27400000000000002</v>
      </c>
      <c r="H510" s="21">
        <v>1.5</v>
      </c>
      <c r="I510" s="21">
        <v>0.43099999999999999</v>
      </c>
      <c r="J510" s="21">
        <v>0.42</v>
      </c>
      <c r="K510" s="21">
        <v>0.6</v>
      </c>
      <c r="L510" s="21">
        <v>0.6</v>
      </c>
      <c r="M510" s="21">
        <v>1.7</v>
      </c>
      <c r="N510" s="21">
        <v>1.9</v>
      </c>
      <c r="O510" s="21">
        <v>0.9</v>
      </c>
      <c r="P510" s="21">
        <v>0.3</v>
      </c>
      <c r="Q510" s="21">
        <v>0.6</v>
      </c>
      <c r="R510" s="21">
        <v>0.6</v>
      </c>
      <c r="S510" s="21">
        <v>3.1</v>
      </c>
      <c r="T510" s="21">
        <v>9</v>
      </c>
      <c r="U510" s="21">
        <v>-1.4</v>
      </c>
      <c r="V510" s="21">
        <v>9.1999999999999993</v>
      </c>
      <c r="W510" s="21">
        <v>5.2999999999999999E-2</v>
      </c>
      <c r="X510" s="4">
        <v>1</v>
      </c>
    </row>
    <row r="511" spans="1:24" x14ac:dyDescent="0.35">
      <c r="A511" s="21">
        <v>20</v>
      </c>
      <c r="B511" s="21">
        <v>67</v>
      </c>
      <c r="C511" s="21">
        <v>19.8</v>
      </c>
      <c r="D511" s="21">
        <v>5</v>
      </c>
      <c r="E511" s="21">
        <v>0.53900000000000003</v>
      </c>
      <c r="F511" s="21">
        <v>0.7</v>
      </c>
      <c r="G511" s="21">
        <v>0.28599999999999998</v>
      </c>
      <c r="H511" s="21">
        <v>4.3</v>
      </c>
      <c r="I511" s="21">
        <v>0.58199999999999996</v>
      </c>
      <c r="J511" s="21">
        <v>0.56000000000000005</v>
      </c>
      <c r="K511" s="21">
        <v>1.6</v>
      </c>
      <c r="L511" s="21">
        <v>0.59599999999999997</v>
      </c>
      <c r="M511" s="21">
        <v>7.9</v>
      </c>
      <c r="N511" s="21">
        <v>1.1000000000000001</v>
      </c>
      <c r="O511" s="21">
        <v>0.5</v>
      </c>
      <c r="P511" s="21">
        <v>1.6</v>
      </c>
      <c r="Q511" s="21">
        <v>1.1000000000000001</v>
      </c>
      <c r="R511" s="21">
        <v>2.8</v>
      </c>
      <c r="S511" s="21">
        <v>6.5</v>
      </c>
      <c r="T511" s="21">
        <v>0</v>
      </c>
      <c r="U511" s="21">
        <v>-0.3</v>
      </c>
      <c r="V511" s="21">
        <v>17.399999999999999</v>
      </c>
      <c r="W511" s="21">
        <v>0.14399999999999999</v>
      </c>
      <c r="X511" s="4">
        <v>1.2</v>
      </c>
    </row>
    <row r="512" spans="1:24" x14ac:dyDescent="0.35">
      <c r="A512" s="21">
        <v>23</v>
      </c>
      <c r="B512" s="21">
        <v>71</v>
      </c>
      <c r="C512" s="21">
        <v>17.5</v>
      </c>
      <c r="D512" s="21">
        <v>3.9</v>
      </c>
      <c r="E512" s="21">
        <v>0.59599999999999997</v>
      </c>
      <c r="F512" s="21">
        <v>0.1</v>
      </c>
      <c r="G512" s="21">
        <v>0</v>
      </c>
      <c r="H512" s="21">
        <v>3.9</v>
      </c>
      <c r="I512" s="21">
        <v>0.60899999999999999</v>
      </c>
      <c r="J512" s="21">
        <v>0.59599999999999997</v>
      </c>
      <c r="K512" s="21">
        <v>1.6</v>
      </c>
      <c r="L512" s="21">
        <v>0.59499999999999997</v>
      </c>
      <c r="M512" s="21">
        <v>6.2</v>
      </c>
      <c r="N512" s="21">
        <v>0.8</v>
      </c>
      <c r="O512" s="21">
        <v>0.6</v>
      </c>
      <c r="P512" s="21">
        <v>0.6</v>
      </c>
      <c r="Q512" s="21">
        <v>0.9</v>
      </c>
      <c r="R512" s="21">
        <v>1.5</v>
      </c>
      <c r="S512" s="21">
        <v>5.7</v>
      </c>
      <c r="T512" s="21">
        <v>2</v>
      </c>
      <c r="U512" s="21">
        <v>-1.9</v>
      </c>
      <c r="V512" s="21">
        <v>16.5</v>
      </c>
      <c r="W512" s="21">
        <v>0.125</v>
      </c>
      <c r="X512" s="4">
        <v>0.6</v>
      </c>
    </row>
    <row r="513" spans="1:24" x14ac:dyDescent="0.35">
      <c r="A513" s="21">
        <v>25</v>
      </c>
      <c r="B513" s="21">
        <v>57</v>
      </c>
      <c r="C513" s="21">
        <v>20.5</v>
      </c>
      <c r="D513" s="21">
        <v>5.7</v>
      </c>
      <c r="E513" s="21">
        <v>0.502</v>
      </c>
      <c r="F513" s="21">
        <v>0.6</v>
      </c>
      <c r="G513" s="21">
        <v>0.27800000000000002</v>
      </c>
      <c r="H513" s="21">
        <v>5.0999999999999996</v>
      </c>
      <c r="I513" s="21">
        <v>0.52900000000000003</v>
      </c>
      <c r="J513" s="21">
        <v>0.51700000000000002</v>
      </c>
      <c r="K513" s="21">
        <v>1.2</v>
      </c>
      <c r="L513" s="21">
        <v>0.59399999999999997</v>
      </c>
      <c r="M513" s="21">
        <v>5.6</v>
      </c>
      <c r="N513" s="21">
        <v>1</v>
      </c>
      <c r="O513" s="21">
        <v>0.8</v>
      </c>
      <c r="P513" s="21">
        <v>0.7</v>
      </c>
      <c r="Q513" s="21">
        <v>0.8</v>
      </c>
      <c r="R513" s="21">
        <v>1.4</v>
      </c>
      <c r="S513" s="21">
        <v>6.6</v>
      </c>
      <c r="T513" s="21">
        <v>4</v>
      </c>
      <c r="U513" s="21">
        <v>-1.9</v>
      </c>
      <c r="V513" s="21">
        <v>13.6</v>
      </c>
      <c r="W513" s="21">
        <v>9.5000000000000001E-2</v>
      </c>
      <c r="X513" s="4">
        <v>2</v>
      </c>
    </row>
    <row r="514" spans="1:24" x14ac:dyDescent="0.35">
      <c r="A514" s="21">
        <v>21</v>
      </c>
      <c r="B514" s="21">
        <v>76</v>
      </c>
      <c r="C514" s="21">
        <v>33.799999999999997</v>
      </c>
      <c r="D514" s="21">
        <v>12.1</v>
      </c>
      <c r="E514" s="21">
        <v>0.49299999999999999</v>
      </c>
      <c r="F514" s="21">
        <v>3.1</v>
      </c>
      <c r="G514" s="21">
        <v>0.34</v>
      </c>
      <c r="H514" s="21">
        <v>9.1</v>
      </c>
      <c r="I514" s="21">
        <v>0.54500000000000004</v>
      </c>
      <c r="J514" s="21">
        <v>0.53600000000000003</v>
      </c>
      <c r="K514" s="21">
        <v>1.8</v>
      </c>
      <c r="L514" s="21">
        <v>0.59299999999999997</v>
      </c>
      <c r="M514" s="21">
        <v>5.9</v>
      </c>
      <c r="N514" s="21">
        <v>4.4000000000000004</v>
      </c>
      <c r="O514" s="21">
        <v>3</v>
      </c>
      <c r="P514" s="21">
        <v>0.7</v>
      </c>
      <c r="Q514" s="21">
        <v>2</v>
      </c>
      <c r="R514" s="21">
        <v>2.2999999999999998</v>
      </c>
      <c r="S514" s="21">
        <v>14.1</v>
      </c>
      <c r="T514" s="21">
        <v>2</v>
      </c>
      <c r="U514" s="21">
        <v>1.5</v>
      </c>
      <c r="V514" s="21">
        <v>15.6</v>
      </c>
      <c r="W514" s="21">
        <v>9.2999999999999999E-2</v>
      </c>
      <c r="X514" s="4">
        <v>0.1</v>
      </c>
    </row>
    <row r="515" spans="1:24" x14ac:dyDescent="0.35">
      <c r="A515" s="21">
        <v>22</v>
      </c>
      <c r="B515" s="21">
        <v>36</v>
      </c>
      <c r="C515" s="21">
        <v>11</v>
      </c>
      <c r="D515" s="21">
        <v>3.5</v>
      </c>
      <c r="E515" s="21">
        <v>0.37</v>
      </c>
      <c r="F515" s="21">
        <v>1.7</v>
      </c>
      <c r="G515" s="21">
        <v>0.29499999999999998</v>
      </c>
      <c r="H515" s="21">
        <v>1.8</v>
      </c>
      <c r="I515" s="21">
        <v>0.439</v>
      </c>
      <c r="J515" s="21">
        <v>0.441</v>
      </c>
      <c r="K515" s="21">
        <v>1.2</v>
      </c>
      <c r="L515" s="21">
        <v>0.59099999999999997</v>
      </c>
      <c r="M515" s="21">
        <v>2.1</v>
      </c>
      <c r="N515" s="21">
        <v>1.1000000000000001</v>
      </c>
      <c r="O515" s="21">
        <v>0.6</v>
      </c>
      <c r="P515" s="21">
        <v>0.1</v>
      </c>
      <c r="Q515" s="21">
        <v>0.5</v>
      </c>
      <c r="R515" s="21">
        <v>1.1000000000000001</v>
      </c>
      <c r="S515" s="21">
        <v>3.8</v>
      </c>
      <c r="T515" s="21">
        <v>0</v>
      </c>
      <c r="U515" s="21">
        <v>-3.2</v>
      </c>
      <c r="V515" s="21">
        <v>10.8</v>
      </c>
      <c r="W515" s="21">
        <v>4.2999999999999997E-2</v>
      </c>
      <c r="X515" s="4">
        <v>0.7</v>
      </c>
    </row>
    <row r="516" spans="1:24" x14ac:dyDescent="0.35">
      <c r="A516" s="21">
        <v>30</v>
      </c>
      <c r="B516" s="21">
        <v>48</v>
      </c>
      <c r="C516" s="21">
        <v>14.8</v>
      </c>
      <c r="D516" s="21">
        <v>2.8</v>
      </c>
      <c r="E516" s="21">
        <v>0.38300000000000001</v>
      </c>
      <c r="F516" s="21">
        <v>2.1</v>
      </c>
      <c r="G516" s="21">
        <v>0.35599999999999998</v>
      </c>
      <c r="H516" s="21">
        <v>0.7</v>
      </c>
      <c r="I516" s="21">
        <v>0.46899999999999997</v>
      </c>
      <c r="J516" s="21">
        <v>0.51900000000000002</v>
      </c>
      <c r="K516" s="21">
        <v>0.3</v>
      </c>
      <c r="L516" s="21">
        <v>0.58299999999999996</v>
      </c>
      <c r="M516" s="21">
        <v>1.3</v>
      </c>
      <c r="N516" s="21">
        <v>0.6</v>
      </c>
      <c r="O516" s="21">
        <v>0.5</v>
      </c>
      <c r="P516" s="21">
        <v>0.3</v>
      </c>
      <c r="Q516" s="21">
        <v>0.4</v>
      </c>
      <c r="R516" s="21">
        <v>0.9</v>
      </c>
      <c r="S516" s="21">
        <v>3</v>
      </c>
      <c r="T516" s="21">
        <v>10</v>
      </c>
      <c r="U516" s="21">
        <v>-2.7</v>
      </c>
      <c r="V516" s="21">
        <v>6.9</v>
      </c>
      <c r="W516" s="21">
        <v>6.7000000000000004E-2</v>
      </c>
      <c r="X516" s="4">
        <v>1.7</v>
      </c>
    </row>
    <row r="517" spans="1:24" x14ac:dyDescent="0.35">
      <c r="A517" s="21">
        <v>20</v>
      </c>
      <c r="B517" s="21">
        <v>52</v>
      </c>
      <c r="C517" s="21">
        <v>7.8</v>
      </c>
      <c r="D517" s="21">
        <v>1.6</v>
      </c>
      <c r="E517" s="21">
        <v>0.36099999999999999</v>
      </c>
      <c r="F517" s="21">
        <v>1.1000000000000001</v>
      </c>
      <c r="G517" s="21">
        <v>0.27300000000000002</v>
      </c>
      <c r="H517" s="21">
        <v>0.5</v>
      </c>
      <c r="I517" s="21">
        <v>0.53600000000000003</v>
      </c>
      <c r="J517" s="21">
        <v>0.45200000000000001</v>
      </c>
      <c r="K517" s="21">
        <v>0.2</v>
      </c>
      <c r="L517" s="21">
        <v>0.58299999999999996</v>
      </c>
      <c r="M517" s="21">
        <v>1.3</v>
      </c>
      <c r="N517" s="21">
        <v>0.4</v>
      </c>
      <c r="O517" s="21">
        <v>0.2</v>
      </c>
      <c r="P517" s="21">
        <v>0.2</v>
      </c>
      <c r="Q517" s="21">
        <v>0.3</v>
      </c>
      <c r="R517" s="21">
        <v>0.6</v>
      </c>
      <c r="S517" s="21">
        <v>1.6</v>
      </c>
      <c r="T517" s="21">
        <v>1</v>
      </c>
      <c r="U517" s="21">
        <v>-3.9</v>
      </c>
      <c r="V517" s="21">
        <v>6.9</v>
      </c>
      <c r="W517" s="21">
        <v>4.3999999999999997E-2</v>
      </c>
      <c r="X517" s="4">
        <v>0.9</v>
      </c>
    </row>
    <row r="518" spans="1:24" x14ac:dyDescent="0.35">
      <c r="A518" s="21">
        <v>22</v>
      </c>
      <c r="B518" s="21">
        <v>61</v>
      </c>
      <c r="C518" s="21">
        <v>17.100000000000001</v>
      </c>
      <c r="D518" s="21">
        <v>3.1</v>
      </c>
      <c r="E518" s="21">
        <v>0.60399999999999998</v>
      </c>
      <c r="F518" s="21">
        <v>0</v>
      </c>
      <c r="G518" s="21">
        <v>0</v>
      </c>
      <c r="H518" s="21">
        <v>3</v>
      </c>
      <c r="I518" s="21">
        <v>0.61099999999999999</v>
      </c>
      <c r="J518" s="21">
        <v>0.60399999999999998</v>
      </c>
      <c r="K518" s="21">
        <v>0.8</v>
      </c>
      <c r="L518" s="21">
        <v>0.57999999999999996</v>
      </c>
      <c r="M518" s="21">
        <v>3.6</v>
      </c>
      <c r="N518" s="21">
        <v>1.2</v>
      </c>
      <c r="O518" s="21">
        <v>0.5</v>
      </c>
      <c r="P518" s="21">
        <v>0.5</v>
      </c>
      <c r="Q518" s="21">
        <v>0.6</v>
      </c>
      <c r="R518" s="21">
        <v>1.7</v>
      </c>
      <c r="S518" s="21">
        <v>4.2</v>
      </c>
      <c r="T518" s="21">
        <v>0</v>
      </c>
      <c r="U518" s="21">
        <v>-2.6</v>
      </c>
      <c r="V518" s="21">
        <v>11.1</v>
      </c>
      <c r="W518" s="21">
        <v>7.4999999999999997E-2</v>
      </c>
      <c r="X518" s="4">
        <v>3.3</v>
      </c>
    </row>
    <row r="519" spans="1:24" x14ac:dyDescent="0.35">
      <c r="A519" s="21">
        <v>24</v>
      </c>
      <c r="B519" s="21">
        <v>62</v>
      </c>
      <c r="C519" s="21">
        <v>15.6</v>
      </c>
      <c r="D519" s="21">
        <v>4.9000000000000004</v>
      </c>
      <c r="E519" s="21">
        <v>0.57599999999999996</v>
      </c>
      <c r="F519" s="21">
        <v>0</v>
      </c>
      <c r="G519" s="21">
        <v>0</v>
      </c>
      <c r="H519" s="21">
        <v>4.8</v>
      </c>
      <c r="I519" s="21">
        <v>0.58199999999999996</v>
      </c>
      <c r="J519" s="21">
        <v>0.57599999999999996</v>
      </c>
      <c r="K519" s="21">
        <v>1.6</v>
      </c>
      <c r="L519" s="21">
        <v>0.57799999999999996</v>
      </c>
      <c r="M519" s="21">
        <v>5</v>
      </c>
      <c r="N519" s="21">
        <v>1.7</v>
      </c>
      <c r="O519" s="21">
        <v>0.4</v>
      </c>
      <c r="P519" s="21">
        <v>0.6</v>
      </c>
      <c r="Q519" s="21">
        <v>0.7</v>
      </c>
      <c r="R519" s="21">
        <v>1.2</v>
      </c>
      <c r="S519" s="21">
        <v>6.6</v>
      </c>
      <c r="T519" s="21">
        <v>1</v>
      </c>
      <c r="U519" s="21">
        <v>1.2</v>
      </c>
      <c r="V519" s="21">
        <v>18.5</v>
      </c>
      <c r="W519" s="21">
        <v>0.16700000000000001</v>
      </c>
      <c r="X519" s="4">
        <v>4.4000000000000004</v>
      </c>
    </row>
    <row r="520" spans="1:24" x14ac:dyDescent="0.35">
      <c r="A520" s="21">
        <v>26</v>
      </c>
      <c r="B520" s="21">
        <v>6</v>
      </c>
      <c r="C520" s="21">
        <v>23.7</v>
      </c>
      <c r="D520" s="21">
        <v>6.5</v>
      </c>
      <c r="E520" s="21">
        <v>0.48699999999999999</v>
      </c>
      <c r="F520" s="21">
        <v>3</v>
      </c>
      <c r="G520" s="21">
        <v>0.33300000000000002</v>
      </c>
      <c r="H520" s="21">
        <v>3.5</v>
      </c>
      <c r="I520" s="21">
        <v>0.61899999999999999</v>
      </c>
      <c r="J520" s="21">
        <v>0.56399999999999995</v>
      </c>
      <c r="K520" s="21">
        <v>2.2999999999999998</v>
      </c>
      <c r="L520" s="21">
        <v>0.57099999999999995</v>
      </c>
      <c r="M520" s="21">
        <v>3.7</v>
      </c>
      <c r="N520" s="21">
        <v>0.7</v>
      </c>
      <c r="O520" s="21">
        <v>0.7</v>
      </c>
      <c r="P520" s="21">
        <v>0.5</v>
      </c>
      <c r="Q520" s="21">
        <v>1.3</v>
      </c>
      <c r="R520" s="21">
        <v>2.2999999999999998</v>
      </c>
      <c r="S520" s="21">
        <v>8.6999999999999993</v>
      </c>
      <c r="T520" s="21">
        <v>5</v>
      </c>
      <c r="U520" s="21">
        <v>-6.3</v>
      </c>
      <c r="V520" s="21">
        <v>9.8000000000000007</v>
      </c>
      <c r="W520" s="21">
        <v>1.9E-2</v>
      </c>
      <c r="X520" s="4">
        <v>1</v>
      </c>
    </row>
    <row r="521" spans="1:24" x14ac:dyDescent="0.35">
      <c r="A521" s="21">
        <v>30</v>
      </c>
      <c r="B521" s="21">
        <v>24</v>
      </c>
      <c r="C521" s="21">
        <v>21.3</v>
      </c>
      <c r="D521" s="21">
        <v>5.0999999999999996</v>
      </c>
      <c r="E521" s="21">
        <v>0.32800000000000001</v>
      </c>
      <c r="F521" s="21">
        <v>0.3</v>
      </c>
      <c r="G521" s="21">
        <v>0.16700000000000001</v>
      </c>
      <c r="H521" s="21">
        <v>4.8</v>
      </c>
      <c r="I521" s="21">
        <v>0.33600000000000002</v>
      </c>
      <c r="J521" s="21">
        <v>0.33200000000000002</v>
      </c>
      <c r="K521" s="21">
        <v>0.3</v>
      </c>
      <c r="L521" s="21">
        <v>0.57099999999999995</v>
      </c>
      <c r="M521" s="21">
        <v>3.3</v>
      </c>
      <c r="N521" s="21">
        <v>6.9</v>
      </c>
      <c r="O521" s="21">
        <v>1</v>
      </c>
      <c r="P521" s="21">
        <v>0.5</v>
      </c>
      <c r="Q521" s="21">
        <v>2.5</v>
      </c>
      <c r="R521" s="21">
        <v>1.5</v>
      </c>
      <c r="S521" s="21">
        <v>3.5</v>
      </c>
      <c r="T521" s="21">
        <v>8</v>
      </c>
      <c r="U521" s="21">
        <v>-6.4</v>
      </c>
      <c r="V521" s="21">
        <v>8.5</v>
      </c>
      <c r="W521" s="21">
        <v>-5.7000000000000002E-2</v>
      </c>
      <c r="X521" s="4">
        <v>-0.6</v>
      </c>
    </row>
    <row r="522" spans="1:24" x14ac:dyDescent="0.35">
      <c r="A522" s="21">
        <v>28</v>
      </c>
      <c r="B522" s="21">
        <v>76</v>
      </c>
      <c r="C522" s="21">
        <v>15</v>
      </c>
      <c r="D522" s="21">
        <v>3.7</v>
      </c>
      <c r="E522" s="21">
        <v>0.51400000000000001</v>
      </c>
      <c r="F522" s="21">
        <v>0.1</v>
      </c>
      <c r="G522" s="21">
        <v>0.4</v>
      </c>
      <c r="H522" s="21">
        <v>3.6</v>
      </c>
      <c r="I522" s="21">
        <v>0.51600000000000001</v>
      </c>
      <c r="J522" s="21">
        <v>0.51800000000000002</v>
      </c>
      <c r="K522" s="21">
        <v>1.3</v>
      </c>
      <c r="L522" s="21">
        <v>0.56599999999999995</v>
      </c>
      <c r="M522" s="21">
        <v>6.1</v>
      </c>
      <c r="N522" s="21">
        <v>1.6</v>
      </c>
      <c r="O522" s="21">
        <v>0.6</v>
      </c>
      <c r="P522" s="21">
        <v>0.5</v>
      </c>
      <c r="Q522" s="21">
        <v>0.5</v>
      </c>
      <c r="R522" s="21">
        <v>2</v>
      </c>
      <c r="S522" s="21">
        <v>4.5</v>
      </c>
      <c r="T522" s="21">
        <v>9</v>
      </c>
      <c r="U522" s="21">
        <v>0.3</v>
      </c>
      <c r="V522" s="21">
        <v>17</v>
      </c>
      <c r="W522" s="21">
        <v>0.182</v>
      </c>
      <c r="X522" s="4">
        <v>3.5</v>
      </c>
    </row>
    <row r="523" spans="1:24" x14ac:dyDescent="0.35">
      <c r="A523" s="21">
        <v>25</v>
      </c>
      <c r="B523" s="21">
        <v>36</v>
      </c>
      <c r="C523" s="21">
        <v>16.100000000000001</v>
      </c>
      <c r="D523" s="21">
        <v>3.4</v>
      </c>
      <c r="E523" s="21">
        <v>0.48799999999999999</v>
      </c>
      <c r="F523" s="21">
        <v>0.9</v>
      </c>
      <c r="G523" s="21">
        <v>0.28100000000000003</v>
      </c>
      <c r="H523" s="21">
        <v>2.5</v>
      </c>
      <c r="I523" s="21">
        <v>0.56200000000000006</v>
      </c>
      <c r="J523" s="21">
        <v>0.52500000000000002</v>
      </c>
      <c r="K523" s="21">
        <v>1</v>
      </c>
      <c r="L523" s="21">
        <v>0.55600000000000005</v>
      </c>
      <c r="M523" s="21">
        <v>5.0999999999999996</v>
      </c>
      <c r="N523" s="21">
        <v>1.1000000000000001</v>
      </c>
      <c r="O523" s="21">
        <v>1</v>
      </c>
      <c r="P523" s="21">
        <v>0.3</v>
      </c>
      <c r="Q523" s="21">
        <v>0.8</v>
      </c>
      <c r="R523" s="21">
        <v>1.9</v>
      </c>
      <c r="S523" s="21">
        <v>4.0999999999999996</v>
      </c>
      <c r="T523" s="21">
        <v>6</v>
      </c>
      <c r="U523" s="21">
        <v>-1</v>
      </c>
      <c r="V523" s="21">
        <v>13.2</v>
      </c>
      <c r="W523" s="21">
        <v>0.114</v>
      </c>
      <c r="X523" s="4">
        <v>2.7</v>
      </c>
    </row>
    <row r="524" spans="1:24" x14ac:dyDescent="0.35">
      <c r="A524" s="21">
        <v>30</v>
      </c>
      <c r="B524" s="21">
        <v>55</v>
      </c>
      <c r="C524" s="21">
        <v>21.4</v>
      </c>
      <c r="D524" s="21">
        <v>7.1</v>
      </c>
      <c r="E524" s="21">
        <v>0.55900000000000005</v>
      </c>
      <c r="F524" s="21">
        <v>0</v>
      </c>
      <c r="G524" s="21">
        <v>0</v>
      </c>
      <c r="H524" s="21">
        <v>7.1</v>
      </c>
      <c r="I524" s="21">
        <v>0.56000000000000005</v>
      </c>
      <c r="J524" s="21">
        <v>0.55900000000000005</v>
      </c>
      <c r="K524" s="21">
        <v>1.8</v>
      </c>
      <c r="L524" s="21">
        <v>0.53600000000000003</v>
      </c>
      <c r="M524" s="21">
        <v>8.5</v>
      </c>
      <c r="N524" s="21">
        <v>1.1000000000000001</v>
      </c>
      <c r="O524" s="21">
        <v>0.6</v>
      </c>
      <c r="P524" s="21">
        <v>1</v>
      </c>
      <c r="Q524" s="21">
        <v>0.9</v>
      </c>
      <c r="R524" s="21">
        <v>1.9</v>
      </c>
      <c r="S524" s="21">
        <v>8.9</v>
      </c>
      <c r="T524" s="21">
        <v>10</v>
      </c>
      <c r="U524" s="21">
        <v>-1</v>
      </c>
      <c r="V524" s="21">
        <v>17.7</v>
      </c>
      <c r="W524" s="21">
        <v>0.13100000000000001</v>
      </c>
      <c r="X524" s="4">
        <v>-0.3</v>
      </c>
    </row>
    <row r="525" spans="1:24" x14ac:dyDescent="0.35">
      <c r="A525" s="21">
        <v>28</v>
      </c>
      <c r="B525" s="21">
        <v>59</v>
      </c>
      <c r="C525" s="21">
        <v>21.2</v>
      </c>
      <c r="D525" s="21">
        <v>4.5999999999999996</v>
      </c>
      <c r="E525" s="21">
        <v>0.41299999999999998</v>
      </c>
      <c r="F525" s="21">
        <v>3.8</v>
      </c>
      <c r="G525" s="21">
        <v>0.36</v>
      </c>
      <c r="H525" s="21">
        <v>0.8</v>
      </c>
      <c r="I525" s="21">
        <v>0.65300000000000002</v>
      </c>
      <c r="J525" s="21">
        <v>0.56100000000000005</v>
      </c>
      <c r="K525" s="21">
        <v>0.5</v>
      </c>
      <c r="L525" s="21">
        <v>0.53300000000000003</v>
      </c>
      <c r="M525" s="21">
        <v>4.2</v>
      </c>
      <c r="N525" s="21">
        <v>1.3</v>
      </c>
      <c r="O525" s="21">
        <v>0.7</v>
      </c>
      <c r="P525" s="21">
        <v>0.3</v>
      </c>
      <c r="Q525" s="21">
        <v>0.4</v>
      </c>
      <c r="R525" s="21">
        <v>1.7</v>
      </c>
      <c r="S525" s="21">
        <v>5.4</v>
      </c>
      <c r="T525" s="21">
        <v>5</v>
      </c>
      <c r="U525" s="21">
        <v>0.3</v>
      </c>
      <c r="V525" s="21">
        <v>10.1</v>
      </c>
      <c r="W525" s="21">
        <v>0.113</v>
      </c>
      <c r="X525" s="4">
        <v>4.8</v>
      </c>
    </row>
    <row r="526" spans="1:24" x14ac:dyDescent="0.35">
      <c r="A526" s="21">
        <v>20</v>
      </c>
      <c r="B526" s="21">
        <v>49</v>
      </c>
      <c r="C526" s="21">
        <v>10.5</v>
      </c>
      <c r="D526" s="21">
        <v>4.3</v>
      </c>
      <c r="E526" s="21">
        <v>0.441</v>
      </c>
      <c r="F526" s="21">
        <v>1.5</v>
      </c>
      <c r="G526" s="21">
        <v>0.33800000000000002</v>
      </c>
      <c r="H526" s="21">
        <v>2.8</v>
      </c>
      <c r="I526" s="21">
        <v>0.496</v>
      </c>
      <c r="J526" s="21">
        <v>0.5</v>
      </c>
      <c r="K526" s="21">
        <v>0.3</v>
      </c>
      <c r="L526" s="21">
        <v>0.53300000000000003</v>
      </c>
      <c r="M526" s="21">
        <v>1</v>
      </c>
      <c r="N526" s="21">
        <v>2</v>
      </c>
      <c r="O526" s="21">
        <v>0.4</v>
      </c>
      <c r="P526" s="21">
        <v>0</v>
      </c>
      <c r="Q526" s="21">
        <v>1.1000000000000001</v>
      </c>
      <c r="R526" s="21">
        <v>0.8</v>
      </c>
      <c r="S526" s="21">
        <v>4.5</v>
      </c>
      <c r="T526" s="21">
        <v>0</v>
      </c>
      <c r="U526" s="21">
        <v>-4.2</v>
      </c>
      <c r="V526" s="21">
        <v>10.199999999999999</v>
      </c>
      <c r="W526" s="21">
        <v>1.2E-2</v>
      </c>
      <c r="X526" s="4">
        <v>1.3</v>
      </c>
    </row>
    <row r="527" spans="1:24" x14ac:dyDescent="0.35">
      <c r="A527" s="21">
        <v>23</v>
      </c>
      <c r="B527" s="21">
        <v>58</v>
      </c>
      <c r="C527" s="21">
        <v>30</v>
      </c>
      <c r="D527" s="21">
        <v>7.2</v>
      </c>
      <c r="E527" s="21">
        <v>0.66300000000000003</v>
      </c>
      <c r="F527" s="21">
        <v>0.6</v>
      </c>
      <c r="G527" s="21">
        <v>0.17599999999999999</v>
      </c>
      <c r="H527" s="21">
        <v>6.6</v>
      </c>
      <c r="I527" s="21">
        <v>0.70599999999999996</v>
      </c>
      <c r="J527" s="21">
        <v>0.67100000000000004</v>
      </c>
      <c r="K527" s="21">
        <v>2.6</v>
      </c>
      <c r="L527" s="21">
        <v>0.52</v>
      </c>
      <c r="M527" s="21">
        <v>12.2</v>
      </c>
      <c r="N527" s="21">
        <v>1.7</v>
      </c>
      <c r="O527" s="21">
        <v>0.6</v>
      </c>
      <c r="P527" s="21">
        <v>2.4</v>
      </c>
      <c r="Q527" s="21">
        <v>1.5</v>
      </c>
      <c r="R527" s="21">
        <v>2.2000000000000002</v>
      </c>
      <c r="S527" s="21">
        <v>11.1</v>
      </c>
      <c r="T527" s="21">
        <v>2</v>
      </c>
      <c r="U527" s="21">
        <v>1.8</v>
      </c>
      <c r="V527" s="21">
        <v>20</v>
      </c>
      <c r="W527" s="21">
        <v>0.14899999999999999</v>
      </c>
      <c r="X527" s="4">
        <v>1.4</v>
      </c>
    </row>
    <row r="528" spans="1:24" x14ac:dyDescent="0.35">
      <c r="A528" s="21">
        <v>25</v>
      </c>
      <c r="B528" s="21">
        <v>70</v>
      </c>
      <c r="C528" s="21">
        <v>26.9</v>
      </c>
      <c r="D528" s="21">
        <v>8.1</v>
      </c>
      <c r="E528" s="21">
        <v>0.56299999999999994</v>
      </c>
      <c r="F528" s="21">
        <v>0.3</v>
      </c>
      <c r="G528" s="21">
        <v>0.23799999999999999</v>
      </c>
      <c r="H528" s="21">
        <v>7.8</v>
      </c>
      <c r="I528" s="21">
        <v>0.57599999999999996</v>
      </c>
      <c r="J528" s="21">
        <v>0.56799999999999995</v>
      </c>
      <c r="K528" s="21">
        <v>2.2000000000000002</v>
      </c>
      <c r="L528" s="21">
        <v>0.51300000000000001</v>
      </c>
      <c r="M528" s="21">
        <v>7.4</v>
      </c>
      <c r="N528" s="21">
        <v>2.2000000000000002</v>
      </c>
      <c r="O528" s="21">
        <v>0.9</v>
      </c>
      <c r="P528" s="21">
        <v>1.4</v>
      </c>
      <c r="Q528" s="21">
        <v>1.2</v>
      </c>
      <c r="R528" s="21">
        <v>2.1</v>
      </c>
      <c r="S528" s="21">
        <v>10.3</v>
      </c>
      <c r="T528" s="21">
        <v>5</v>
      </c>
      <c r="U528" s="21">
        <v>0.4</v>
      </c>
      <c r="V528" s="21">
        <v>16.5</v>
      </c>
      <c r="W528" s="21">
        <v>0.11</v>
      </c>
      <c r="X528" s="4">
        <v>3.6</v>
      </c>
    </row>
    <row r="529" spans="1:24" x14ac:dyDescent="0.35">
      <c r="A529" s="21">
        <v>22</v>
      </c>
      <c r="B529" s="21">
        <v>24</v>
      </c>
      <c r="C529" s="21">
        <v>4.5</v>
      </c>
      <c r="D529" s="21">
        <v>1.5</v>
      </c>
      <c r="E529" s="21">
        <v>0.54300000000000004</v>
      </c>
      <c r="F529" s="21">
        <v>1</v>
      </c>
      <c r="G529" s="21">
        <v>0.56499999999999995</v>
      </c>
      <c r="H529" s="21">
        <v>0.5</v>
      </c>
      <c r="I529" s="21">
        <v>0.5</v>
      </c>
      <c r="J529" s="21">
        <v>0.72899999999999998</v>
      </c>
      <c r="K529" s="21">
        <v>0.2</v>
      </c>
      <c r="L529" s="21">
        <v>0.5</v>
      </c>
      <c r="M529" s="21">
        <v>1</v>
      </c>
      <c r="N529" s="21">
        <v>0.1</v>
      </c>
      <c r="O529" s="21">
        <v>0.1</v>
      </c>
      <c r="P529" s="21">
        <v>0.1</v>
      </c>
      <c r="Q529" s="21">
        <v>0.2</v>
      </c>
      <c r="R529" s="21">
        <v>0.3</v>
      </c>
      <c r="S529" s="21">
        <v>2.2000000000000002</v>
      </c>
      <c r="T529" s="21">
        <v>2</v>
      </c>
      <c r="U529" s="21">
        <v>1.5</v>
      </c>
      <c r="V529" s="21">
        <v>16.2</v>
      </c>
      <c r="W529" s="21">
        <v>9.8000000000000004E-2</v>
      </c>
      <c r="X529" s="4">
        <v>2.5</v>
      </c>
    </row>
    <row r="530" spans="1:24" x14ac:dyDescent="0.35">
      <c r="A530" s="21">
        <v>21</v>
      </c>
      <c r="B530" s="21">
        <v>8</v>
      </c>
      <c r="C530" s="21">
        <v>5.3</v>
      </c>
      <c r="D530" s="21">
        <v>1.3</v>
      </c>
      <c r="E530" s="21">
        <v>0.6</v>
      </c>
      <c r="F530" s="21">
        <v>0.6</v>
      </c>
      <c r="G530" s="21">
        <v>0.4</v>
      </c>
      <c r="H530" s="21">
        <v>0.6</v>
      </c>
      <c r="I530" s="21">
        <v>0.8</v>
      </c>
      <c r="J530" s="21">
        <v>0.7</v>
      </c>
      <c r="K530" s="21">
        <v>0.3</v>
      </c>
      <c r="L530" s="21">
        <v>0.5</v>
      </c>
      <c r="M530" s="21">
        <v>0.9</v>
      </c>
      <c r="N530" s="21">
        <v>0.9</v>
      </c>
      <c r="O530" s="21">
        <v>0.3</v>
      </c>
      <c r="P530" s="21">
        <v>0.1</v>
      </c>
      <c r="Q530" s="21">
        <v>0.1</v>
      </c>
      <c r="R530" s="21">
        <v>1</v>
      </c>
      <c r="S530" s="21">
        <v>1.9</v>
      </c>
      <c r="T530" s="21">
        <v>0</v>
      </c>
      <c r="U530" s="21">
        <v>1</v>
      </c>
      <c r="V530" s="21">
        <v>15.9</v>
      </c>
      <c r="W530" s="21">
        <v>0.20799999999999999</v>
      </c>
      <c r="X530" s="4">
        <v>3.4</v>
      </c>
    </row>
    <row r="531" spans="1:24" x14ac:dyDescent="0.35">
      <c r="A531" s="21">
        <v>23</v>
      </c>
      <c r="B531" s="21">
        <v>5</v>
      </c>
      <c r="C531" s="21">
        <v>16.8</v>
      </c>
      <c r="D531" s="21">
        <v>4.5999999999999996</v>
      </c>
      <c r="E531" s="21">
        <v>0.60899999999999999</v>
      </c>
      <c r="F531" s="21">
        <v>0</v>
      </c>
      <c r="H531" s="21">
        <v>4.5999999999999996</v>
      </c>
      <c r="I531" s="21">
        <v>0.60899999999999999</v>
      </c>
      <c r="J531" s="21">
        <v>0.60899999999999999</v>
      </c>
      <c r="K531" s="21">
        <v>2.8</v>
      </c>
      <c r="L531" s="21">
        <v>0.5</v>
      </c>
      <c r="M531" s="21">
        <v>5.6</v>
      </c>
      <c r="N531" s="21">
        <v>1</v>
      </c>
      <c r="O531" s="21">
        <v>0.6</v>
      </c>
      <c r="P531" s="21">
        <v>1.6</v>
      </c>
      <c r="Q531" s="21">
        <v>1</v>
      </c>
      <c r="R531" s="21">
        <v>2.8</v>
      </c>
      <c r="S531" s="21">
        <v>7</v>
      </c>
      <c r="T531" s="21">
        <v>3</v>
      </c>
      <c r="U531" s="21">
        <v>0.8</v>
      </c>
      <c r="V531" s="21">
        <v>18.2</v>
      </c>
      <c r="W531" s="21">
        <v>0.153</v>
      </c>
      <c r="X531" s="4">
        <v>1.8</v>
      </c>
    </row>
    <row r="532" spans="1:24" x14ac:dyDescent="0.35">
      <c r="A532" s="21">
        <v>24</v>
      </c>
      <c r="B532" s="21">
        <v>13</v>
      </c>
      <c r="C532" s="21">
        <v>10.6</v>
      </c>
      <c r="D532" s="21">
        <v>2.5</v>
      </c>
      <c r="E532" s="21">
        <v>0.438</v>
      </c>
      <c r="F532" s="21">
        <v>1.8</v>
      </c>
      <c r="G532" s="21">
        <v>0.375</v>
      </c>
      <c r="H532" s="21">
        <v>0.6</v>
      </c>
      <c r="I532" s="21">
        <v>0.625</v>
      </c>
      <c r="J532" s="21">
        <v>0.57799999999999996</v>
      </c>
      <c r="K532" s="21">
        <v>0.2</v>
      </c>
      <c r="L532" s="21">
        <v>0.5</v>
      </c>
      <c r="M532" s="21">
        <v>1.6</v>
      </c>
      <c r="N532" s="21">
        <v>0.8</v>
      </c>
      <c r="O532" s="21">
        <v>0.2</v>
      </c>
      <c r="P532" s="21">
        <v>0.2</v>
      </c>
      <c r="Q532" s="21">
        <v>0.3</v>
      </c>
      <c r="R532" s="21">
        <v>1.3</v>
      </c>
      <c r="S532" s="21">
        <v>2.9</v>
      </c>
      <c r="T532" s="21">
        <v>1</v>
      </c>
      <c r="U532" s="21">
        <v>-4.9000000000000004</v>
      </c>
      <c r="V532" s="21">
        <v>8.5</v>
      </c>
      <c r="W532" s="21">
        <v>6.4000000000000001E-2</v>
      </c>
      <c r="X532" s="4">
        <v>-0.5</v>
      </c>
    </row>
    <row r="533" spans="1:24" x14ac:dyDescent="0.35">
      <c r="A533" s="21">
        <v>28</v>
      </c>
      <c r="B533" s="21">
        <v>6</v>
      </c>
      <c r="C533" s="21">
        <v>8.6999999999999993</v>
      </c>
      <c r="D533" s="21">
        <v>2.8</v>
      </c>
      <c r="E533" s="21">
        <v>0.47099999999999997</v>
      </c>
      <c r="F533" s="21">
        <v>1.7</v>
      </c>
      <c r="G533" s="21">
        <v>0.3</v>
      </c>
      <c r="H533" s="21">
        <v>1.2</v>
      </c>
      <c r="I533" s="21">
        <v>0.71399999999999997</v>
      </c>
      <c r="J533" s="21">
        <v>0.55900000000000005</v>
      </c>
      <c r="K533" s="21">
        <v>1</v>
      </c>
      <c r="L533" s="21">
        <v>0.5</v>
      </c>
      <c r="M533" s="21">
        <v>1.8</v>
      </c>
      <c r="N533" s="21">
        <v>0.7</v>
      </c>
      <c r="O533" s="21">
        <v>0.7</v>
      </c>
      <c r="P533" s="21">
        <v>0</v>
      </c>
      <c r="Q533" s="21">
        <v>0.2</v>
      </c>
      <c r="R533" s="21">
        <v>0.7</v>
      </c>
      <c r="S533" s="21">
        <v>3.7</v>
      </c>
      <c r="T533" s="21">
        <v>0</v>
      </c>
      <c r="U533" s="21">
        <v>1</v>
      </c>
      <c r="V533" s="21">
        <v>15.9</v>
      </c>
      <c r="W533" s="21">
        <v>0.153</v>
      </c>
      <c r="X533" s="4">
        <v>2.2999999999999998</v>
      </c>
    </row>
    <row r="534" spans="1:24" x14ac:dyDescent="0.35">
      <c r="A534" s="21">
        <v>23</v>
      </c>
      <c r="B534" s="21">
        <v>67</v>
      </c>
      <c r="C534" s="21">
        <v>14.6</v>
      </c>
      <c r="D534" s="21">
        <v>2.9</v>
      </c>
      <c r="E534" s="21">
        <v>0.47699999999999998</v>
      </c>
      <c r="F534" s="21">
        <v>1.1000000000000001</v>
      </c>
      <c r="G534" s="21">
        <v>0.39500000000000002</v>
      </c>
      <c r="H534" s="21">
        <v>1.8</v>
      </c>
      <c r="I534" s="21">
        <v>0.52900000000000003</v>
      </c>
      <c r="J534" s="21">
        <v>0.55300000000000005</v>
      </c>
      <c r="K534" s="21">
        <v>0.4</v>
      </c>
      <c r="L534" s="21">
        <v>0.5</v>
      </c>
      <c r="M534" s="21">
        <v>2.7</v>
      </c>
      <c r="N534" s="21">
        <v>1.2</v>
      </c>
      <c r="O534" s="21">
        <v>0.5</v>
      </c>
      <c r="P534" s="21">
        <v>0.2</v>
      </c>
      <c r="Q534" s="21">
        <v>0.9</v>
      </c>
      <c r="R534" s="21">
        <v>1.7</v>
      </c>
      <c r="S534" s="21">
        <v>3.4</v>
      </c>
      <c r="T534" s="21">
        <v>1</v>
      </c>
      <c r="U534" s="21">
        <v>-3.4</v>
      </c>
      <c r="V534" s="21">
        <v>8.6</v>
      </c>
      <c r="W534" s="21">
        <v>5.8999999999999997E-2</v>
      </c>
      <c r="X534" s="4">
        <v>2.1</v>
      </c>
    </row>
    <row r="535" spans="1:24" x14ac:dyDescent="0.35">
      <c r="A535" s="21">
        <v>25</v>
      </c>
      <c r="B535" s="21">
        <v>6</v>
      </c>
      <c r="C535" s="21">
        <v>5.7</v>
      </c>
      <c r="D535" s="21">
        <v>2.2999999999999998</v>
      </c>
      <c r="E535" s="21">
        <v>0.42899999999999999</v>
      </c>
      <c r="F535" s="21">
        <v>1</v>
      </c>
      <c r="G535" s="21">
        <v>0.5</v>
      </c>
      <c r="H535" s="21">
        <v>1.3</v>
      </c>
      <c r="I535" s="21">
        <v>0.375</v>
      </c>
      <c r="J535" s="21">
        <v>0.53600000000000003</v>
      </c>
      <c r="K535" s="21">
        <v>0.3</v>
      </c>
      <c r="L535" s="21">
        <v>0.5</v>
      </c>
      <c r="M535" s="21">
        <v>0.8</v>
      </c>
      <c r="N535" s="21">
        <v>0.7</v>
      </c>
      <c r="O535" s="21">
        <v>0.2</v>
      </c>
      <c r="P535" s="21">
        <v>0</v>
      </c>
      <c r="Q535" s="21">
        <v>0.3</v>
      </c>
      <c r="R535" s="21">
        <v>0.2</v>
      </c>
      <c r="S535" s="21">
        <v>2.7</v>
      </c>
      <c r="T535" s="21">
        <v>3</v>
      </c>
      <c r="U535" s="21">
        <v>-1.5</v>
      </c>
      <c r="V535" s="21">
        <v>12.2</v>
      </c>
      <c r="W535" s="21">
        <v>2.3E-2</v>
      </c>
      <c r="X535" s="4">
        <v>4.7</v>
      </c>
    </row>
    <row r="536" spans="1:24" x14ac:dyDescent="0.35">
      <c r="A536" s="21">
        <v>23</v>
      </c>
      <c r="B536" s="21">
        <v>15</v>
      </c>
      <c r="C536" s="21">
        <v>3.1</v>
      </c>
      <c r="D536" s="21">
        <v>0.7</v>
      </c>
      <c r="E536" s="21">
        <v>0.45500000000000002</v>
      </c>
      <c r="F536" s="21">
        <v>0.3</v>
      </c>
      <c r="G536" s="21">
        <v>0.2</v>
      </c>
      <c r="H536" s="21">
        <v>0.4</v>
      </c>
      <c r="I536" s="21">
        <v>0.66700000000000004</v>
      </c>
      <c r="J536" s="21">
        <v>0.5</v>
      </c>
      <c r="K536" s="21">
        <v>0.3</v>
      </c>
      <c r="L536" s="21">
        <v>0.5</v>
      </c>
      <c r="M536" s="21">
        <v>0.5</v>
      </c>
      <c r="N536" s="21">
        <v>0.1</v>
      </c>
      <c r="O536" s="21">
        <v>0.1</v>
      </c>
      <c r="P536" s="21">
        <v>0.1</v>
      </c>
      <c r="Q536" s="21">
        <v>0.1</v>
      </c>
      <c r="R536" s="21">
        <v>0.1</v>
      </c>
      <c r="S536" s="21">
        <v>0.9</v>
      </c>
      <c r="T536" s="21">
        <v>0</v>
      </c>
      <c r="U536" s="21">
        <v>-4.0999999999999996</v>
      </c>
      <c r="V536" s="21">
        <v>9.1999999999999993</v>
      </c>
      <c r="W536" s="21">
        <v>3.6999999999999998E-2</v>
      </c>
      <c r="X536" s="4">
        <v>1.8</v>
      </c>
    </row>
    <row r="537" spans="1:24" x14ac:dyDescent="0.35">
      <c r="A537" s="21">
        <v>21</v>
      </c>
      <c r="B537" s="21">
        <v>16</v>
      </c>
      <c r="C537" s="21">
        <v>3.6</v>
      </c>
      <c r="D537" s="21">
        <v>1.4</v>
      </c>
      <c r="E537" s="21">
        <v>0.39100000000000001</v>
      </c>
      <c r="F537" s="21">
        <v>0.7</v>
      </c>
      <c r="G537" s="21">
        <v>0.36399999999999999</v>
      </c>
      <c r="H537" s="21">
        <v>0.8</v>
      </c>
      <c r="I537" s="21">
        <v>0.41699999999999998</v>
      </c>
      <c r="J537" s="21">
        <v>0.47799999999999998</v>
      </c>
      <c r="K537" s="21">
        <v>0.3</v>
      </c>
      <c r="L537" s="21">
        <v>0.5</v>
      </c>
      <c r="M537" s="21">
        <v>0.3</v>
      </c>
      <c r="N537" s="21">
        <v>0.4</v>
      </c>
      <c r="O537" s="21">
        <v>0.1</v>
      </c>
      <c r="P537" s="21">
        <v>0.1</v>
      </c>
      <c r="Q537" s="21">
        <v>0.3</v>
      </c>
      <c r="R537" s="21">
        <v>0.6</v>
      </c>
      <c r="S537" s="21">
        <v>1.5</v>
      </c>
      <c r="T537" s="21">
        <v>0</v>
      </c>
      <c r="U537" s="21">
        <v>-6.3</v>
      </c>
      <c r="V537" s="21">
        <v>6.5</v>
      </c>
      <c r="W537" s="21">
        <v>-5.6000000000000001E-2</v>
      </c>
      <c r="X537" s="4">
        <v>2</v>
      </c>
    </row>
    <row r="538" spans="1:24" x14ac:dyDescent="0.35">
      <c r="A538" s="21">
        <v>24</v>
      </c>
      <c r="B538" s="21">
        <v>10</v>
      </c>
      <c r="C538" s="21">
        <v>13.8</v>
      </c>
      <c r="D538" s="21">
        <v>3.5</v>
      </c>
      <c r="E538" s="21">
        <v>0.314</v>
      </c>
      <c r="F538" s="21">
        <v>2.5</v>
      </c>
      <c r="G538" s="21">
        <v>0.28000000000000003</v>
      </c>
      <c r="H538" s="21">
        <v>1</v>
      </c>
      <c r="I538" s="21">
        <v>0.4</v>
      </c>
      <c r="J538" s="21">
        <v>0.41399999999999998</v>
      </c>
      <c r="K538" s="21">
        <v>0.6</v>
      </c>
      <c r="L538" s="21">
        <v>0.5</v>
      </c>
      <c r="M538" s="21">
        <v>2.1</v>
      </c>
      <c r="N538" s="21">
        <v>0.8</v>
      </c>
      <c r="O538" s="21">
        <v>1</v>
      </c>
      <c r="P538" s="21">
        <v>0.1</v>
      </c>
      <c r="Q538" s="21">
        <v>0.3</v>
      </c>
      <c r="R538" s="21">
        <v>1.8</v>
      </c>
      <c r="S538" s="21">
        <v>3.2</v>
      </c>
      <c r="T538" s="21">
        <v>0</v>
      </c>
      <c r="U538" s="21">
        <v>-3.8</v>
      </c>
      <c r="V538" s="21">
        <v>7.8</v>
      </c>
      <c r="W538" s="21">
        <v>2.3E-2</v>
      </c>
      <c r="X538" s="4">
        <v>2.6</v>
      </c>
    </row>
    <row r="539" spans="1:24" x14ac:dyDescent="0.35">
      <c r="A539" s="21">
        <v>19</v>
      </c>
      <c r="B539" s="21">
        <v>7</v>
      </c>
      <c r="C539" s="21">
        <v>4.5999999999999996</v>
      </c>
      <c r="D539" s="21">
        <v>0.7</v>
      </c>
      <c r="E539" s="21">
        <v>0.4</v>
      </c>
      <c r="F539" s="21">
        <v>0</v>
      </c>
      <c r="H539" s="21">
        <v>0.7</v>
      </c>
      <c r="I539" s="21">
        <v>0.4</v>
      </c>
      <c r="J539" s="21">
        <v>0.4</v>
      </c>
      <c r="K539" s="21">
        <v>0.3</v>
      </c>
      <c r="L539" s="21">
        <v>0.5</v>
      </c>
      <c r="M539" s="21">
        <v>1.1000000000000001</v>
      </c>
      <c r="N539" s="21">
        <v>0.3</v>
      </c>
      <c r="O539" s="21">
        <v>0</v>
      </c>
      <c r="P539" s="21">
        <v>0.1</v>
      </c>
      <c r="Q539" s="21">
        <v>0.3</v>
      </c>
      <c r="R539" s="21">
        <v>0.7</v>
      </c>
      <c r="S539" s="21">
        <v>0.7</v>
      </c>
      <c r="T539" s="21">
        <v>0</v>
      </c>
      <c r="U539" s="21">
        <v>-7.4</v>
      </c>
      <c r="V539" s="21">
        <v>5.2</v>
      </c>
      <c r="W539" s="21">
        <v>1E-3</v>
      </c>
      <c r="X539" s="4">
        <v>0.4</v>
      </c>
    </row>
    <row r="540" spans="1:24" x14ac:dyDescent="0.35">
      <c r="A540" s="21">
        <v>25</v>
      </c>
      <c r="B540" s="21">
        <v>1</v>
      </c>
      <c r="C540" s="21">
        <v>17</v>
      </c>
      <c r="D540" s="21">
        <v>7</v>
      </c>
      <c r="E540" s="21">
        <v>0.28599999999999998</v>
      </c>
      <c r="F540" s="21">
        <v>3</v>
      </c>
      <c r="G540" s="21">
        <v>0.33300000000000002</v>
      </c>
      <c r="H540" s="21">
        <v>4</v>
      </c>
      <c r="I540" s="21">
        <v>0.25</v>
      </c>
      <c r="J540" s="21">
        <v>0.35699999999999998</v>
      </c>
      <c r="K540" s="21">
        <v>2</v>
      </c>
      <c r="L540" s="21">
        <v>0.5</v>
      </c>
      <c r="M540" s="21">
        <v>4</v>
      </c>
      <c r="N540" s="21">
        <v>5</v>
      </c>
      <c r="O540" s="21">
        <v>1</v>
      </c>
      <c r="P540" s="21">
        <v>1</v>
      </c>
      <c r="Q540" s="21">
        <v>0</v>
      </c>
      <c r="R540" s="21">
        <v>3</v>
      </c>
      <c r="S540" s="21">
        <v>6</v>
      </c>
      <c r="T540" s="21">
        <v>2</v>
      </c>
      <c r="U540" s="21">
        <v>4.7</v>
      </c>
      <c r="V540" s="21">
        <v>17.2</v>
      </c>
      <c r="W540" s="21">
        <v>0.11899999999999999</v>
      </c>
      <c r="X540" s="4">
        <v>3.2</v>
      </c>
    </row>
    <row r="541" spans="1:24" x14ac:dyDescent="0.35">
      <c r="A541" s="21">
        <v>23</v>
      </c>
      <c r="B541" s="21">
        <v>16</v>
      </c>
      <c r="C541" s="21">
        <v>7.4</v>
      </c>
      <c r="D541" s="21">
        <v>2.8</v>
      </c>
      <c r="E541" s="21">
        <v>0.311</v>
      </c>
      <c r="F541" s="21">
        <v>1.3</v>
      </c>
      <c r="G541" s="21">
        <v>0.19</v>
      </c>
      <c r="H541" s="21">
        <v>1.5</v>
      </c>
      <c r="I541" s="21">
        <v>0.41699999999999998</v>
      </c>
      <c r="J541" s="21">
        <v>0.35599999999999998</v>
      </c>
      <c r="K541" s="21">
        <v>0.4</v>
      </c>
      <c r="L541" s="21">
        <v>0.5</v>
      </c>
      <c r="M541" s="21">
        <v>0.8</v>
      </c>
      <c r="N541" s="21">
        <v>1</v>
      </c>
      <c r="O541" s="21">
        <v>0.2</v>
      </c>
      <c r="P541" s="21">
        <v>0</v>
      </c>
      <c r="Q541" s="21">
        <v>0.2</v>
      </c>
      <c r="R541" s="21">
        <v>0.3</v>
      </c>
      <c r="S541" s="21">
        <v>2.2000000000000002</v>
      </c>
      <c r="T541" s="21">
        <v>2</v>
      </c>
      <c r="U541" s="21">
        <v>-8</v>
      </c>
      <c r="V541" s="21">
        <v>6.5</v>
      </c>
      <c r="W541" s="21">
        <v>-6.5000000000000002E-2</v>
      </c>
      <c r="X541" s="4">
        <v>1.1000000000000001</v>
      </c>
    </row>
    <row r="542" spans="1:24" x14ac:dyDescent="0.35">
      <c r="A542" s="21">
        <v>25</v>
      </c>
      <c r="B542" s="21">
        <v>37</v>
      </c>
      <c r="C542" s="21">
        <v>5.5</v>
      </c>
      <c r="D542" s="21">
        <v>2.6</v>
      </c>
      <c r="E542" s="21">
        <v>0.26</v>
      </c>
      <c r="F542" s="21">
        <v>1.9</v>
      </c>
      <c r="G542" s="21">
        <v>0.19400000000000001</v>
      </c>
      <c r="H542" s="21">
        <v>0.6</v>
      </c>
      <c r="I542" s="21">
        <v>0.45800000000000002</v>
      </c>
      <c r="J542" s="21">
        <v>0.33300000000000002</v>
      </c>
      <c r="K542" s="21">
        <v>0.1</v>
      </c>
      <c r="L542" s="21">
        <v>0.5</v>
      </c>
      <c r="M542" s="21">
        <v>0.7</v>
      </c>
      <c r="N542" s="21">
        <v>0.3</v>
      </c>
      <c r="O542" s="21">
        <v>0.2</v>
      </c>
      <c r="P542" s="21">
        <v>0.1</v>
      </c>
      <c r="Q542" s="21">
        <v>0.1</v>
      </c>
      <c r="R542" s="21">
        <v>0.4</v>
      </c>
      <c r="S542" s="21">
        <v>1.8</v>
      </c>
      <c r="T542" s="21">
        <v>1</v>
      </c>
      <c r="U542" s="21">
        <v>-10.3</v>
      </c>
      <c r="V542" s="21">
        <v>3.7</v>
      </c>
      <c r="W542" s="21">
        <v>-6.2E-2</v>
      </c>
      <c r="X542" s="4">
        <v>1.3</v>
      </c>
    </row>
    <row r="543" spans="1:24" x14ac:dyDescent="0.35">
      <c r="A543" s="21">
        <v>19</v>
      </c>
      <c r="B543" s="21">
        <v>13</v>
      </c>
      <c r="C543" s="21">
        <v>4.5</v>
      </c>
      <c r="D543" s="21">
        <v>1.8</v>
      </c>
      <c r="E543" s="21">
        <v>0.29199999999999998</v>
      </c>
      <c r="F543" s="21">
        <v>1</v>
      </c>
      <c r="G543" s="21">
        <v>0.154</v>
      </c>
      <c r="H543" s="21">
        <v>0.8</v>
      </c>
      <c r="I543" s="21">
        <v>0.45500000000000002</v>
      </c>
      <c r="J543" s="21">
        <v>0.33300000000000002</v>
      </c>
      <c r="K543" s="21">
        <v>0.3</v>
      </c>
      <c r="L543" s="21">
        <v>0.5</v>
      </c>
      <c r="M543" s="21">
        <v>0.9</v>
      </c>
      <c r="N543" s="21">
        <v>0.5</v>
      </c>
      <c r="O543" s="21">
        <v>0.4</v>
      </c>
      <c r="P543" s="21">
        <v>0.1</v>
      </c>
      <c r="Q543" s="21">
        <v>0.2</v>
      </c>
      <c r="R543" s="21">
        <v>0.3</v>
      </c>
      <c r="S543" s="21">
        <v>1.4</v>
      </c>
      <c r="T543" s="21">
        <v>0</v>
      </c>
      <c r="U543" s="21">
        <v>-2.5</v>
      </c>
      <c r="V543" s="21">
        <v>9.1</v>
      </c>
      <c r="W543" s="21">
        <v>-5.0000000000000001E-3</v>
      </c>
      <c r="X543" s="4">
        <v>2.2000000000000002</v>
      </c>
    </row>
    <row r="544" spans="1:24" x14ac:dyDescent="0.35">
      <c r="A544" s="21">
        <v>24</v>
      </c>
      <c r="B544" s="21">
        <v>3</v>
      </c>
      <c r="C544" s="21">
        <v>11.7</v>
      </c>
      <c r="D544" s="21">
        <v>3</v>
      </c>
      <c r="E544" s="21">
        <v>0.222</v>
      </c>
      <c r="F544" s="21">
        <v>2.2999999999999998</v>
      </c>
      <c r="G544" s="21">
        <v>0.28599999999999998</v>
      </c>
      <c r="H544" s="21">
        <v>0.7</v>
      </c>
      <c r="I544" s="21">
        <v>0</v>
      </c>
      <c r="J544" s="21">
        <v>0.33300000000000002</v>
      </c>
      <c r="K544" s="21">
        <v>0.7</v>
      </c>
      <c r="L544" s="21">
        <v>0.5</v>
      </c>
      <c r="M544" s="21">
        <v>3</v>
      </c>
      <c r="N544" s="21">
        <v>0</v>
      </c>
      <c r="O544" s="21">
        <v>0.7</v>
      </c>
      <c r="P544" s="21">
        <v>0.3</v>
      </c>
      <c r="Q544" s="21">
        <v>0</v>
      </c>
      <c r="R544" s="21">
        <v>0</v>
      </c>
      <c r="S544" s="21">
        <v>2.2999999999999998</v>
      </c>
      <c r="T544" s="21">
        <v>1</v>
      </c>
      <c r="U544" s="21">
        <v>-1.9</v>
      </c>
      <c r="V544" s="21">
        <v>8.5</v>
      </c>
      <c r="W544" s="21">
        <v>4.9000000000000002E-2</v>
      </c>
      <c r="X544" s="4">
        <v>2.6</v>
      </c>
    </row>
    <row r="545" spans="1:24" x14ac:dyDescent="0.35">
      <c r="A545" s="21">
        <v>25</v>
      </c>
      <c r="B545" s="21">
        <v>13</v>
      </c>
      <c r="C545" s="21">
        <v>4.4000000000000004</v>
      </c>
      <c r="D545" s="21">
        <v>0.6</v>
      </c>
      <c r="E545" s="21">
        <v>0.25</v>
      </c>
      <c r="F545" s="21">
        <v>0.2</v>
      </c>
      <c r="G545" s="21">
        <v>0</v>
      </c>
      <c r="H545" s="21">
        <v>0.5</v>
      </c>
      <c r="I545" s="21">
        <v>0.33300000000000002</v>
      </c>
      <c r="J545" s="21">
        <v>0.25</v>
      </c>
      <c r="K545" s="21">
        <v>0.8</v>
      </c>
      <c r="L545" s="21">
        <v>0.5</v>
      </c>
      <c r="M545" s="21">
        <v>0.9</v>
      </c>
      <c r="N545" s="21">
        <v>0.2</v>
      </c>
      <c r="O545" s="21">
        <v>0.2</v>
      </c>
      <c r="P545" s="21">
        <v>0.2</v>
      </c>
      <c r="Q545" s="21">
        <v>0.5</v>
      </c>
      <c r="R545" s="21">
        <v>0.7</v>
      </c>
      <c r="S545" s="21">
        <v>0.7</v>
      </c>
      <c r="T545" s="21">
        <v>0</v>
      </c>
      <c r="U545" s="21">
        <v>-10.5</v>
      </c>
      <c r="V545" s="21">
        <v>2.6</v>
      </c>
      <c r="W545" s="21">
        <v>-6.6000000000000003E-2</v>
      </c>
      <c r="X545" s="4">
        <v>3.7</v>
      </c>
    </row>
    <row r="546" spans="1:24" x14ac:dyDescent="0.35">
      <c r="A546" s="21">
        <v>25</v>
      </c>
      <c r="B546" s="21">
        <v>22</v>
      </c>
      <c r="C546" s="21">
        <v>3.9</v>
      </c>
      <c r="D546" s="21">
        <v>1.2</v>
      </c>
      <c r="E546" s="21">
        <v>0.192</v>
      </c>
      <c r="F546" s="21">
        <v>0.7</v>
      </c>
      <c r="G546" s="21">
        <v>0.2</v>
      </c>
      <c r="H546" s="21">
        <v>0.5</v>
      </c>
      <c r="I546" s="21">
        <v>0.182</v>
      </c>
      <c r="J546" s="21">
        <v>0.25</v>
      </c>
      <c r="K546" s="21">
        <v>0.2</v>
      </c>
      <c r="L546" s="21">
        <v>0.5</v>
      </c>
      <c r="M546" s="21">
        <v>0.8</v>
      </c>
      <c r="N546" s="21">
        <v>0.2</v>
      </c>
      <c r="O546" s="21">
        <v>0.1</v>
      </c>
      <c r="P546" s="21">
        <v>0.3</v>
      </c>
      <c r="Q546" s="21">
        <v>0.1</v>
      </c>
      <c r="R546" s="21">
        <v>0.4</v>
      </c>
      <c r="S546" s="21">
        <v>0.7</v>
      </c>
      <c r="T546" s="21">
        <v>2</v>
      </c>
      <c r="U546" s="21">
        <v>-8.1</v>
      </c>
      <c r="V546" s="21">
        <v>3.4</v>
      </c>
      <c r="W546" s="21">
        <v>-8.5999999999999993E-2</v>
      </c>
      <c r="X546" s="4">
        <v>2.4</v>
      </c>
    </row>
    <row r="547" spans="1:24" x14ac:dyDescent="0.35">
      <c r="A547" s="21">
        <v>26</v>
      </c>
      <c r="B547" s="21">
        <v>2</v>
      </c>
      <c r="C547" s="21">
        <v>10</v>
      </c>
      <c r="D547" s="21">
        <v>5</v>
      </c>
      <c r="E547" s="21">
        <v>0.2</v>
      </c>
      <c r="F547" s="21">
        <v>2</v>
      </c>
      <c r="G547" s="21">
        <v>0.25</v>
      </c>
      <c r="H547" s="21">
        <v>3</v>
      </c>
      <c r="I547" s="21">
        <v>0.16700000000000001</v>
      </c>
      <c r="J547" s="21">
        <v>0.25</v>
      </c>
      <c r="K547" s="21">
        <v>1</v>
      </c>
      <c r="L547" s="21">
        <v>0.5</v>
      </c>
      <c r="M547" s="21">
        <v>4</v>
      </c>
      <c r="N547" s="21">
        <v>0.5</v>
      </c>
      <c r="O547" s="21">
        <v>1</v>
      </c>
      <c r="P547" s="21">
        <v>0</v>
      </c>
      <c r="Q547" s="21">
        <v>1</v>
      </c>
      <c r="R547" s="21">
        <v>0</v>
      </c>
      <c r="S547" s="21">
        <v>3</v>
      </c>
      <c r="T547" s="21">
        <v>1</v>
      </c>
      <c r="U547" s="21">
        <v>-4.3</v>
      </c>
      <c r="V547" s="21">
        <v>7.1</v>
      </c>
      <c r="W547" s="21">
        <v>-0.15</v>
      </c>
      <c r="X547" s="4">
        <v>1.2</v>
      </c>
    </row>
    <row r="548" spans="1:24" x14ac:dyDescent="0.35">
      <c r="A548" s="21">
        <v>21</v>
      </c>
      <c r="B548" s="21">
        <v>5</v>
      </c>
      <c r="C548" s="21">
        <v>2</v>
      </c>
      <c r="D548" s="21">
        <v>1.4</v>
      </c>
      <c r="E548" s="21">
        <v>0.14299999999999999</v>
      </c>
      <c r="F548" s="21">
        <v>0.6</v>
      </c>
      <c r="G548" s="21">
        <v>0</v>
      </c>
      <c r="H548" s="21">
        <v>0.8</v>
      </c>
      <c r="I548" s="21">
        <v>0.25</v>
      </c>
      <c r="J548" s="21">
        <v>0.14299999999999999</v>
      </c>
      <c r="K548" s="21">
        <v>0.4</v>
      </c>
      <c r="L548" s="21">
        <v>0.5</v>
      </c>
      <c r="M548" s="21">
        <v>0.4</v>
      </c>
      <c r="N548" s="21">
        <v>0</v>
      </c>
      <c r="O548" s="21">
        <v>0</v>
      </c>
      <c r="P548" s="21">
        <v>0</v>
      </c>
      <c r="Q548" s="21">
        <v>0</v>
      </c>
      <c r="R548" s="21">
        <v>0</v>
      </c>
      <c r="S548" s="21">
        <v>0.6</v>
      </c>
      <c r="T548" s="21">
        <v>0</v>
      </c>
      <c r="U548" s="21">
        <v>-24.9</v>
      </c>
      <c r="V548" s="21">
        <v>-10.7</v>
      </c>
      <c r="W548" s="21">
        <v>-0.47299999999999998</v>
      </c>
      <c r="X548" s="4">
        <v>2</v>
      </c>
    </row>
    <row r="549" spans="1:24" x14ac:dyDescent="0.35">
      <c r="A549" s="21">
        <v>22</v>
      </c>
      <c r="B549" s="21">
        <v>3</v>
      </c>
      <c r="C549" s="21">
        <v>4.3</v>
      </c>
      <c r="D549" s="21">
        <v>0.3</v>
      </c>
      <c r="E549" s="21">
        <v>0</v>
      </c>
      <c r="F549" s="21">
        <v>0.3</v>
      </c>
      <c r="G549" s="21">
        <v>0</v>
      </c>
      <c r="H549" s="21">
        <v>0</v>
      </c>
      <c r="J549" s="21">
        <v>0</v>
      </c>
      <c r="K549" s="21">
        <v>0.7</v>
      </c>
      <c r="L549" s="21">
        <v>0.5</v>
      </c>
      <c r="M549" s="21">
        <v>1.3</v>
      </c>
      <c r="N549" s="21">
        <v>1</v>
      </c>
      <c r="O549" s="21">
        <v>0</v>
      </c>
      <c r="P549" s="21">
        <v>0</v>
      </c>
      <c r="Q549" s="21">
        <v>1.3</v>
      </c>
      <c r="R549" s="21">
        <v>0.3</v>
      </c>
      <c r="S549" s="21">
        <v>0.3</v>
      </c>
      <c r="T549" s="21">
        <v>3</v>
      </c>
      <c r="U549" s="21">
        <v>-16.2</v>
      </c>
      <c r="V549" s="21">
        <v>-7</v>
      </c>
      <c r="W549" s="21">
        <v>-0.32700000000000001</v>
      </c>
      <c r="X549" s="4">
        <v>3.9</v>
      </c>
    </row>
    <row r="550" spans="1:24" x14ac:dyDescent="0.35">
      <c r="A550" s="21">
        <v>25</v>
      </c>
      <c r="B550" s="21">
        <v>6</v>
      </c>
      <c r="C550" s="21">
        <v>3.5</v>
      </c>
      <c r="D550" s="21">
        <v>0.3</v>
      </c>
      <c r="E550" s="21">
        <v>0</v>
      </c>
      <c r="F550" s="21">
        <v>0.2</v>
      </c>
      <c r="G550" s="21">
        <v>0</v>
      </c>
      <c r="H550" s="21">
        <v>0.2</v>
      </c>
      <c r="I550" s="21">
        <v>0</v>
      </c>
      <c r="J550" s="21">
        <v>0</v>
      </c>
      <c r="K550" s="21">
        <v>0.7</v>
      </c>
      <c r="L550" s="21">
        <v>0.5</v>
      </c>
      <c r="M550" s="21">
        <v>0.5</v>
      </c>
      <c r="N550" s="21">
        <v>0.2</v>
      </c>
      <c r="O550" s="21">
        <v>0</v>
      </c>
      <c r="P550" s="21">
        <v>0</v>
      </c>
      <c r="Q550" s="21">
        <v>0.2</v>
      </c>
      <c r="R550" s="21">
        <v>0.7</v>
      </c>
      <c r="S550" s="21">
        <v>0.3</v>
      </c>
      <c r="T550" s="21">
        <v>0</v>
      </c>
      <c r="U550" s="21">
        <v>-12.4</v>
      </c>
      <c r="V550" s="21">
        <v>-2.2999999999999998</v>
      </c>
      <c r="W550" s="21">
        <v>-5.1999999999999998E-2</v>
      </c>
      <c r="X550" s="4">
        <v>3.5</v>
      </c>
    </row>
    <row r="551" spans="1:24" x14ac:dyDescent="0.35">
      <c r="A551" s="21">
        <v>27</v>
      </c>
      <c r="B551" s="21">
        <v>3</v>
      </c>
      <c r="C551" s="21">
        <v>3.7</v>
      </c>
      <c r="D551" s="21">
        <v>1.3</v>
      </c>
      <c r="E551" s="21">
        <v>0</v>
      </c>
      <c r="F551" s="21">
        <v>0.3</v>
      </c>
      <c r="G551" s="21">
        <v>0</v>
      </c>
      <c r="H551" s="21">
        <v>1</v>
      </c>
      <c r="I551" s="21">
        <v>0</v>
      </c>
      <c r="J551" s="21">
        <v>0</v>
      </c>
      <c r="K551" s="21">
        <v>2</v>
      </c>
      <c r="L551" s="21">
        <v>0.5</v>
      </c>
      <c r="M551" s="21">
        <v>0.7</v>
      </c>
      <c r="N551" s="21">
        <v>0</v>
      </c>
      <c r="O551" s="21">
        <v>0.7</v>
      </c>
      <c r="P551" s="21">
        <v>0</v>
      </c>
      <c r="Q551" s="21">
        <v>0.3</v>
      </c>
      <c r="R551" s="21">
        <v>0</v>
      </c>
      <c r="S551" s="21">
        <v>1</v>
      </c>
      <c r="T551" s="21">
        <v>3</v>
      </c>
      <c r="U551" s="21">
        <v>-13.6</v>
      </c>
      <c r="V551" s="21">
        <v>1.1000000000000001</v>
      </c>
      <c r="W551" s="21">
        <v>-0.25900000000000001</v>
      </c>
      <c r="X551" s="4">
        <v>1.3</v>
      </c>
    </row>
    <row r="552" spans="1:24" x14ac:dyDescent="0.35">
      <c r="A552" s="21">
        <v>22</v>
      </c>
      <c r="B552" s="21">
        <v>74</v>
      </c>
      <c r="C552" s="21">
        <v>19.100000000000001</v>
      </c>
      <c r="D552" s="21">
        <v>6.4</v>
      </c>
      <c r="E552" s="21">
        <v>0.43</v>
      </c>
      <c r="F552" s="21">
        <v>3.6</v>
      </c>
      <c r="G552" s="21">
        <v>0.311</v>
      </c>
      <c r="H552" s="21">
        <v>2.9</v>
      </c>
      <c r="I552" s="21">
        <v>0.57699999999999996</v>
      </c>
      <c r="J552" s="21">
        <v>0.51600000000000001</v>
      </c>
      <c r="K552" s="21">
        <v>0.5</v>
      </c>
      <c r="L552" s="21">
        <v>0.48699999999999999</v>
      </c>
      <c r="M552" s="21">
        <v>3.6</v>
      </c>
      <c r="N552" s="21">
        <v>0.8</v>
      </c>
      <c r="O552" s="21">
        <v>0.6</v>
      </c>
      <c r="P552" s="21">
        <v>0.5</v>
      </c>
      <c r="Q552" s="21">
        <v>0.5</v>
      </c>
      <c r="R552" s="21">
        <v>2.2000000000000002</v>
      </c>
      <c r="S552" s="21">
        <v>6.9</v>
      </c>
      <c r="T552" s="21">
        <v>0</v>
      </c>
      <c r="U552" s="21">
        <v>-4.0999999999999996</v>
      </c>
      <c r="V552" s="21">
        <v>10.7</v>
      </c>
      <c r="W552" s="21">
        <v>3.4000000000000002E-2</v>
      </c>
      <c r="X552" s="4">
        <v>3</v>
      </c>
    </row>
    <row r="553" spans="1:24" x14ac:dyDescent="0.35">
      <c r="A553" s="21">
        <v>31</v>
      </c>
      <c r="B553" s="21">
        <v>46</v>
      </c>
      <c r="C553" s="21">
        <v>8.3000000000000007</v>
      </c>
      <c r="D553" s="21">
        <v>1.4</v>
      </c>
      <c r="E553" s="21">
        <v>0.50800000000000001</v>
      </c>
      <c r="F553" s="21">
        <v>0.2</v>
      </c>
      <c r="G553" s="21">
        <v>0.222</v>
      </c>
      <c r="H553" s="21">
        <v>1.2</v>
      </c>
      <c r="I553" s="21">
        <v>0.55600000000000005</v>
      </c>
      <c r="J553" s="21">
        <v>0.52400000000000002</v>
      </c>
      <c r="K553" s="21">
        <v>0.4</v>
      </c>
      <c r="L553" s="21">
        <v>0.47099999999999997</v>
      </c>
      <c r="M553" s="21">
        <v>2.1</v>
      </c>
      <c r="N553" s="21">
        <v>0.8</v>
      </c>
      <c r="O553" s="21">
        <v>0.2</v>
      </c>
      <c r="P553" s="21">
        <v>0.5</v>
      </c>
      <c r="Q553" s="21">
        <v>0.4</v>
      </c>
      <c r="R553" s="21">
        <v>1.2</v>
      </c>
      <c r="S553" s="21">
        <v>1.6</v>
      </c>
      <c r="T553" s="21">
        <v>11</v>
      </c>
      <c r="U553" s="21">
        <v>-2.6</v>
      </c>
      <c r="V553" s="21">
        <v>10.6</v>
      </c>
      <c r="W553" s="21">
        <v>8.3000000000000004E-2</v>
      </c>
      <c r="X553" s="4">
        <v>0.5</v>
      </c>
    </row>
    <row r="554" spans="1:24" x14ac:dyDescent="0.35">
      <c r="A554" s="21">
        <v>27</v>
      </c>
      <c r="B554" s="21">
        <v>15</v>
      </c>
      <c r="C554" s="21">
        <v>20.8</v>
      </c>
      <c r="D554" s="21">
        <v>5.9</v>
      </c>
      <c r="E554" s="21">
        <v>0.47699999999999998</v>
      </c>
      <c r="F554" s="21">
        <v>3.2</v>
      </c>
      <c r="G554" s="21">
        <v>0.438</v>
      </c>
      <c r="H554" s="21">
        <v>2.7</v>
      </c>
      <c r="I554" s="21">
        <v>0.52500000000000002</v>
      </c>
      <c r="J554" s="21">
        <v>0.59699999999999998</v>
      </c>
      <c r="K554" s="21">
        <v>1</v>
      </c>
      <c r="L554" s="21">
        <v>0.46700000000000003</v>
      </c>
      <c r="M554" s="21">
        <v>3.5</v>
      </c>
      <c r="N554" s="21">
        <v>1.9</v>
      </c>
      <c r="O554" s="21">
        <v>2.2000000000000002</v>
      </c>
      <c r="P554" s="21">
        <v>0.6</v>
      </c>
      <c r="Q554" s="21">
        <v>0.9</v>
      </c>
      <c r="R554" s="21">
        <v>0.9</v>
      </c>
      <c r="S554" s="21">
        <v>7.5</v>
      </c>
      <c r="T554" s="21">
        <v>5</v>
      </c>
      <c r="U554" s="21">
        <v>5</v>
      </c>
      <c r="V554" s="21">
        <v>17</v>
      </c>
      <c r="W554" s="21">
        <v>0.14599999999999999</v>
      </c>
      <c r="X554" s="4">
        <v>4.8</v>
      </c>
    </row>
    <row r="555" spans="1:24" x14ac:dyDescent="0.35">
      <c r="A555" s="21">
        <v>22</v>
      </c>
      <c r="B555" s="21">
        <v>25</v>
      </c>
      <c r="C555" s="21">
        <v>8.6999999999999993</v>
      </c>
      <c r="D555" s="21">
        <v>1.2</v>
      </c>
      <c r="E555" s="21">
        <v>0.67700000000000005</v>
      </c>
      <c r="F555" s="21">
        <v>0</v>
      </c>
      <c r="H555" s="21">
        <v>1.2</v>
      </c>
      <c r="I555" s="21">
        <v>0.67700000000000005</v>
      </c>
      <c r="J555" s="21">
        <v>0.67700000000000005</v>
      </c>
      <c r="K555" s="21">
        <v>0.5</v>
      </c>
      <c r="L555" s="21">
        <v>0.46200000000000002</v>
      </c>
      <c r="M555" s="21">
        <v>2</v>
      </c>
      <c r="N555" s="21">
        <v>0.4</v>
      </c>
      <c r="O555" s="21">
        <v>0</v>
      </c>
      <c r="P555" s="21">
        <v>0.6</v>
      </c>
      <c r="Q555" s="21">
        <v>0.8</v>
      </c>
      <c r="R555" s="21">
        <v>1.3</v>
      </c>
      <c r="S555" s="21">
        <v>1.9</v>
      </c>
      <c r="T555" s="21">
        <v>0</v>
      </c>
      <c r="U555" s="21">
        <v>-5.6</v>
      </c>
      <c r="V555" s="21">
        <v>7.6</v>
      </c>
      <c r="W555" s="21">
        <v>0.02</v>
      </c>
      <c r="X555" s="4">
        <v>4.5999999999999996</v>
      </c>
    </row>
    <row r="556" spans="1:24" x14ac:dyDescent="0.35">
      <c r="A556" s="21">
        <v>31</v>
      </c>
      <c r="B556" s="21">
        <v>58</v>
      </c>
      <c r="C556" s="21">
        <v>13.7</v>
      </c>
      <c r="D556" s="21">
        <v>2.9</v>
      </c>
      <c r="E556" s="21">
        <v>0.54500000000000004</v>
      </c>
      <c r="F556" s="21">
        <v>0</v>
      </c>
      <c r="G556" s="21">
        <v>0</v>
      </c>
      <c r="H556" s="21">
        <v>2.8</v>
      </c>
      <c r="I556" s="21">
        <v>0.55200000000000005</v>
      </c>
      <c r="J556" s="21">
        <v>0.54500000000000004</v>
      </c>
      <c r="K556" s="21">
        <v>1.6</v>
      </c>
      <c r="L556" s="21">
        <v>0.46200000000000002</v>
      </c>
      <c r="M556" s="21">
        <v>5.6</v>
      </c>
      <c r="N556" s="21">
        <v>1.1000000000000001</v>
      </c>
      <c r="O556" s="21">
        <v>0.4</v>
      </c>
      <c r="P556" s="21">
        <v>0.5</v>
      </c>
      <c r="Q556" s="21">
        <v>0.9</v>
      </c>
      <c r="R556" s="21">
        <v>1</v>
      </c>
      <c r="S556" s="21">
        <v>3.9</v>
      </c>
      <c r="T556" s="21">
        <v>11</v>
      </c>
      <c r="U556" s="21">
        <v>0.3</v>
      </c>
      <c r="V556" s="21">
        <v>16.600000000000001</v>
      </c>
      <c r="W556" s="21">
        <v>0.13700000000000001</v>
      </c>
      <c r="X556" s="4">
        <v>1.7</v>
      </c>
    </row>
    <row r="557" spans="1:24" x14ac:dyDescent="0.35">
      <c r="A557" s="21">
        <v>24</v>
      </c>
      <c r="B557" s="21">
        <v>69</v>
      </c>
      <c r="C557" s="21">
        <v>15.1</v>
      </c>
      <c r="D557" s="21">
        <v>4</v>
      </c>
      <c r="E557" s="21">
        <v>0.41899999999999998</v>
      </c>
      <c r="F557" s="21">
        <v>1.7</v>
      </c>
      <c r="G557" s="21">
        <v>0.22500000000000001</v>
      </c>
      <c r="H557" s="21">
        <v>2.2999999999999998</v>
      </c>
      <c r="I557" s="21">
        <v>0.56599999999999995</v>
      </c>
      <c r="J557" s="21">
        <v>0.46800000000000003</v>
      </c>
      <c r="K557" s="21">
        <v>0.8</v>
      </c>
      <c r="L557" s="21">
        <v>0.45600000000000002</v>
      </c>
      <c r="M557" s="21">
        <v>2.6</v>
      </c>
      <c r="N557" s="21">
        <v>1</v>
      </c>
      <c r="O557" s="21">
        <v>0.5</v>
      </c>
      <c r="P557" s="21">
        <v>0.2</v>
      </c>
      <c r="Q557" s="21">
        <v>0.6</v>
      </c>
      <c r="R557" s="21">
        <v>1</v>
      </c>
      <c r="S557" s="21">
        <v>4.2</v>
      </c>
      <c r="T557" s="21">
        <v>1</v>
      </c>
      <c r="U557" s="21">
        <v>-3</v>
      </c>
      <c r="V557" s="21">
        <v>9.1</v>
      </c>
      <c r="W557" s="21">
        <v>3.3000000000000002E-2</v>
      </c>
      <c r="X557" s="4">
        <v>1.7</v>
      </c>
    </row>
    <row r="558" spans="1:24" x14ac:dyDescent="0.35">
      <c r="A558" s="21">
        <v>23</v>
      </c>
      <c r="B558" s="21">
        <v>16</v>
      </c>
      <c r="C558" s="21">
        <v>6.1</v>
      </c>
      <c r="D558" s="21">
        <v>1.6</v>
      </c>
      <c r="E558" s="21">
        <v>0.69199999999999995</v>
      </c>
      <c r="F558" s="21">
        <v>0.4</v>
      </c>
      <c r="G558" s="21">
        <v>0.42899999999999999</v>
      </c>
      <c r="H558" s="21">
        <v>1.2</v>
      </c>
      <c r="I558" s="21">
        <v>0.78900000000000003</v>
      </c>
      <c r="J558" s="21">
        <v>0.75</v>
      </c>
      <c r="K558" s="21">
        <v>0.6</v>
      </c>
      <c r="L558" s="21">
        <v>0.44400000000000001</v>
      </c>
      <c r="M558" s="21">
        <v>1.8</v>
      </c>
      <c r="N558" s="21">
        <v>0.3</v>
      </c>
      <c r="O558" s="21">
        <v>0.3</v>
      </c>
      <c r="P558" s="21">
        <v>0.3</v>
      </c>
      <c r="Q558" s="21">
        <v>0.3</v>
      </c>
      <c r="R558" s="21">
        <v>0.7</v>
      </c>
      <c r="S558" s="21">
        <v>2.7</v>
      </c>
      <c r="T558" s="21">
        <v>0</v>
      </c>
      <c r="U558" s="21">
        <v>-0.1</v>
      </c>
      <c r="V558" s="21">
        <v>19.100000000000001</v>
      </c>
      <c r="W558" s="21">
        <v>0.18099999999999999</v>
      </c>
      <c r="X558" s="4">
        <v>9.8000000000000007</v>
      </c>
    </row>
    <row r="559" spans="1:24" x14ac:dyDescent="0.35">
      <c r="A559" s="21">
        <v>36</v>
      </c>
      <c r="B559" s="21">
        <v>56</v>
      </c>
      <c r="C559" s="21">
        <v>12.3</v>
      </c>
      <c r="D559" s="21">
        <v>2.5</v>
      </c>
      <c r="E559" s="21">
        <v>0.65</v>
      </c>
      <c r="F559" s="21">
        <v>0</v>
      </c>
      <c r="H559" s="21">
        <v>2.5</v>
      </c>
      <c r="I559" s="21">
        <v>0.65</v>
      </c>
      <c r="J559" s="21">
        <v>0.65</v>
      </c>
      <c r="K559" s="21">
        <v>1.1000000000000001</v>
      </c>
      <c r="L559" s="21">
        <v>0.42199999999999999</v>
      </c>
      <c r="M559" s="21">
        <v>5.0999999999999996</v>
      </c>
      <c r="N559" s="21">
        <v>0.9</v>
      </c>
      <c r="O559" s="21">
        <v>0.3</v>
      </c>
      <c r="P559" s="21">
        <v>0.5</v>
      </c>
      <c r="Q559" s="21">
        <v>0.7</v>
      </c>
      <c r="R559" s="21">
        <v>1.3</v>
      </c>
      <c r="S559" s="21">
        <v>3.7</v>
      </c>
      <c r="T559" s="21">
        <v>16</v>
      </c>
      <c r="U559" s="21">
        <v>-1.2</v>
      </c>
      <c r="V559" s="21">
        <v>15.4</v>
      </c>
      <c r="W559" s="21">
        <v>0.127</v>
      </c>
      <c r="X559" s="4">
        <v>3.2</v>
      </c>
    </row>
    <row r="560" spans="1:24" x14ac:dyDescent="0.35">
      <c r="A560" s="21">
        <v>32</v>
      </c>
      <c r="B560" s="21">
        <v>28</v>
      </c>
      <c r="C560" s="21">
        <v>18.899999999999999</v>
      </c>
      <c r="D560" s="21">
        <v>4.0999999999999996</v>
      </c>
      <c r="E560" s="21">
        <v>0.58799999999999997</v>
      </c>
      <c r="F560" s="21">
        <v>0</v>
      </c>
      <c r="H560" s="21">
        <v>4.0999999999999996</v>
      </c>
      <c r="I560" s="21">
        <v>0.58799999999999997</v>
      </c>
      <c r="J560" s="21">
        <v>0.58799999999999997</v>
      </c>
      <c r="K560" s="21">
        <v>0.9</v>
      </c>
      <c r="L560" s="21">
        <v>0.4</v>
      </c>
      <c r="M560" s="21">
        <v>5.6</v>
      </c>
      <c r="N560" s="21">
        <v>1.1000000000000001</v>
      </c>
      <c r="O560" s="21">
        <v>0.6</v>
      </c>
      <c r="P560" s="21">
        <v>0.8</v>
      </c>
      <c r="Q560" s="21">
        <v>1</v>
      </c>
      <c r="R560" s="21">
        <v>1.9</v>
      </c>
      <c r="S560" s="21">
        <v>5.0999999999999996</v>
      </c>
      <c r="T560" s="21">
        <v>13</v>
      </c>
      <c r="U560" s="21">
        <v>-3.6</v>
      </c>
      <c r="V560" s="21">
        <v>12.2</v>
      </c>
      <c r="W560" s="21">
        <v>7.0999999999999994E-2</v>
      </c>
      <c r="X560" s="4">
        <v>3.1</v>
      </c>
    </row>
    <row r="561" spans="1:24" x14ac:dyDescent="0.35">
      <c r="A561" s="21">
        <v>25</v>
      </c>
      <c r="B561" s="21">
        <v>38</v>
      </c>
      <c r="C561" s="21">
        <v>10.3</v>
      </c>
      <c r="D561" s="21">
        <v>1.9</v>
      </c>
      <c r="E561" s="21">
        <v>0.55400000000000005</v>
      </c>
      <c r="F561" s="21">
        <v>0</v>
      </c>
      <c r="H561" s="21">
        <v>1.9</v>
      </c>
      <c r="I561" s="21">
        <v>0.55400000000000005</v>
      </c>
      <c r="J561" s="21">
        <v>0.55400000000000005</v>
      </c>
      <c r="K561" s="21">
        <v>0.9</v>
      </c>
      <c r="L561" s="21">
        <v>0.39400000000000002</v>
      </c>
      <c r="M561" s="21">
        <v>2.8</v>
      </c>
      <c r="N561" s="21">
        <v>0.4</v>
      </c>
      <c r="O561" s="21">
        <v>0.2</v>
      </c>
      <c r="P561" s="21">
        <v>0.4</v>
      </c>
      <c r="Q561" s="21">
        <v>0.6</v>
      </c>
      <c r="R561" s="21">
        <v>1.8</v>
      </c>
      <c r="S561" s="21">
        <v>2.5</v>
      </c>
      <c r="T561" s="21">
        <v>1</v>
      </c>
      <c r="U561" s="21">
        <v>-6.8</v>
      </c>
      <c r="V561" s="21">
        <v>8.9</v>
      </c>
      <c r="W561" s="21">
        <v>3.6999999999999998E-2</v>
      </c>
      <c r="X561" s="4">
        <v>3</v>
      </c>
    </row>
    <row r="562" spans="1:24" x14ac:dyDescent="0.35">
      <c r="A562" s="21">
        <v>27</v>
      </c>
      <c r="B562" s="21">
        <v>14</v>
      </c>
      <c r="C562" s="21">
        <v>8.1</v>
      </c>
      <c r="D562" s="21">
        <v>3.2</v>
      </c>
      <c r="E562" s="21">
        <v>0.64400000000000002</v>
      </c>
      <c r="F562" s="21">
        <v>0.2</v>
      </c>
      <c r="G562" s="21">
        <v>0.33300000000000002</v>
      </c>
      <c r="H562" s="21">
        <v>3</v>
      </c>
      <c r="I562" s="21">
        <v>0.66700000000000004</v>
      </c>
      <c r="J562" s="21">
        <v>0.65600000000000003</v>
      </c>
      <c r="K562" s="21">
        <v>0.4</v>
      </c>
      <c r="L562" s="21">
        <v>0.33300000000000002</v>
      </c>
      <c r="M562" s="21">
        <v>3</v>
      </c>
      <c r="N562" s="21">
        <v>0.4</v>
      </c>
      <c r="O562" s="21">
        <v>0.1</v>
      </c>
      <c r="P562" s="21">
        <v>0.6</v>
      </c>
      <c r="Q562" s="21">
        <v>0.4</v>
      </c>
      <c r="R562" s="21">
        <v>0.8</v>
      </c>
      <c r="S562" s="21">
        <v>4.4000000000000004</v>
      </c>
      <c r="T562" s="21">
        <v>6</v>
      </c>
      <c r="U562" s="21">
        <v>1.2</v>
      </c>
      <c r="V562" s="21">
        <v>23.2</v>
      </c>
      <c r="W562" s="21">
        <v>0.187</v>
      </c>
      <c r="X562" s="4">
        <v>3.2</v>
      </c>
    </row>
    <row r="563" spans="1:24" x14ac:dyDescent="0.35">
      <c r="A563" s="21">
        <v>20</v>
      </c>
      <c r="B563" s="21">
        <v>22</v>
      </c>
      <c r="C563" s="21">
        <v>5.2</v>
      </c>
      <c r="D563" s="21">
        <v>1.4</v>
      </c>
      <c r="E563" s="21">
        <v>0.433</v>
      </c>
      <c r="F563" s="21">
        <v>0.6</v>
      </c>
      <c r="G563" s="21">
        <v>0.23100000000000001</v>
      </c>
      <c r="H563" s="21">
        <v>0.8</v>
      </c>
      <c r="I563" s="21">
        <v>0.58799999999999997</v>
      </c>
      <c r="J563" s="21">
        <v>0.48299999999999998</v>
      </c>
      <c r="K563" s="21">
        <v>0.4</v>
      </c>
      <c r="L563" s="21">
        <v>0.33300000000000002</v>
      </c>
      <c r="M563" s="21">
        <v>1</v>
      </c>
      <c r="N563" s="21">
        <v>0.7</v>
      </c>
      <c r="O563" s="21">
        <v>0.1</v>
      </c>
      <c r="P563" s="21">
        <v>0</v>
      </c>
      <c r="Q563" s="21">
        <v>0.5</v>
      </c>
      <c r="R563" s="21">
        <v>0.5</v>
      </c>
      <c r="S563" s="21">
        <v>1.5</v>
      </c>
      <c r="T563" s="21">
        <v>1</v>
      </c>
      <c r="U563" s="21">
        <v>-5.0999999999999996</v>
      </c>
      <c r="V563" s="21">
        <v>6.7</v>
      </c>
      <c r="W563" s="21">
        <v>-4.4999999999999998E-2</v>
      </c>
      <c r="X563" s="4">
        <v>4.4000000000000004</v>
      </c>
    </row>
    <row r="564" spans="1:24" x14ac:dyDescent="0.35">
      <c r="A564" s="21">
        <v>22</v>
      </c>
      <c r="B564" s="21">
        <v>9</v>
      </c>
      <c r="C564" s="21">
        <v>7.4</v>
      </c>
      <c r="D564" s="21">
        <v>2.1</v>
      </c>
      <c r="E564" s="21">
        <v>0.316</v>
      </c>
      <c r="F564" s="21">
        <v>0.8</v>
      </c>
      <c r="G564" s="21">
        <v>0</v>
      </c>
      <c r="H564" s="21">
        <v>1.3</v>
      </c>
      <c r="I564" s="21">
        <v>0.5</v>
      </c>
      <c r="J564" s="21">
        <v>0.316</v>
      </c>
      <c r="K564" s="21">
        <v>0.8</v>
      </c>
      <c r="L564" s="21">
        <v>0.28599999999999998</v>
      </c>
      <c r="M564" s="21">
        <v>1.7</v>
      </c>
      <c r="N564" s="21">
        <v>0.1</v>
      </c>
      <c r="O564" s="21">
        <v>0.4</v>
      </c>
      <c r="P564" s="21">
        <v>0.2</v>
      </c>
      <c r="Q564" s="21">
        <v>0.3</v>
      </c>
      <c r="R564" s="21">
        <v>0.7</v>
      </c>
      <c r="S564" s="21">
        <v>1.6</v>
      </c>
      <c r="T564" s="21">
        <v>0</v>
      </c>
      <c r="U564" s="21">
        <v>-9.8000000000000007</v>
      </c>
      <c r="V564" s="21">
        <v>3.5</v>
      </c>
      <c r="W564" s="21">
        <v>-9.1999999999999998E-2</v>
      </c>
      <c r="X564" s="4">
        <v>1.7</v>
      </c>
    </row>
    <row r="565" spans="1:24" x14ac:dyDescent="0.35">
      <c r="A565" s="21">
        <v>33</v>
      </c>
      <c r="B565" s="21">
        <v>40</v>
      </c>
      <c r="C565" s="21">
        <v>8.1999999999999993</v>
      </c>
      <c r="D565" s="21">
        <v>1.8</v>
      </c>
      <c r="E565" s="21">
        <v>0.437</v>
      </c>
      <c r="F565" s="21">
        <v>0.1</v>
      </c>
      <c r="G565" s="21">
        <v>0</v>
      </c>
      <c r="H565" s="21">
        <v>1.7</v>
      </c>
      <c r="I565" s="21">
        <v>0.45600000000000002</v>
      </c>
      <c r="J565" s="21">
        <v>0.437</v>
      </c>
      <c r="K565" s="21">
        <v>0.8</v>
      </c>
      <c r="L565" s="21">
        <v>0.23300000000000001</v>
      </c>
      <c r="M565" s="21">
        <v>3.4</v>
      </c>
      <c r="N565" s="21">
        <v>0.6</v>
      </c>
      <c r="O565" s="21">
        <v>0.1</v>
      </c>
      <c r="P565" s="21">
        <v>0.3</v>
      </c>
      <c r="Q565" s="21">
        <v>0.4</v>
      </c>
      <c r="R565" s="21">
        <v>0.9</v>
      </c>
      <c r="S565" s="21">
        <v>1.7</v>
      </c>
      <c r="T565" s="21">
        <v>13</v>
      </c>
      <c r="U565" s="21">
        <v>-4.5999999999999996</v>
      </c>
      <c r="V565" s="21">
        <v>9.1</v>
      </c>
      <c r="W565" s="21">
        <v>5.7000000000000002E-2</v>
      </c>
      <c r="X565" s="4">
        <v>3.9</v>
      </c>
    </row>
    <row r="566" spans="1:24" x14ac:dyDescent="0.35">
      <c r="A566" s="21">
        <v>28</v>
      </c>
      <c r="B566" s="21">
        <v>9</v>
      </c>
      <c r="C566" s="21">
        <v>3.9</v>
      </c>
      <c r="D566" s="21">
        <v>0.3</v>
      </c>
      <c r="E566" s="21">
        <v>0.66700000000000004</v>
      </c>
      <c r="F566" s="21">
        <v>0.3</v>
      </c>
      <c r="G566" s="21">
        <v>0.66700000000000004</v>
      </c>
      <c r="H566" s="21">
        <v>0</v>
      </c>
      <c r="J566" s="21">
        <v>1</v>
      </c>
      <c r="K566" s="21">
        <v>0.7</v>
      </c>
      <c r="L566" s="21">
        <v>0.16700000000000001</v>
      </c>
      <c r="M566" s="21">
        <v>0.6</v>
      </c>
      <c r="N566" s="21">
        <v>0.6</v>
      </c>
      <c r="O566" s="21">
        <v>0.1</v>
      </c>
      <c r="P566" s="21">
        <v>0</v>
      </c>
      <c r="Q566" s="21">
        <v>0.1</v>
      </c>
      <c r="R566" s="21">
        <v>0.3</v>
      </c>
      <c r="S566" s="21">
        <v>0.8</v>
      </c>
      <c r="T566" s="21">
        <v>6</v>
      </c>
      <c r="U566" s="21">
        <v>0.7</v>
      </c>
      <c r="V566" s="21">
        <v>9.5</v>
      </c>
      <c r="W566" s="21">
        <v>0.107</v>
      </c>
      <c r="X566" s="4">
        <v>1.9</v>
      </c>
    </row>
    <row r="567" spans="1:24" x14ac:dyDescent="0.35">
      <c r="A567" s="21">
        <v>25</v>
      </c>
      <c r="B567" s="21">
        <v>10</v>
      </c>
      <c r="C567" s="21">
        <v>16.899999999999999</v>
      </c>
      <c r="D567" s="21">
        <v>6.3</v>
      </c>
      <c r="E567" s="21">
        <v>0.34899999999999998</v>
      </c>
      <c r="F567" s="21">
        <v>4.7</v>
      </c>
      <c r="G567" s="21">
        <v>0.31900000000000001</v>
      </c>
      <c r="H567" s="21">
        <v>1.6</v>
      </c>
      <c r="I567" s="21">
        <v>0.438</v>
      </c>
      <c r="J567" s="21">
        <v>0.46800000000000003</v>
      </c>
      <c r="K567" s="21">
        <v>0.1</v>
      </c>
      <c r="L567" s="21">
        <v>0</v>
      </c>
      <c r="M567" s="21">
        <v>2.7</v>
      </c>
      <c r="N567" s="21">
        <v>0.3</v>
      </c>
      <c r="O567" s="21">
        <v>0.4</v>
      </c>
      <c r="P567" s="21">
        <v>0.2</v>
      </c>
      <c r="Q567" s="21">
        <v>0.4</v>
      </c>
      <c r="R567" s="21">
        <v>1.2</v>
      </c>
      <c r="S567" s="21">
        <v>5.9</v>
      </c>
      <c r="T567" s="21">
        <v>2</v>
      </c>
      <c r="U567" s="21">
        <v>-7.3</v>
      </c>
      <c r="V567" s="21">
        <v>6.5</v>
      </c>
      <c r="W567" s="21">
        <v>-8.9999999999999993E-3</v>
      </c>
      <c r="X567" s="4">
        <v>2.2000000000000002</v>
      </c>
    </row>
    <row r="568" spans="1:24" x14ac:dyDescent="0.35">
      <c r="A568" s="21">
        <v>25</v>
      </c>
      <c r="B568" s="21">
        <v>19</v>
      </c>
      <c r="C568" s="21">
        <v>5.3</v>
      </c>
      <c r="D568" s="21">
        <v>1.1000000000000001</v>
      </c>
      <c r="E568" s="21">
        <v>0.38100000000000001</v>
      </c>
      <c r="F568" s="21">
        <v>0.5</v>
      </c>
      <c r="G568" s="21">
        <v>0.2</v>
      </c>
      <c r="H568" s="21">
        <v>0.6</v>
      </c>
      <c r="I568" s="21">
        <v>0.54500000000000004</v>
      </c>
      <c r="J568" s="21">
        <v>0.42899999999999999</v>
      </c>
      <c r="K568" s="21">
        <v>0.1</v>
      </c>
      <c r="L568" s="21">
        <v>0</v>
      </c>
      <c r="M568" s="21">
        <v>0.5</v>
      </c>
      <c r="N568" s="21">
        <v>0.4</v>
      </c>
      <c r="O568" s="21">
        <v>0.3</v>
      </c>
      <c r="P568" s="21">
        <v>0.1</v>
      </c>
      <c r="Q568" s="21">
        <v>0.3</v>
      </c>
      <c r="R568" s="21">
        <v>0.6</v>
      </c>
      <c r="S568" s="21">
        <v>0.9</v>
      </c>
      <c r="T568" s="21">
        <v>2</v>
      </c>
      <c r="U568" s="21">
        <v>-5.4</v>
      </c>
      <c r="V568" s="21">
        <v>5</v>
      </c>
      <c r="W568" s="21">
        <v>-7.0000000000000001E-3</v>
      </c>
      <c r="X568" s="4">
        <v>8.9</v>
      </c>
    </row>
    <row r="569" spans="1:24" x14ac:dyDescent="0.35">
      <c r="A569" s="21">
        <v>37</v>
      </c>
      <c r="B569" s="21">
        <v>12</v>
      </c>
      <c r="C569" s="21">
        <v>3.1</v>
      </c>
      <c r="D569" s="21">
        <v>0.9</v>
      </c>
      <c r="E569" s="21">
        <v>0.36399999999999999</v>
      </c>
      <c r="F569" s="21">
        <v>0.3</v>
      </c>
      <c r="G569" s="21">
        <v>0</v>
      </c>
      <c r="H569" s="21">
        <v>0.7</v>
      </c>
      <c r="I569" s="21">
        <v>0.5</v>
      </c>
      <c r="J569" s="21">
        <v>0.36399999999999999</v>
      </c>
      <c r="K569" s="21">
        <v>0.1</v>
      </c>
      <c r="L569" s="21">
        <v>0</v>
      </c>
      <c r="M569" s="21">
        <v>0.5</v>
      </c>
      <c r="N569" s="21">
        <v>0.3</v>
      </c>
      <c r="O569" s="21">
        <v>0</v>
      </c>
      <c r="P569" s="21">
        <v>0.2</v>
      </c>
      <c r="Q569" s="21">
        <v>0.3</v>
      </c>
      <c r="R569" s="21">
        <v>0.4</v>
      </c>
      <c r="S569" s="21">
        <v>0.7</v>
      </c>
      <c r="T569" s="21">
        <v>15</v>
      </c>
      <c r="U569" s="21">
        <v>-9.6999999999999993</v>
      </c>
      <c r="V569" s="21">
        <v>0</v>
      </c>
      <c r="W569" s="21">
        <v>-0.16200000000000001</v>
      </c>
      <c r="X569" s="4">
        <v>0.8</v>
      </c>
    </row>
    <row r="570" spans="1:24" x14ac:dyDescent="0.35">
      <c r="A570" s="21">
        <v>23</v>
      </c>
      <c r="B570" s="21">
        <v>7</v>
      </c>
      <c r="C570" s="21">
        <v>3.3</v>
      </c>
      <c r="D570" s="21">
        <v>1.4</v>
      </c>
      <c r="E570" s="21">
        <v>0.3</v>
      </c>
      <c r="F570" s="21">
        <v>1</v>
      </c>
      <c r="G570" s="21">
        <v>0.14299999999999999</v>
      </c>
      <c r="H570" s="21">
        <v>0.4</v>
      </c>
      <c r="I570" s="21">
        <v>0.66700000000000004</v>
      </c>
      <c r="J570" s="21">
        <v>0.35</v>
      </c>
      <c r="K570" s="21">
        <v>0.3</v>
      </c>
      <c r="L570" s="21">
        <v>0</v>
      </c>
      <c r="M570" s="21">
        <v>0.3</v>
      </c>
      <c r="N570" s="21">
        <v>0.4</v>
      </c>
      <c r="O570" s="21">
        <v>0</v>
      </c>
      <c r="P570" s="21">
        <v>0</v>
      </c>
      <c r="Q570" s="21">
        <v>0.1</v>
      </c>
      <c r="R570" s="21">
        <v>0.3</v>
      </c>
      <c r="S570" s="21">
        <v>1</v>
      </c>
      <c r="T570" s="21">
        <v>0</v>
      </c>
      <c r="U570" s="21">
        <v>-15.8</v>
      </c>
      <c r="V570" s="21">
        <v>-0.1</v>
      </c>
      <c r="W570" s="21">
        <v>-0.15</v>
      </c>
      <c r="X570" s="4">
        <v>6.6</v>
      </c>
    </row>
  </sheetData>
  <sortState xmlns:xlrd2="http://schemas.microsoft.com/office/spreadsheetml/2017/richdata2" ref="A2:W571">
    <sortCondition descending="1" ref="L1:L571"/>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04CE-FA7B-3B44-B06D-F835D555A3C8}">
  <dimension ref="A1:AG48"/>
  <sheetViews>
    <sheetView zoomScale="17" workbookViewId="0">
      <selection activeCell="BQ43" sqref="BQ43"/>
    </sheetView>
  </sheetViews>
  <sheetFormatPr defaultColWidth="8.81640625" defaultRowHeight="14.5" x14ac:dyDescent="0.35"/>
  <sheetData>
    <row r="1" spans="1:33" ht="14.5" customHeight="1" x14ac:dyDescent="0.35">
      <c r="A1" s="60" t="s">
        <v>642</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row>
    <row r="2" spans="1:33" x14ac:dyDescent="0.35">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row>
    <row r="3" spans="1:33" x14ac:dyDescent="0.3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row>
    <row r="4" spans="1:33" x14ac:dyDescent="0.35">
      <c r="A4" s="60"/>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row>
    <row r="5" spans="1:33" x14ac:dyDescent="0.35">
      <c r="A5" s="60"/>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row>
    <row r="6" spans="1:33" x14ac:dyDescent="0.35">
      <c r="A6" s="60"/>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row>
    <row r="7" spans="1:33" x14ac:dyDescent="0.35">
      <c r="A7" s="60"/>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row>
    <row r="8" spans="1:33" x14ac:dyDescent="0.35">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row>
    <row r="9" spans="1:33" x14ac:dyDescent="0.35">
      <c r="A9" s="60"/>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row>
    <row r="10" spans="1:33" x14ac:dyDescent="0.35">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row>
    <row r="11" spans="1:33" x14ac:dyDescent="0.35">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row>
    <row r="12" spans="1:33" x14ac:dyDescent="0.35">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row>
    <row r="13" spans="1:33" x14ac:dyDescent="0.35">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row>
    <row r="14" spans="1:33" x14ac:dyDescent="0.35">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row>
    <row r="15" spans="1:33" x14ac:dyDescent="0.3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row>
    <row r="16" spans="1:33" x14ac:dyDescent="0.35">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row>
    <row r="17" spans="1:33" x14ac:dyDescent="0.35">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row>
    <row r="18" spans="1:33" x14ac:dyDescent="0.35">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row>
    <row r="19" spans="1:33" x14ac:dyDescent="0.35">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row>
    <row r="20" spans="1:33" x14ac:dyDescent="0.35">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row>
    <row r="21" spans="1:33" x14ac:dyDescent="0.35">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row>
    <row r="22" spans="1:33" x14ac:dyDescent="0.35">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row>
    <row r="23" spans="1:33" x14ac:dyDescent="0.35">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row>
    <row r="24" spans="1:33" x14ac:dyDescent="0.35">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row>
    <row r="25" spans="1:33" x14ac:dyDescent="0.3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row>
    <row r="26" spans="1:33" x14ac:dyDescent="0.35">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row>
    <row r="27" spans="1:33" x14ac:dyDescent="0.35">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row>
    <row r="28" spans="1:33" x14ac:dyDescent="0.35">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row>
    <row r="29" spans="1:33" x14ac:dyDescent="0.35">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row>
    <row r="30" spans="1:33" x14ac:dyDescent="0.35">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row>
    <row r="31" spans="1:33" x14ac:dyDescent="0.35">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row>
    <row r="32" spans="1:33" x14ac:dyDescent="0.35">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row>
    <row r="33" spans="1:33" x14ac:dyDescent="0.35">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row>
    <row r="34" spans="1:33" x14ac:dyDescent="0.35">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row>
    <row r="35" spans="1:33" x14ac:dyDescent="0.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row>
    <row r="36" spans="1:33" x14ac:dyDescent="0.35">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row>
    <row r="37" spans="1:33" x14ac:dyDescent="0.35">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row>
    <row r="38" spans="1:33" x14ac:dyDescent="0.35">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row>
    <row r="39" spans="1:33" x14ac:dyDescent="0.35">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row>
    <row r="40" spans="1:33" x14ac:dyDescent="0.35">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row>
    <row r="41" spans="1:33" x14ac:dyDescent="0.35">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row>
    <row r="42" spans="1:33" x14ac:dyDescent="0.35">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row>
    <row r="43" spans="1:33" x14ac:dyDescent="0.35">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row>
    <row r="44" spans="1:33" x14ac:dyDescent="0.35">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row>
    <row r="45" spans="1:33" x14ac:dyDescent="0.3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row>
    <row r="46" spans="1:33" x14ac:dyDescent="0.35">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row>
    <row r="47" spans="1:33" x14ac:dyDescent="0.35">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row>
    <row r="48" spans="1:33" x14ac:dyDescent="0.3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row>
  </sheetData>
  <mergeCells count="1">
    <mergeCell ref="A1:AG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vt:lpstr>
      <vt:lpstr>3.1 Descriptive Statistics</vt:lpstr>
      <vt:lpstr>3.2 Frequency Tables</vt:lpstr>
      <vt:lpstr>3.3 Visuals - Categorical</vt:lpstr>
      <vt:lpstr>3.3 Visuals - Continuous</vt:lpstr>
      <vt:lpstr>3.4 Commentary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JV8SPORTS Vaughan</cp:lastModifiedBy>
  <cp:lastPrinted>2026-07-26T01:52:09Z</cp:lastPrinted>
  <dcterms:created xsi:type="dcterms:W3CDTF">2026-07-19T20:34:25Z</dcterms:created>
  <dcterms:modified xsi:type="dcterms:W3CDTF">2026-07-26T16:05:02Z</dcterms:modified>
</cp:coreProperties>
</file>